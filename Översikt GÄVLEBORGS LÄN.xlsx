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45357</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45357</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45357</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45357</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45357</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45357</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45357</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45357</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45357</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45357</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45357</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45357</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45357</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45357</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45357</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45357</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45357</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45357</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45357</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45357</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45357</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45357</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45357</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45357</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45357</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45357</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45357</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45357</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45357</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45357</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45357</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45357</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45357</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45357</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45357</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45357</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45357</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45357</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45357</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45357</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45357</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45357</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45357</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45357</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45357</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45357</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45357</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45357</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45357</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45357</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45357</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45357</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45357</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45357</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45357</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45357</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45357</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45357</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45357</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45357</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45357</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45357</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45357</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45357</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45357</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45357</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45357</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45357</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45357</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1915-2019</t>
        </is>
      </c>
      <c r="B74" s="1" t="n">
        <v>43475</v>
      </c>
      <c r="C74" s="1" t="n">
        <v>45357</v>
      </c>
      <c r="D74" t="inlineStr">
        <is>
          <t>GÄVLEBORGS LÄN</t>
        </is>
      </c>
      <c r="E74" t="inlineStr">
        <is>
          <t>HUDIKSVALL</t>
        </is>
      </c>
      <c r="G74" t="n">
        <v>11.2</v>
      </c>
      <c r="H74" t="n">
        <v>0</v>
      </c>
      <c r="I74" t="n">
        <v>1</v>
      </c>
      <c r="J74" t="n">
        <v>4</v>
      </c>
      <c r="K74" t="n">
        <v>0</v>
      </c>
      <c r="L74" t="n">
        <v>0</v>
      </c>
      <c r="M74" t="n">
        <v>0</v>
      </c>
      <c r="N74" t="n">
        <v>0</v>
      </c>
      <c r="O74" t="n">
        <v>4</v>
      </c>
      <c r="P74" t="n">
        <v>0</v>
      </c>
      <c r="Q74" t="n">
        <v>5</v>
      </c>
      <c r="R74" s="2" t="inlineStr">
        <is>
          <t>Garnlav
Lunglav
Ullticka
Violettgrå tagellav
Thomsons trägnagare</t>
        </is>
      </c>
      <c r="S74">
        <f>HYPERLINK("https://klasma.github.io/Logging_2184/artfynd/A 1915-2019 artfynd.xlsx", "A 1915-2019")</f>
        <v/>
      </c>
      <c r="T74">
        <f>HYPERLINK("https://klasma.github.io/Logging_2184/kartor/A 1915-2019 karta.png", "A 1915-2019")</f>
        <v/>
      </c>
      <c r="V74">
        <f>HYPERLINK("https://klasma.github.io/Logging_2184/klagomål/A 1915-2019 FSC-klagomål.docx", "A 1915-2019")</f>
        <v/>
      </c>
      <c r="W74">
        <f>HYPERLINK("https://klasma.github.io/Logging_2184/klagomålsmail/A 1915-2019 FSC-klagomål mail.docx", "A 1915-2019")</f>
        <v/>
      </c>
      <c r="X74">
        <f>HYPERLINK("https://klasma.github.io/Logging_2184/tillsyn/A 1915-2019 tillsynsbegäran.docx", "A 1915-2019")</f>
        <v/>
      </c>
      <c r="Y74">
        <f>HYPERLINK("https://klasma.github.io/Logging_2184/tillsynsmail/A 1915-2019 tillsynsbegäran mail.docx", "A 1915-2019")</f>
        <v/>
      </c>
    </row>
    <row r="75" ht="15" customHeight="1">
      <c r="A75" t="inlineStr">
        <is>
          <t>A 5644-2019</t>
        </is>
      </c>
      <c r="B75" s="1" t="n">
        <v>43489</v>
      </c>
      <c r="C75" s="1" t="n">
        <v>45357</v>
      </c>
      <c r="D75" t="inlineStr">
        <is>
          <t>GÄVLEBORGS LÄN</t>
        </is>
      </c>
      <c r="E75" t="inlineStr">
        <is>
          <t>HUDIKSVALL</t>
        </is>
      </c>
      <c r="G75" t="n">
        <v>5.3</v>
      </c>
      <c r="H75" t="n">
        <v>3</v>
      </c>
      <c r="I75" t="n">
        <v>3</v>
      </c>
      <c r="J75" t="n">
        <v>0</v>
      </c>
      <c r="K75" t="n">
        <v>0</v>
      </c>
      <c r="L75" t="n">
        <v>0</v>
      </c>
      <c r="M75" t="n">
        <v>0</v>
      </c>
      <c r="N75" t="n">
        <v>0</v>
      </c>
      <c r="O75" t="n">
        <v>0</v>
      </c>
      <c r="P75" t="n">
        <v>0</v>
      </c>
      <c r="Q75" t="n">
        <v>5</v>
      </c>
      <c r="R75" s="2" t="inlineStr">
        <is>
          <t>Korallrot
Strutbräken
Ögonpyrola
Lopplummer
Revlummer</t>
        </is>
      </c>
      <c r="S75">
        <f>HYPERLINK("https://klasma.github.io/Logging_2184/artfynd/A 5644-2019 artfynd.xlsx", "A 5644-2019")</f>
        <v/>
      </c>
      <c r="T75">
        <f>HYPERLINK("https://klasma.github.io/Logging_2184/kartor/A 5644-2019 karta.png", "A 5644-2019")</f>
        <v/>
      </c>
      <c r="V75">
        <f>HYPERLINK("https://klasma.github.io/Logging_2184/klagomål/A 5644-2019 FSC-klagomål.docx", "A 5644-2019")</f>
        <v/>
      </c>
      <c r="W75">
        <f>HYPERLINK("https://klasma.github.io/Logging_2184/klagomålsmail/A 5644-2019 FSC-klagomål mail.docx", "A 5644-2019")</f>
        <v/>
      </c>
      <c r="X75">
        <f>HYPERLINK("https://klasma.github.io/Logging_2184/tillsyn/A 5644-2019 tillsynsbegäran.docx", "A 5644-2019")</f>
        <v/>
      </c>
      <c r="Y75">
        <f>HYPERLINK("https://klasma.github.io/Logging_2184/tillsynsmail/A 5644-2019 tillsynsbegäran mail.docx", "A 5644-2019")</f>
        <v/>
      </c>
    </row>
    <row r="76" ht="15" customHeight="1">
      <c r="A76" t="inlineStr">
        <is>
          <t>A 22996-2019</t>
        </is>
      </c>
      <c r="B76" s="1" t="n">
        <v>43591</v>
      </c>
      <c r="C76" s="1" t="n">
        <v>45357</v>
      </c>
      <c r="D76" t="inlineStr">
        <is>
          <t>GÄVLEBORGS LÄN</t>
        </is>
      </c>
      <c r="E76" t="inlineStr">
        <is>
          <t>NORDANSTIG</t>
        </is>
      </c>
      <c r="G76" t="n">
        <v>11.1</v>
      </c>
      <c r="H76" t="n">
        <v>0</v>
      </c>
      <c r="I76" t="n">
        <v>3</v>
      </c>
      <c r="J76" t="n">
        <v>2</v>
      </c>
      <c r="K76" t="n">
        <v>0</v>
      </c>
      <c r="L76" t="n">
        <v>0</v>
      </c>
      <c r="M76" t="n">
        <v>0</v>
      </c>
      <c r="N76" t="n">
        <v>0</v>
      </c>
      <c r="O76" t="n">
        <v>2</v>
      </c>
      <c r="P76" t="n">
        <v>0</v>
      </c>
      <c r="Q76" t="n">
        <v>5</v>
      </c>
      <c r="R76" s="2" t="inlineStr">
        <is>
          <t>Lunglav
Violettgrå tagellav
Korallblylav
Sotriska
Stuplav</t>
        </is>
      </c>
      <c r="S76">
        <f>HYPERLINK("https://klasma.github.io/Logging_2132/artfynd/A 22996-2019 artfynd.xlsx", "A 22996-2019")</f>
        <v/>
      </c>
      <c r="T76">
        <f>HYPERLINK("https://klasma.github.io/Logging_2132/kartor/A 22996-2019 karta.png", "A 22996-2019")</f>
        <v/>
      </c>
      <c r="V76">
        <f>HYPERLINK("https://klasma.github.io/Logging_2132/klagomål/A 22996-2019 FSC-klagomål.docx", "A 22996-2019")</f>
        <v/>
      </c>
      <c r="W76">
        <f>HYPERLINK("https://klasma.github.io/Logging_2132/klagomålsmail/A 22996-2019 FSC-klagomål mail.docx", "A 22996-2019")</f>
        <v/>
      </c>
      <c r="X76">
        <f>HYPERLINK("https://klasma.github.io/Logging_2132/tillsyn/A 22996-2019 tillsynsbegäran.docx", "A 22996-2019")</f>
        <v/>
      </c>
      <c r="Y76">
        <f>HYPERLINK("https://klasma.github.io/Logging_2132/tillsynsmail/A 22996-2019 tillsynsbegäran mail.docx", "A 22996-2019")</f>
        <v/>
      </c>
    </row>
    <row r="77" ht="15" customHeight="1">
      <c r="A77" t="inlineStr">
        <is>
          <t>A 44518-2019</t>
        </is>
      </c>
      <c r="B77" s="1" t="n">
        <v>43711</v>
      </c>
      <c r="C77" s="1" t="n">
        <v>45357</v>
      </c>
      <c r="D77" t="inlineStr">
        <is>
          <t>GÄVLEBORGS LÄN</t>
        </is>
      </c>
      <c r="E77" t="inlineStr">
        <is>
          <t>LJUSDAL</t>
        </is>
      </c>
      <c r="F77" t="inlineStr">
        <is>
          <t>Sveaskog</t>
        </is>
      </c>
      <c r="G77" t="n">
        <v>10.4</v>
      </c>
      <c r="H77" t="n">
        <v>2</v>
      </c>
      <c r="I77" t="n">
        <v>0</v>
      </c>
      <c r="J77" t="n">
        <v>3</v>
      </c>
      <c r="K77" t="n">
        <v>0</v>
      </c>
      <c r="L77" t="n">
        <v>0</v>
      </c>
      <c r="M77" t="n">
        <v>0</v>
      </c>
      <c r="N77" t="n">
        <v>0</v>
      </c>
      <c r="O77" t="n">
        <v>3</v>
      </c>
      <c r="P77" t="n">
        <v>0</v>
      </c>
      <c r="Q77" t="n">
        <v>5</v>
      </c>
      <c r="R77" s="2" t="inlineStr">
        <is>
          <t>Garnlav
Kolflarnlav
Mörk kolflarnlav
Fläcknycklar
Revlummer</t>
        </is>
      </c>
      <c r="S77">
        <f>HYPERLINK("https://klasma.github.io/Logging_2161/artfynd/A 44518-2019 artfynd.xlsx", "A 44518-2019")</f>
        <v/>
      </c>
      <c r="T77">
        <f>HYPERLINK("https://klasma.github.io/Logging_2161/kartor/A 44518-2019 karta.png", "A 44518-2019")</f>
        <v/>
      </c>
      <c r="V77">
        <f>HYPERLINK("https://klasma.github.io/Logging_2161/klagomål/A 44518-2019 FSC-klagomål.docx", "A 44518-2019")</f>
        <v/>
      </c>
      <c r="W77">
        <f>HYPERLINK("https://klasma.github.io/Logging_2161/klagomålsmail/A 44518-2019 FSC-klagomål mail.docx", "A 44518-2019")</f>
        <v/>
      </c>
      <c r="X77">
        <f>HYPERLINK("https://klasma.github.io/Logging_2161/tillsyn/A 44518-2019 tillsynsbegäran.docx", "A 44518-2019")</f>
        <v/>
      </c>
      <c r="Y77">
        <f>HYPERLINK("https://klasma.github.io/Logging_2161/tillsynsmail/A 44518-2019 tillsynsbegäran mail.docx", "A 44518-2019")</f>
        <v/>
      </c>
    </row>
    <row r="78" ht="15" customHeight="1">
      <c r="A78" t="inlineStr">
        <is>
          <t>A 45009-2019</t>
        </is>
      </c>
      <c r="B78" s="1" t="n">
        <v>43713</v>
      </c>
      <c r="C78" s="1" t="n">
        <v>45357</v>
      </c>
      <c r="D78" t="inlineStr">
        <is>
          <t>GÄVLEBORGS LÄN</t>
        </is>
      </c>
      <c r="E78" t="inlineStr">
        <is>
          <t>OVANÅKER</t>
        </is>
      </c>
      <c r="F78" t="inlineStr">
        <is>
          <t>Sveaskog</t>
        </is>
      </c>
      <c r="G78" t="n">
        <v>4.7</v>
      </c>
      <c r="H78" t="n">
        <v>4</v>
      </c>
      <c r="I78" t="n">
        <v>2</v>
      </c>
      <c r="J78" t="n">
        <v>2</v>
      </c>
      <c r="K78" t="n">
        <v>1</v>
      </c>
      <c r="L78" t="n">
        <v>0</v>
      </c>
      <c r="M78" t="n">
        <v>0</v>
      </c>
      <c r="N78" t="n">
        <v>0</v>
      </c>
      <c r="O78" t="n">
        <v>3</v>
      </c>
      <c r="P78" t="n">
        <v>1</v>
      </c>
      <c r="Q78" t="n">
        <v>5</v>
      </c>
      <c r="R78" s="2" t="inlineStr">
        <is>
          <t>Knärot
Lunglav
Talltita
Korallrot
Spindelblomster</t>
        </is>
      </c>
      <c r="S78">
        <f>HYPERLINK("https://klasma.github.io/Logging_2121/artfynd/A 45009-2019 artfynd.xlsx", "A 45009-2019")</f>
        <v/>
      </c>
      <c r="T78">
        <f>HYPERLINK("https://klasma.github.io/Logging_2121/kartor/A 45009-2019 karta.png", "A 45009-2019")</f>
        <v/>
      </c>
      <c r="U78">
        <f>HYPERLINK("https://klasma.github.io/Logging_2121/knärot/A 45009-2019 karta knärot.png", "A 45009-2019")</f>
        <v/>
      </c>
      <c r="V78">
        <f>HYPERLINK("https://klasma.github.io/Logging_2121/klagomål/A 45009-2019 FSC-klagomål.docx", "A 45009-2019")</f>
        <v/>
      </c>
      <c r="W78">
        <f>HYPERLINK("https://klasma.github.io/Logging_2121/klagomålsmail/A 45009-2019 FSC-klagomål mail.docx", "A 45009-2019")</f>
        <v/>
      </c>
      <c r="X78">
        <f>HYPERLINK("https://klasma.github.io/Logging_2121/tillsyn/A 45009-2019 tillsynsbegäran.docx", "A 45009-2019")</f>
        <v/>
      </c>
      <c r="Y78">
        <f>HYPERLINK("https://klasma.github.io/Logging_2121/tillsynsmail/A 45009-2019 tillsynsbegäran mail.docx", "A 45009-2019")</f>
        <v/>
      </c>
      <c r="Z78">
        <f>HYPERLINK("https://klasma.github.io/Logging_2121/fåglar/A 45009-2019 prioriterade fågelarter.docx", "A 45009-2019")</f>
        <v/>
      </c>
    </row>
    <row r="79" ht="15" customHeight="1">
      <c r="A79" t="inlineStr">
        <is>
          <t>A 65976-2019</t>
        </is>
      </c>
      <c r="B79" s="1" t="n">
        <v>43805</v>
      </c>
      <c r="C79" s="1" t="n">
        <v>45357</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45357</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45357</v>
      </c>
      <c r="D81" t="inlineStr">
        <is>
          <t>GÄVLEBORGS LÄN</t>
        </is>
      </c>
      <c r="E81" t="inlineStr">
        <is>
          <t>BOLLNÄS</t>
        </is>
      </c>
      <c r="G81" t="n">
        <v>3.6</v>
      </c>
      <c r="H81" t="n">
        <v>0</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45357</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45357</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row>
    <row r="84" ht="15" customHeight="1">
      <c r="A84" t="inlineStr">
        <is>
          <t>A 49036-2021</t>
        </is>
      </c>
      <c r="B84" s="1" t="n">
        <v>44453</v>
      </c>
      <c r="C84" s="1" t="n">
        <v>45357</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45357</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45357</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45357</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29834-2022</t>
        </is>
      </c>
      <c r="B88" s="1" t="n">
        <v>44755</v>
      </c>
      <c r="C88" s="1" t="n">
        <v>45357</v>
      </c>
      <c r="D88" t="inlineStr">
        <is>
          <t>GÄVLEBORGS LÄN</t>
        </is>
      </c>
      <c r="E88" t="inlineStr">
        <is>
          <t>LJUSDAL</t>
        </is>
      </c>
      <c r="F88" t="inlineStr">
        <is>
          <t>SCA</t>
        </is>
      </c>
      <c r="G88" t="n">
        <v>21.9</v>
      </c>
      <c r="H88" t="n">
        <v>2</v>
      </c>
      <c r="I88" t="n">
        <v>0</v>
      </c>
      <c r="J88" t="n">
        <v>4</v>
      </c>
      <c r="K88" t="n">
        <v>1</v>
      </c>
      <c r="L88" t="n">
        <v>0</v>
      </c>
      <c r="M88" t="n">
        <v>0</v>
      </c>
      <c r="N88" t="n">
        <v>0</v>
      </c>
      <c r="O88" t="n">
        <v>5</v>
      </c>
      <c r="P88" t="n">
        <v>1</v>
      </c>
      <c r="Q88" t="n">
        <v>5</v>
      </c>
      <c r="R88" s="2" t="inlineStr">
        <is>
          <t>Knärot
Garnlav
Mörk kolflarnlav
Tretåig hackspett
Vedskivlav</t>
        </is>
      </c>
      <c r="S88">
        <f>HYPERLINK("https://klasma.github.io/Logging_2161/artfynd/A 29834-2022 artfynd.xlsx", "A 29834-2022")</f>
        <v/>
      </c>
      <c r="T88">
        <f>HYPERLINK("https://klasma.github.io/Logging_2161/kartor/A 29834-2022 karta.png", "A 29834-2022")</f>
        <v/>
      </c>
      <c r="U88">
        <f>HYPERLINK("https://klasma.github.io/Logging_2161/knärot/A 29834-2022 karta knärot.png", "A 29834-2022")</f>
        <v/>
      </c>
      <c r="V88">
        <f>HYPERLINK("https://klasma.github.io/Logging_2161/klagomål/A 29834-2022 FSC-klagomål.docx", "A 29834-2022")</f>
        <v/>
      </c>
      <c r="W88">
        <f>HYPERLINK("https://klasma.github.io/Logging_2161/klagomålsmail/A 29834-2022 FSC-klagomål mail.docx", "A 29834-2022")</f>
        <v/>
      </c>
      <c r="X88">
        <f>HYPERLINK("https://klasma.github.io/Logging_2161/tillsyn/A 29834-2022 tillsynsbegäran.docx", "A 29834-2022")</f>
        <v/>
      </c>
      <c r="Y88">
        <f>HYPERLINK("https://klasma.github.io/Logging_2161/tillsynsmail/A 29834-2022 tillsynsbegäran mail.docx", "A 29834-2022")</f>
        <v/>
      </c>
      <c r="Z88">
        <f>HYPERLINK("https://klasma.github.io/Logging_2161/fåglar/A 29834-2022 prioriterade fågelarter.docx", "A 29834-2022")</f>
        <v/>
      </c>
    </row>
    <row r="89" ht="15" customHeight="1">
      <c r="A89" t="inlineStr">
        <is>
          <t>A 31463-2022</t>
        </is>
      </c>
      <c r="B89" s="1" t="n">
        <v>44774</v>
      </c>
      <c r="C89" s="1" t="n">
        <v>45357</v>
      </c>
      <c r="D89" t="inlineStr">
        <is>
          <t>GÄVLEBORGS LÄN</t>
        </is>
      </c>
      <c r="E89" t="inlineStr">
        <is>
          <t>LJUSDAL</t>
        </is>
      </c>
      <c r="F89" t="inlineStr">
        <is>
          <t>SCA</t>
        </is>
      </c>
      <c r="G89" t="n">
        <v>4.3</v>
      </c>
      <c r="H89" t="n">
        <v>2</v>
      </c>
      <c r="I89" t="n">
        <v>0</v>
      </c>
      <c r="J89" t="n">
        <v>4</v>
      </c>
      <c r="K89" t="n">
        <v>1</v>
      </c>
      <c r="L89" t="n">
        <v>0</v>
      </c>
      <c r="M89" t="n">
        <v>0</v>
      </c>
      <c r="N89" t="n">
        <v>0</v>
      </c>
      <c r="O89" t="n">
        <v>5</v>
      </c>
      <c r="P89" t="n">
        <v>1</v>
      </c>
      <c r="Q89" t="n">
        <v>5</v>
      </c>
      <c r="R89" s="2" t="inlineStr">
        <is>
          <t>Knärot
Garnlav
Kolflarnlav
Lunglav
Tretåig hackspett</t>
        </is>
      </c>
      <c r="S89">
        <f>HYPERLINK("https://klasma.github.io/Logging_2161/artfynd/A 31463-2022 artfynd.xlsx", "A 31463-2022")</f>
        <v/>
      </c>
      <c r="T89">
        <f>HYPERLINK("https://klasma.github.io/Logging_2161/kartor/A 31463-2022 karta.png", "A 31463-2022")</f>
        <v/>
      </c>
      <c r="U89">
        <f>HYPERLINK("https://klasma.github.io/Logging_2161/knärot/A 31463-2022 karta knärot.png", "A 31463-2022")</f>
        <v/>
      </c>
      <c r="V89">
        <f>HYPERLINK("https://klasma.github.io/Logging_2161/klagomål/A 31463-2022 FSC-klagomål.docx", "A 31463-2022")</f>
        <v/>
      </c>
      <c r="W89">
        <f>HYPERLINK("https://klasma.github.io/Logging_2161/klagomålsmail/A 31463-2022 FSC-klagomål mail.docx", "A 31463-2022")</f>
        <v/>
      </c>
      <c r="X89">
        <f>HYPERLINK("https://klasma.github.io/Logging_2161/tillsyn/A 31463-2022 tillsynsbegäran.docx", "A 31463-2022")</f>
        <v/>
      </c>
      <c r="Y89">
        <f>HYPERLINK("https://klasma.github.io/Logging_2161/tillsynsmail/A 31463-2022 tillsynsbegäran mail.docx", "A 31463-2022")</f>
        <v/>
      </c>
      <c r="Z89">
        <f>HYPERLINK("https://klasma.github.io/Logging_2161/fåglar/A 31463-2022 prioriterade fågelarter.docx", "A 31463-2022")</f>
        <v/>
      </c>
    </row>
    <row r="90" ht="15" customHeight="1">
      <c r="A90" t="inlineStr">
        <is>
          <t>A 31524-2022</t>
        </is>
      </c>
      <c r="B90" s="1" t="n">
        <v>44775</v>
      </c>
      <c r="C90" s="1" t="n">
        <v>45357</v>
      </c>
      <c r="D90" t="inlineStr">
        <is>
          <t>GÄVLEBORGS LÄN</t>
        </is>
      </c>
      <c r="E90" t="inlineStr">
        <is>
          <t>LJUSDAL</t>
        </is>
      </c>
      <c r="F90" t="inlineStr">
        <is>
          <t>Sveaskog</t>
        </is>
      </c>
      <c r="G90" t="n">
        <v>38.6</v>
      </c>
      <c r="H90" t="n">
        <v>2</v>
      </c>
      <c r="I90" t="n">
        <v>2</v>
      </c>
      <c r="J90" t="n">
        <v>2</v>
      </c>
      <c r="K90" t="n">
        <v>0</v>
      </c>
      <c r="L90" t="n">
        <v>0</v>
      </c>
      <c r="M90" t="n">
        <v>0</v>
      </c>
      <c r="N90" t="n">
        <v>0</v>
      </c>
      <c r="O90" t="n">
        <v>2</v>
      </c>
      <c r="P90" t="n">
        <v>0</v>
      </c>
      <c r="Q90" t="n">
        <v>5</v>
      </c>
      <c r="R90" s="2" t="inlineStr">
        <is>
          <t>Garnlav
Gränsticka
Korallrot
Källmossa
Fläcknycklar</t>
        </is>
      </c>
      <c r="S90">
        <f>HYPERLINK("https://klasma.github.io/Logging_2161/artfynd/A 31524-2022 artfynd.xlsx", "A 31524-2022")</f>
        <v/>
      </c>
      <c r="T90">
        <f>HYPERLINK("https://klasma.github.io/Logging_2161/kartor/A 31524-2022 karta.png", "A 31524-2022")</f>
        <v/>
      </c>
      <c r="V90">
        <f>HYPERLINK("https://klasma.github.io/Logging_2161/klagomål/A 31524-2022 FSC-klagomål.docx", "A 31524-2022")</f>
        <v/>
      </c>
      <c r="W90">
        <f>HYPERLINK("https://klasma.github.io/Logging_2161/klagomålsmail/A 31524-2022 FSC-klagomål mail.docx", "A 31524-2022")</f>
        <v/>
      </c>
      <c r="X90">
        <f>HYPERLINK("https://klasma.github.io/Logging_2161/tillsyn/A 31524-2022 tillsynsbegäran.docx", "A 31524-2022")</f>
        <v/>
      </c>
      <c r="Y90">
        <f>HYPERLINK("https://klasma.github.io/Logging_2161/tillsynsmail/A 31524-2022 tillsynsbegäran mail.docx", "A 31524-2022")</f>
        <v/>
      </c>
    </row>
    <row r="91" ht="15" customHeight="1">
      <c r="A91" t="inlineStr">
        <is>
          <t>A 45278-2022</t>
        </is>
      </c>
      <c r="B91" s="1" t="n">
        <v>44840</v>
      </c>
      <c r="C91" s="1" t="n">
        <v>45357</v>
      </c>
      <c r="D91" t="inlineStr">
        <is>
          <t>GÄVLEBORGS LÄN</t>
        </is>
      </c>
      <c r="E91" t="inlineStr">
        <is>
          <t>GÄVLE</t>
        </is>
      </c>
      <c r="F91" t="inlineStr">
        <is>
          <t>Bergvik skog väst AB</t>
        </is>
      </c>
      <c r="G91" t="n">
        <v>8.5</v>
      </c>
      <c r="H91" t="n">
        <v>1</v>
      </c>
      <c r="I91" t="n">
        <v>4</v>
      </c>
      <c r="J91" t="n">
        <v>0</v>
      </c>
      <c r="K91" t="n">
        <v>0</v>
      </c>
      <c r="L91" t="n">
        <v>0</v>
      </c>
      <c r="M91" t="n">
        <v>0</v>
      </c>
      <c r="N91" t="n">
        <v>0</v>
      </c>
      <c r="O91" t="n">
        <v>0</v>
      </c>
      <c r="P91" t="n">
        <v>0</v>
      </c>
      <c r="Q91" t="n">
        <v>5</v>
      </c>
      <c r="R91" s="2" t="inlineStr">
        <is>
          <t>Grönpyrola
Svart trolldruva
Underviol
Vårärt
Blåsippa</t>
        </is>
      </c>
      <c r="S91">
        <f>HYPERLINK("https://klasma.github.io/Logging_2180/artfynd/A 45278-2022 artfynd.xlsx", "A 45278-2022")</f>
        <v/>
      </c>
      <c r="T91">
        <f>HYPERLINK("https://klasma.github.io/Logging_2180/kartor/A 45278-2022 karta.png", "A 45278-2022")</f>
        <v/>
      </c>
      <c r="V91">
        <f>HYPERLINK("https://klasma.github.io/Logging_2180/klagomål/A 45278-2022 FSC-klagomål.docx", "A 45278-2022")</f>
        <v/>
      </c>
      <c r="W91">
        <f>HYPERLINK("https://klasma.github.io/Logging_2180/klagomålsmail/A 45278-2022 FSC-klagomål mail.docx", "A 45278-2022")</f>
        <v/>
      </c>
      <c r="X91">
        <f>HYPERLINK("https://klasma.github.io/Logging_2180/tillsyn/A 45278-2022 tillsynsbegäran.docx", "A 45278-2022")</f>
        <v/>
      </c>
      <c r="Y91">
        <f>HYPERLINK("https://klasma.github.io/Logging_2180/tillsynsmail/A 45278-2022 tillsynsbegäran mail.docx", "A 45278-2022")</f>
        <v/>
      </c>
    </row>
    <row r="92" ht="15" customHeight="1">
      <c r="A92" t="inlineStr">
        <is>
          <t>A 55280-2022</t>
        </is>
      </c>
      <c r="B92" s="1" t="n">
        <v>44887</v>
      </c>
      <c r="C92" s="1" t="n">
        <v>45357</v>
      </c>
      <c r="D92" t="inlineStr">
        <is>
          <t>GÄVLEBORGS LÄN</t>
        </is>
      </c>
      <c r="E92" t="inlineStr">
        <is>
          <t>HUDIKSVALL</t>
        </is>
      </c>
      <c r="F92" t="inlineStr">
        <is>
          <t>Holmen skog AB</t>
        </is>
      </c>
      <c r="G92" t="n">
        <v>3.3</v>
      </c>
      <c r="H92" t="n">
        <v>0</v>
      </c>
      <c r="I92" t="n">
        <v>1</v>
      </c>
      <c r="J92" t="n">
        <v>4</v>
      </c>
      <c r="K92" t="n">
        <v>0</v>
      </c>
      <c r="L92" t="n">
        <v>0</v>
      </c>
      <c r="M92" t="n">
        <v>0</v>
      </c>
      <c r="N92" t="n">
        <v>0</v>
      </c>
      <c r="O92" t="n">
        <v>4</v>
      </c>
      <c r="P92" t="n">
        <v>0</v>
      </c>
      <c r="Q92" t="n">
        <v>5</v>
      </c>
      <c r="R92" s="2" t="inlineStr">
        <is>
          <t>Granticka
Ullticka
Veckticka
Vedtrappmossa
Korallblylav</t>
        </is>
      </c>
      <c r="S92">
        <f>HYPERLINK("https://klasma.github.io/Logging_2184/artfynd/A 55280-2022 artfynd.xlsx", "A 55280-2022")</f>
        <v/>
      </c>
      <c r="T92">
        <f>HYPERLINK("https://klasma.github.io/Logging_2184/kartor/A 55280-2022 karta.png", "A 55280-2022")</f>
        <v/>
      </c>
      <c r="V92">
        <f>HYPERLINK("https://klasma.github.io/Logging_2184/klagomål/A 55280-2022 FSC-klagomål.docx", "A 55280-2022")</f>
        <v/>
      </c>
      <c r="W92">
        <f>HYPERLINK("https://klasma.github.io/Logging_2184/klagomålsmail/A 55280-2022 FSC-klagomål mail.docx", "A 55280-2022")</f>
        <v/>
      </c>
      <c r="X92">
        <f>HYPERLINK("https://klasma.github.io/Logging_2184/tillsyn/A 55280-2022 tillsynsbegäran.docx", "A 55280-2022")</f>
        <v/>
      </c>
      <c r="Y92">
        <f>HYPERLINK("https://klasma.github.io/Logging_2184/tillsynsmail/A 55280-2022 tillsynsbegäran mail.docx", "A 55280-2022")</f>
        <v/>
      </c>
    </row>
    <row r="93" ht="15" customHeight="1">
      <c r="A93" t="inlineStr">
        <is>
          <t>A 58628-2022</t>
        </is>
      </c>
      <c r="B93" s="1" t="n">
        <v>44902</v>
      </c>
      <c r="C93" s="1" t="n">
        <v>45357</v>
      </c>
      <c r="D93" t="inlineStr">
        <is>
          <t>GÄVLEBORGS LÄN</t>
        </is>
      </c>
      <c r="E93" t="inlineStr">
        <is>
          <t>LJUSDAL</t>
        </is>
      </c>
      <c r="G93" t="n">
        <v>2.6</v>
      </c>
      <c r="H93" t="n">
        <v>2</v>
      </c>
      <c r="I93" t="n">
        <v>2</v>
      </c>
      <c r="J93" t="n">
        <v>2</v>
      </c>
      <c r="K93" t="n">
        <v>1</v>
      </c>
      <c r="L93" t="n">
        <v>0</v>
      </c>
      <c r="M93" t="n">
        <v>0</v>
      </c>
      <c r="N93" t="n">
        <v>0</v>
      </c>
      <c r="O93" t="n">
        <v>3</v>
      </c>
      <c r="P93" t="n">
        <v>1</v>
      </c>
      <c r="Q93" t="n">
        <v>5</v>
      </c>
      <c r="R93" s="2" t="inlineStr">
        <is>
          <t>Knärot
Tretåig hackspett
Ullticka
Skinnlav
Stuplav</t>
        </is>
      </c>
      <c r="S93">
        <f>HYPERLINK("https://klasma.github.io/Logging_2161/artfynd/A 58628-2022 artfynd.xlsx", "A 58628-2022")</f>
        <v/>
      </c>
      <c r="T93">
        <f>HYPERLINK("https://klasma.github.io/Logging_2161/kartor/A 58628-2022 karta.png", "A 58628-2022")</f>
        <v/>
      </c>
      <c r="U93">
        <f>HYPERLINK("https://klasma.github.io/Logging_2161/knärot/A 58628-2022 karta knärot.png", "A 58628-2022")</f>
        <v/>
      </c>
      <c r="V93">
        <f>HYPERLINK("https://klasma.github.io/Logging_2161/klagomål/A 58628-2022 FSC-klagomål.docx", "A 58628-2022")</f>
        <v/>
      </c>
      <c r="W93">
        <f>HYPERLINK("https://klasma.github.io/Logging_2161/klagomålsmail/A 58628-2022 FSC-klagomål mail.docx", "A 58628-2022")</f>
        <v/>
      </c>
      <c r="X93">
        <f>HYPERLINK("https://klasma.github.io/Logging_2161/tillsyn/A 58628-2022 tillsynsbegäran.docx", "A 58628-2022")</f>
        <v/>
      </c>
      <c r="Y93">
        <f>HYPERLINK("https://klasma.github.io/Logging_2161/tillsynsmail/A 58628-2022 tillsynsbegäran mail.docx", "A 58628-2022")</f>
        <v/>
      </c>
      <c r="Z93">
        <f>HYPERLINK("https://klasma.github.io/Logging_2161/fåglar/A 58628-2022 prioriterade fågelarter.docx", "A 58628-2022")</f>
        <v/>
      </c>
    </row>
    <row r="94" ht="15" customHeight="1">
      <c r="A94" t="inlineStr">
        <is>
          <t>A 11990-2023</t>
        </is>
      </c>
      <c r="B94" s="1" t="n">
        <v>44995</v>
      </c>
      <c r="C94" s="1" t="n">
        <v>45357</v>
      </c>
      <c r="D94" t="inlineStr">
        <is>
          <t>GÄVLEBORGS LÄN</t>
        </is>
      </c>
      <c r="E94" t="inlineStr">
        <is>
          <t>SANDVIKEN</t>
        </is>
      </c>
      <c r="G94" t="n">
        <v>1.3</v>
      </c>
      <c r="H94" t="n">
        <v>0</v>
      </c>
      <c r="I94" t="n">
        <v>5</v>
      </c>
      <c r="J94" t="n">
        <v>0</v>
      </c>
      <c r="K94" t="n">
        <v>0</v>
      </c>
      <c r="L94" t="n">
        <v>0</v>
      </c>
      <c r="M94" t="n">
        <v>0</v>
      </c>
      <c r="N94" t="n">
        <v>0</v>
      </c>
      <c r="O94" t="n">
        <v>0</v>
      </c>
      <c r="P94" t="n">
        <v>0</v>
      </c>
      <c r="Q94" t="n">
        <v>5</v>
      </c>
      <c r="R94" s="2" t="inlineStr">
        <is>
          <t>Aspvedgnagare
Bronshjon
Thomsons trägnagare
Vedticka
Vågbandad barkbock</t>
        </is>
      </c>
      <c r="S94">
        <f>HYPERLINK("https://klasma.github.io/Logging_2181/artfynd/A 11990-2023 artfynd.xlsx", "A 11990-2023")</f>
        <v/>
      </c>
      <c r="T94">
        <f>HYPERLINK("https://klasma.github.io/Logging_2181/kartor/A 11990-2023 karta.png", "A 11990-2023")</f>
        <v/>
      </c>
      <c r="V94">
        <f>HYPERLINK("https://klasma.github.io/Logging_2181/klagomål/A 11990-2023 FSC-klagomål.docx", "A 11990-2023")</f>
        <v/>
      </c>
      <c r="W94">
        <f>HYPERLINK("https://klasma.github.io/Logging_2181/klagomålsmail/A 11990-2023 FSC-klagomål mail.docx", "A 11990-2023")</f>
        <v/>
      </c>
      <c r="X94">
        <f>HYPERLINK("https://klasma.github.io/Logging_2181/tillsyn/A 11990-2023 tillsynsbegäran.docx", "A 11990-2023")</f>
        <v/>
      </c>
      <c r="Y94">
        <f>HYPERLINK("https://klasma.github.io/Logging_2181/tillsynsmail/A 11990-2023 tillsynsbegäran mail.docx", "A 11990-2023")</f>
        <v/>
      </c>
    </row>
    <row r="95" ht="15" customHeight="1">
      <c r="A95" t="inlineStr">
        <is>
          <t>A 13750-2023</t>
        </is>
      </c>
      <c r="B95" s="1" t="n">
        <v>45007</v>
      </c>
      <c r="C95" s="1" t="n">
        <v>45357</v>
      </c>
      <c r="D95" t="inlineStr">
        <is>
          <t>GÄVLEBORGS LÄN</t>
        </is>
      </c>
      <c r="E95" t="inlineStr">
        <is>
          <t>HOFORS</t>
        </is>
      </c>
      <c r="F95" t="inlineStr">
        <is>
          <t>Övriga statliga verk och myndigheter</t>
        </is>
      </c>
      <c r="G95" t="n">
        <v>1.1</v>
      </c>
      <c r="H95" t="n">
        <v>1</v>
      </c>
      <c r="I95" t="n">
        <v>2</v>
      </c>
      <c r="J95" t="n">
        <v>3</v>
      </c>
      <c r="K95" t="n">
        <v>0</v>
      </c>
      <c r="L95" t="n">
        <v>0</v>
      </c>
      <c r="M95" t="n">
        <v>0</v>
      </c>
      <c r="N95" t="n">
        <v>0</v>
      </c>
      <c r="O95" t="n">
        <v>3</v>
      </c>
      <c r="P95" t="n">
        <v>0</v>
      </c>
      <c r="Q95" t="n">
        <v>5</v>
      </c>
      <c r="R95" s="2" t="inlineStr">
        <is>
          <t>Gultoppig fingersvamp
Leptoporus mollis
Talltita
Fjällig taggsvamp s.str.
Vedticka</t>
        </is>
      </c>
      <c r="S95">
        <f>HYPERLINK("https://klasma.github.io/Logging_2104/artfynd/A 13750-2023 artfynd.xlsx", "A 13750-2023")</f>
        <v/>
      </c>
      <c r="T95">
        <f>HYPERLINK("https://klasma.github.io/Logging_2104/kartor/A 13750-2023 karta.png", "A 13750-2023")</f>
        <v/>
      </c>
      <c r="V95">
        <f>HYPERLINK("https://klasma.github.io/Logging_2104/klagomål/A 13750-2023 FSC-klagomål.docx", "A 13750-2023")</f>
        <v/>
      </c>
      <c r="W95">
        <f>HYPERLINK("https://klasma.github.io/Logging_2104/klagomålsmail/A 13750-2023 FSC-klagomål mail.docx", "A 13750-2023")</f>
        <v/>
      </c>
      <c r="X95">
        <f>HYPERLINK("https://klasma.github.io/Logging_2104/tillsyn/A 13750-2023 tillsynsbegäran.docx", "A 13750-2023")</f>
        <v/>
      </c>
      <c r="Y95">
        <f>HYPERLINK("https://klasma.github.io/Logging_2104/tillsynsmail/A 13750-2023 tillsynsbegäran mail.docx", "A 13750-2023")</f>
        <v/>
      </c>
      <c r="Z95">
        <f>HYPERLINK("https://klasma.github.io/Logging_2104/fåglar/A 13750-2023 prioriterade fågelarter.docx", "A 13750-2023")</f>
        <v/>
      </c>
    </row>
    <row r="96" ht="15" customHeight="1">
      <c r="A96" t="inlineStr">
        <is>
          <t>A 13740-2023</t>
        </is>
      </c>
      <c r="B96" s="1" t="n">
        <v>45007</v>
      </c>
      <c r="C96" s="1" t="n">
        <v>45357</v>
      </c>
      <c r="D96" t="inlineStr">
        <is>
          <t>GÄVLEBORGS LÄN</t>
        </is>
      </c>
      <c r="E96" t="inlineStr">
        <is>
          <t>HOFORS</t>
        </is>
      </c>
      <c r="F96" t="inlineStr">
        <is>
          <t>Övriga statliga verk och myndigheter</t>
        </is>
      </c>
      <c r="G96" t="n">
        <v>2.7</v>
      </c>
      <c r="H96" t="n">
        <v>2</v>
      </c>
      <c r="I96" t="n">
        <v>1</v>
      </c>
      <c r="J96" t="n">
        <v>3</v>
      </c>
      <c r="K96" t="n">
        <v>1</v>
      </c>
      <c r="L96" t="n">
        <v>0</v>
      </c>
      <c r="M96" t="n">
        <v>0</v>
      </c>
      <c r="N96" t="n">
        <v>0</v>
      </c>
      <c r="O96" t="n">
        <v>4</v>
      </c>
      <c r="P96" t="n">
        <v>1</v>
      </c>
      <c r="Q96" t="n">
        <v>5</v>
      </c>
      <c r="R96" s="2" t="inlineStr">
        <is>
          <t>Knärot
Garnlav
Spillkråka
Ullticka
Vedticka</t>
        </is>
      </c>
      <c r="S96">
        <f>HYPERLINK("https://klasma.github.io/Logging_2104/artfynd/A 13740-2023 artfynd.xlsx", "A 13740-2023")</f>
        <v/>
      </c>
      <c r="T96">
        <f>HYPERLINK("https://klasma.github.io/Logging_2104/kartor/A 13740-2023 karta.png", "A 13740-2023")</f>
        <v/>
      </c>
      <c r="U96">
        <f>HYPERLINK("https://klasma.github.io/Logging_2104/knärot/A 13740-2023 karta knärot.png", "A 13740-2023")</f>
        <v/>
      </c>
      <c r="V96">
        <f>HYPERLINK("https://klasma.github.io/Logging_2104/klagomål/A 13740-2023 FSC-klagomål.docx", "A 13740-2023")</f>
        <v/>
      </c>
      <c r="W96">
        <f>HYPERLINK("https://klasma.github.io/Logging_2104/klagomålsmail/A 13740-2023 FSC-klagomål mail.docx", "A 13740-2023")</f>
        <v/>
      </c>
      <c r="X96">
        <f>HYPERLINK("https://klasma.github.io/Logging_2104/tillsyn/A 13740-2023 tillsynsbegäran.docx", "A 13740-2023")</f>
        <v/>
      </c>
      <c r="Y96">
        <f>HYPERLINK("https://klasma.github.io/Logging_2104/tillsynsmail/A 13740-2023 tillsynsbegäran mail.docx", "A 13740-2023")</f>
        <v/>
      </c>
      <c r="Z96">
        <f>HYPERLINK("https://klasma.github.io/Logging_2104/fåglar/A 13740-2023 prioriterade fågelarter.docx", "A 13740-2023")</f>
        <v/>
      </c>
    </row>
    <row r="97" ht="15" customHeight="1">
      <c r="A97" t="inlineStr">
        <is>
          <t>A 19521-2023</t>
        </is>
      </c>
      <c r="B97" s="1" t="n">
        <v>45050</v>
      </c>
      <c r="C97" s="1" t="n">
        <v>45357</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45357</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45357</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45357</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45357</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45357</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45357</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45357</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45357</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46239-2018</t>
        </is>
      </c>
      <c r="B106" s="1" t="n">
        <v>43367</v>
      </c>
      <c r="C106" s="1" t="n">
        <v>45357</v>
      </c>
      <c r="D106" t="inlineStr">
        <is>
          <t>GÄVLEBORGS LÄN</t>
        </is>
      </c>
      <c r="E106" t="inlineStr">
        <is>
          <t>LJUSDAL</t>
        </is>
      </c>
      <c r="G106" t="n">
        <v>113.5</v>
      </c>
      <c r="H106" t="n">
        <v>3</v>
      </c>
      <c r="I106" t="n">
        <v>0</v>
      </c>
      <c r="J106" t="n">
        <v>2</v>
      </c>
      <c r="K106" t="n">
        <v>0</v>
      </c>
      <c r="L106" t="n">
        <v>0</v>
      </c>
      <c r="M106" t="n">
        <v>1</v>
      </c>
      <c r="N106" t="n">
        <v>0</v>
      </c>
      <c r="O106" t="n">
        <v>3</v>
      </c>
      <c r="P106" t="n">
        <v>1</v>
      </c>
      <c r="Q106" t="n">
        <v>4</v>
      </c>
      <c r="R106" s="2" t="inlineStr">
        <is>
          <t>Ortolansparv
Buskskvätta
Slåtterfibbla
Nattviol</t>
        </is>
      </c>
      <c r="S106">
        <f>HYPERLINK("https://klasma.github.io/Logging_2161/artfynd/A 46239-2018 artfynd.xlsx", "A 46239-2018")</f>
        <v/>
      </c>
      <c r="T106">
        <f>HYPERLINK("https://klasma.github.io/Logging_2161/kartor/A 46239-2018 karta.png", "A 46239-2018")</f>
        <v/>
      </c>
      <c r="V106">
        <f>HYPERLINK("https://klasma.github.io/Logging_2161/klagomål/A 46239-2018 FSC-klagomål.docx", "A 46239-2018")</f>
        <v/>
      </c>
      <c r="W106">
        <f>HYPERLINK("https://klasma.github.io/Logging_2161/klagomålsmail/A 46239-2018 FSC-klagomål mail.docx", "A 46239-2018")</f>
        <v/>
      </c>
      <c r="X106">
        <f>HYPERLINK("https://klasma.github.io/Logging_2161/tillsyn/A 46239-2018 tillsynsbegäran.docx", "A 46239-2018")</f>
        <v/>
      </c>
      <c r="Y106">
        <f>HYPERLINK("https://klasma.github.io/Logging_2161/tillsynsmail/A 46239-2018 tillsynsbegäran mail.docx", "A 46239-2018")</f>
        <v/>
      </c>
      <c r="Z106">
        <f>HYPERLINK("https://klasma.github.io/Logging_2161/fåglar/A 46239-2018 prioriterade fågelarter.docx", "A 46239-2018")</f>
        <v/>
      </c>
    </row>
    <row r="107" ht="15" customHeight="1">
      <c r="A107" t="inlineStr">
        <is>
          <t>A 57120-2018</t>
        </is>
      </c>
      <c r="B107" s="1" t="n">
        <v>43403</v>
      </c>
      <c r="C107" s="1" t="n">
        <v>45357</v>
      </c>
      <c r="D107" t="inlineStr">
        <is>
          <t>GÄVLEBORGS LÄN</t>
        </is>
      </c>
      <c r="E107" t="inlineStr">
        <is>
          <t>HUDIKSVALL</t>
        </is>
      </c>
      <c r="F107" t="inlineStr">
        <is>
          <t>Holmen skog AB</t>
        </is>
      </c>
      <c r="G107" t="n">
        <v>6.8</v>
      </c>
      <c r="H107" t="n">
        <v>1</v>
      </c>
      <c r="I107" t="n">
        <v>0</v>
      </c>
      <c r="J107" t="n">
        <v>4</v>
      </c>
      <c r="K107" t="n">
        <v>0</v>
      </c>
      <c r="L107" t="n">
        <v>0</v>
      </c>
      <c r="M107" t="n">
        <v>0</v>
      </c>
      <c r="N107" t="n">
        <v>0</v>
      </c>
      <c r="O107" t="n">
        <v>4</v>
      </c>
      <c r="P107" t="n">
        <v>0</v>
      </c>
      <c r="Q107" t="n">
        <v>4</v>
      </c>
      <c r="R107" s="2" t="inlineStr">
        <is>
          <t>Kortskaftad ärgspik
Tallticka
Tretåig hackspett
Ullticka</t>
        </is>
      </c>
      <c r="S107">
        <f>HYPERLINK("https://klasma.github.io/Logging_2184/artfynd/A 57120-2018 artfynd.xlsx", "A 57120-2018")</f>
        <v/>
      </c>
      <c r="T107">
        <f>HYPERLINK("https://klasma.github.io/Logging_2184/kartor/A 57120-2018 karta.png", "A 57120-2018")</f>
        <v/>
      </c>
      <c r="V107">
        <f>HYPERLINK("https://klasma.github.io/Logging_2184/klagomål/A 57120-2018 FSC-klagomål.docx", "A 57120-2018")</f>
        <v/>
      </c>
      <c r="W107">
        <f>HYPERLINK("https://klasma.github.io/Logging_2184/klagomålsmail/A 57120-2018 FSC-klagomål mail.docx", "A 57120-2018")</f>
        <v/>
      </c>
      <c r="X107">
        <f>HYPERLINK("https://klasma.github.io/Logging_2184/tillsyn/A 57120-2018 tillsynsbegäran.docx", "A 57120-2018")</f>
        <v/>
      </c>
      <c r="Y107">
        <f>HYPERLINK("https://klasma.github.io/Logging_2184/tillsynsmail/A 57120-2018 tillsynsbegäran mail.docx", "A 57120-2018")</f>
        <v/>
      </c>
      <c r="Z107">
        <f>HYPERLINK("https://klasma.github.io/Logging_2184/fåglar/A 57120-2018 prioriterade fågelarter.docx", "A 57120-2018")</f>
        <v/>
      </c>
    </row>
    <row r="108" ht="15" customHeight="1">
      <c r="A108" t="inlineStr">
        <is>
          <t>A 67528-2018</t>
        </is>
      </c>
      <c r="B108" s="1" t="n">
        <v>43432</v>
      </c>
      <c r="C108" s="1" t="n">
        <v>45357</v>
      </c>
      <c r="D108" t="inlineStr">
        <is>
          <t>GÄVLEBORGS LÄN</t>
        </is>
      </c>
      <c r="E108" t="inlineStr">
        <is>
          <t>LJUSDAL</t>
        </is>
      </c>
      <c r="F108" t="inlineStr">
        <is>
          <t>Sveaskog</t>
        </is>
      </c>
      <c r="G108" t="n">
        <v>509.1</v>
      </c>
      <c r="H108" t="n">
        <v>1</v>
      </c>
      <c r="I108" t="n">
        <v>1</v>
      </c>
      <c r="J108" t="n">
        <v>2</v>
      </c>
      <c r="K108" t="n">
        <v>0</v>
      </c>
      <c r="L108" t="n">
        <v>0</v>
      </c>
      <c r="M108" t="n">
        <v>1</v>
      </c>
      <c r="N108" t="n">
        <v>0</v>
      </c>
      <c r="O108" t="n">
        <v>3</v>
      </c>
      <c r="P108" t="n">
        <v>1</v>
      </c>
      <c r="Q108" t="n">
        <v>4</v>
      </c>
      <c r="R108" s="2" t="inlineStr">
        <is>
          <t>Ortolansparv
Brunag
Svedjenäva
Tibast</t>
        </is>
      </c>
      <c r="S108">
        <f>HYPERLINK("https://klasma.github.io/Logging_2161/artfynd/A 67528-2018 artfynd.xlsx", "A 67528-2018")</f>
        <v/>
      </c>
      <c r="T108">
        <f>HYPERLINK("https://klasma.github.io/Logging_2161/kartor/A 67528-2018 karta.png", "A 67528-2018")</f>
        <v/>
      </c>
      <c r="V108">
        <f>HYPERLINK("https://klasma.github.io/Logging_2161/klagomål/A 67528-2018 FSC-klagomål.docx", "A 67528-2018")</f>
        <v/>
      </c>
      <c r="W108">
        <f>HYPERLINK("https://klasma.github.io/Logging_2161/klagomålsmail/A 67528-2018 FSC-klagomål mail.docx", "A 67528-2018")</f>
        <v/>
      </c>
      <c r="X108">
        <f>HYPERLINK("https://klasma.github.io/Logging_2161/tillsyn/A 67528-2018 tillsynsbegäran.docx", "A 67528-2018")</f>
        <v/>
      </c>
      <c r="Y108">
        <f>HYPERLINK("https://klasma.github.io/Logging_2161/tillsynsmail/A 67528-2018 tillsynsbegäran mail.docx", "A 67528-2018")</f>
        <v/>
      </c>
      <c r="Z108">
        <f>HYPERLINK("https://klasma.github.io/Logging_2161/fåglar/A 67528-2018 prioriterade fågelarter.docx", "A 67528-2018")</f>
        <v/>
      </c>
    </row>
    <row r="109" ht="15" customHeight="1">
      <c r="A109" t="inlineStr">
        <is>
          <t>A 47377-2019</t>
        </is>
      </c>
      <c r="B109" s="1" t="n">
        <v>43721</v>
      </c>
      <c r="C109" s="1" t="n">
        <v>45357</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45357</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45357</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45357</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45357</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64590-2020</t>
        </is>
      </c>
      <c r="B114" s="1" t="n">
        <v>44169</v>
      </c>
      <c r="C114" s="1" t="n">
        <v>45357</v>
      </c>
      <c r="D114" t="inlineStr">
        <is>
          <t>GÄVLEBORGS LÄN</t>
        </is>
      </c>
      <c r="E114" t="inlineStr">
        <is>
          <t>OCKELBO</t>
        </is>
      </c>
      <c r="F114" t="inlineStr">
        <is>
          <t>Bergvik skog väst AB</t>
        </is>
      </c>
      <c r="G114" t="n">
        <v>2.8</v>
      </c>
      <c r="H114" t="n">
        <v>1</v>
      </c>
      <c r="I114" t="n">
        <v>0</v>
      </c>
      <c r="J114" t="n">
        <v>3</v>
      </c>
      <c r="K114" t="n">
        <v>0</v>
      </c>
      <c r="L114" t="n">
        <v>0</v>
      </c>
      <c r="M114" t="n">
        <v>0</v>
      </c>
      <c r="N114" t="n">
        <v>0</v>
      </c>
      <c r="O114" t="n">
        <v>3</v>
      </c>
      <c r="P114" t="n">
        <v>0</v>
      </c>
      <c r="Q114" t="n">
        <v>4</v>
      </c>
      <c r="R114" s="2" t="inlineStr">
        <is>
          <t>Garnlav
Motaggsvamp
Vedskivlav
Revlummer</t>
        </is>
      </c>
      <c r="S114">
        <f>HYPERLINK("https://klasma.github.io/Logging_2101/artfynd/A 64590-2020 artfynd.xlsx", "A 64590-2020")</f>
        <v/>
      </c>
      <c r="T114">
        <f>HYPERLINK("https://klasma.github.io/Logging_2101/kartor/A 64590-2020 karta.png", "A 64590-2020")</f>
        <v/>
      </c>
      <c r="V114">
        <f>HYPERLINK("https://klasma.github.io/Logging_2101/klagomål/A 64590-2020 FSC-klagomål.docx", "A 64590-2020")</f>
        <v/>
      </c>
      <c r="W114">
        <f>HYPERLINK("https://klasma.github.io/Logging_2101/klagomålsmail/A 64590-2020 FSC-klagomål mail.docx", "A 64590-2020")</f>
        <v/>
      </c>
      <c r="X114">
        <f>HYPERLINK("https://klasma.github.io/Logging_2101/tillsyn/A 64590-2020 tillsynsbegäran.docx", "A 64590-2020")</f>
        <v/>
      </c>
      <c r="Y114">
        <f>HYPERLINK("https://klasma.github.io/Logging_2101/tillsynsmail/A 64590-2020 tillsynsbegäran mail.docx", "A 64590-2020")</f>
        <v/>
      </c>
    </row>
    <row r="115" ht="15" customHeight="1">
      <c r="A115" t="inlineStr">
        <is>
          <t>A 48181-2021</t>
        </is>
      </c>
      <c r="B115" s="1" t="n">
        <v>44449</v>
      </c>
      <c r="C115" s="1" t="n">
        <v>45357</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45357</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45357</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45357</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45357</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44589-2022</t>
        </is>
      </c>
      <c r="B120" s="1" t="n">
        <v>44840</v>
      </c>
      <c r="C120" s="1" t="n">
        <v>45357</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45357</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18274-2023</t>
        </is>
      </c>
      <c r="B122" s="1" t="n">
        <v>45041</v>
      </c>
      <c r="C122" s="1" t="n">
        <v>45357</v>
      </c>
      <c r="D122" t="inlineStr">
        <is>
          <t>GÄVLEBORGS LÄN</t>
        </is>
      </c>
      <c r="E122" t="inlineStr">
        <is>
          <t>SÖDERHAMN</t>
        </is>
      </c>
      <c r="F122" t="inlineStr">
        <is>
          <t>Bergvik skog väst AB</t>
        </is>
      </c>
      <c r="G122" t="n">
        <v>10.6</v>
      </c>
      <c r="H122" t="n">
        <v>4</v>
      </c>
      <c r="I122" t="n">
        <v>0</v>
      </c>
      <c r="J122" t="n">
        <v>4</v>
      </c>
      <c r="K122" t="n">
        <v>0</v>
      </c>
      <c r="L122" t="n">
        <v>0</v>
      </c>
      <c r="M122" t="n">
        <v>0</v>
      </c>
      <c r="N122" t="n">
        <v>0</v>
      </c>
      <c r="O122" t="n">
        <v>4</v>
      </c>
      <c r="P122" t="n">
        <v>0</v>
      </c>
      <c r="Q122" t="n">
        <v>4</v>
      </c>
      <c r="R122" s="2" t="inlineStr">
        <is>
          <t>Mindre hackspett
Rödvingetrast
Talltita
Ärtsångare</t>
        </is>
      </c>
      <c r="S122">
        <f>HYPERLINK("https://klasma.github.io/Logging_2182/artfynd/A 18274-2023 artfynd.xlsx", "A 18274-2023")</f>
        <v/>
      </c>
      <c r="T122">
        <f>HYPERLINK("https://klasma.github.io/Logging_2182/kartor/A 18274-2023 karta.png", "A 18274-2023")</f>
        <v/>
      </c>
      <c r="V122">
        <f>HYPERLINK("https://klasma.github.io/Logging_2182/klagomål/A 18274-2023 FSC-klagomål.docx", "A 18274-2023")</f>
        <v/>
      </c>
      <c r="W122">
        <f>HYPERLINK("https://klasma.github.io/Logging_2182/klagomålsmail/A 18274-2023 FSC-klagomål mail.docx", "A 18274-2023")</f>
        <v/>
      </c>
      <c r="X122">
        <f>HYPERLINK("https://klasma.github.io/Logging_2182/tillsyn/A 18274-2023 tillsynsbegäran.docx", "A 18274-2023")</f>
        <v/>
      </c>
      <c r="Y122">
        <f>HYPERLINK("https://klasma.github.io/Logging_2182/tillsynsmail/A 18274-2023 tillsynsbegäran mail.docx", "A 18274-2023")</f>
        <v/>
      </c>
      <c r="Z122">
        <f>HYPERLINK("https://klasma.github.io/Logging_2182/fåglar/A 18274-2023 prioriterade fågelarter.docx", "A 18274-2023")</f>
        <v/>
      </c>
    </row>
    <row r="123" ht="15" customHeight="1">
      <c r="A123" t="inlineStr">
        <is>
          <t>A 22978-2023</t>
        </is>
      </c>
      <c r="B123" s="1" t="n">
        <v>45072</v>
      </c>
      <c r="C123" s="1" t="n">
        <v>45357</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45357</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45357</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45357</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45357</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45196-2023</t>
        </is>
      </c>
      <c r="B128" s="1" t="n">
        <v>45191</v>
      </c>
      <c r="C128" s="1" t="n">
        <v>45357</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45357</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45357</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45357</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45357</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45357</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45357</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45357</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45357</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45357</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45357</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43562-2018</t>
        </is>
      </c>
      <c r="B139" s="1" t="n">
        <v>43357</v>
      </c>
      <c r="C139" s="1" t="n">
        <v>45357</v>
      </c>
      <c r="D139" t="inlineStr">
        <is>
          <t>GÄVLEBORGS LÄN</t>
        </is>
      </c>
      <c r="E139" t="inlineStr">
        <is>
          <t>LJUSDAL</t>
        </is>
      </c>
      <c r="G139" t="n">
        <v>64.59999999999999</v>
      </c>
      <c r="H139" t="n">
        <v>3</v>
      </c>
      <c r="I139" t="n">
        <v>0</v>
      </c>
      <c r="J139" t="n">
        <v>3</v>
      </c>
      <c r="K139" t="n">
        <v>0</v>
      </c>
      <c r="L139" t="n">
        <v>0</v>
      </c>
      <c r="M139" t="n">
        <v>0</v>
      </c>
      <c r="N139" t="n">
        <v>0</v>
      </c>
      <c r="O139" t="n">
        <v>3</v>
      </c>
      <c r="P139" t="n">
        <v>0</v>
      </c>
      <c r="Q139" t="n">
        <v>3</v>
      </c>
      <c r="R139" s="2" t="inlineStr">
        <is>
          <t>Björktrast
Rödvingetrast
Tretåig hackspett</t>
        </is>
      </c>
      <c r="S139">
        <f>HYPERLINK("https://klasma.github.io/Logging_2161/artfynd/A 43562-2018 artfynd.xlsx", "A 43562-2018")</f>
        <v/>
      </c>
      <c r="T139">
        <f>HYPERLINK("https://klasma.github.io/Logging_2161/kartor/A 43562-2018 karta.png", "A 43562-2018")</f>
        <v/>
      </c>
      <c r="V139">
        <f>HYPERLINK("https://klasma.github.io/Logging_2161/klagomål/A 43562-2018 FSC-klagomål.docx", "A 43562-2018")</f>
        <v/>
      </c>
      <c r="W139">
        <f>HYPERLINK("https://klasma.github.io/Logging_2161/klagomålsmail/A 43562-2018 FSC-klagomål mail.docx", "A 43562-2018")</f>
        <v/>
      </c>
      <c r="X139">
        <f>HYPERLINK("https://klasma.github.io/Logging_2161/tillsyn/A 43562-2018 tillsynsbegäran.docx", "A 43562-2018")</f>
        <v/>
      </c>
      <c r="Y139">
        <f>HYPERLINK("https://klasma.github.io/Logging_2161/tillsynsmail/A 43562-2018 tillsynsbegäran mail.docx", "A 43562-2018")</f>
        <v/>
      </c>
      <c r="Z139">
        <f>HYPERLINK("https://klasma.github.io/Logging_2161/fåglar/A 43562-2018 prioriterade fågelarter.docx", "A 43562-2018")</f>
        <v/>
      </c>
    </row>
    <row r="140" ht="15" customHeight="1">
      <c r="A140" t="inlineStr">
        <is>
          <t>A 21895-2019</t>
        </is>
      </c>
      <c r="B140" s="1" t="n">
        <v>43584</v>
      </c>
      <c r="C140" s="1" t="n">
        <v>45357</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45357</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45357</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45357</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45357</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45357</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45357</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45357</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45357</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45357</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45357</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45357</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45357</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21238-2021</t>
        </is>
      </c>
      <c r="B153" s="1" t="n">
        <v>44320</v>
      </c>
      <c r="C153" s="1" t="n">
        <v>45357</v>
      </c>
      <c r="D153" t="inlineStr">
        <is>
          <t>GÄVLEBORGS LÄN</t>
        </is>
      </c>
      <c r="E153" t="inlineStr">
        <is>
          <t>OVANÅKER</t>
        </is>
      </c>
      <c r="F153" t="inlineStr">
        <is>
          <t>Sveaskog</t>
        </is>
      </c>
      <c r="G153" t="n">
        <v>1.7</v>
      </c>
      <c r="H153" t="n">
        <v>0</v>
      </c>
      <c r="I153" t="n">
        <v>0</v>
      </c>
      <c r="J153" t="n">
        <v>3</v>
      </c>
      <c r="K153" t="n">
        <v>0</v>
      </c>
      <c r="L153" t="n">
        <v>0</v>
      </c>
      <c r="M153" t="n">
        <v>0</v>
      </c>
      <c r="N153" t="n">
        <v>0</v>
      </c>
      <c r="O153" t="n">
        <v>3</v>
      </c>
      <c r="P153" t="n">
        <v>0</v>
      </c>
      <c r="Q153" t="n">
        <v>3</v>
      </c>
      <c r="R153" s="2" t="inlineStr">
        <is>
          <t>Dvärgbägarlav
Gammelgransskål
Kolflarnlav</t>
        </is>
      </c>
      <c r="S153">
        <f>HYPERLINK("https://klasma.github.io/Logging_2121/artfynd/A 21238-2021 artfynd.xlsx", "A 21238-2021")</f>
        <v/>
      </c>
      <c r="T153">
        <f>HYPERLINK("https://klasma.github.io/Logging_2121/kartor/A 21238-2021 karta.png", "A 21238-2021")</f>
        <v/>
      </c>
      <c r="V153">
        <f>HYPERLINK("https://klasma.github.io/Logging_2121/klagomål/A 21238-2021 FSC-klagomål.docx", "A 21238-2021")</f>
        <v/>
      </c>
      <c r="W153">
        <f>HYPERLINK("https://klasma.github.io/Logging_2121/klagomålsmail/A 21238-2021 FSC-klagomål mail.docx", "A 21238-2021")</f>
        <v/>
      </c>
      <c r="X153">
        <f>HYPERLINK("https://klasma.github.io/Logging_2121/tillsyn/A 21238-2021 tillsynsbegäran.docx", "A 21238-2021")</f>
        <v/>
      </c>
      <c r="Y153">
        <f>HYPERLINK("https://klasma.github.io/Logging_2121/tillsynsmail/A 21238-2021 tillsynsbegäran mail.docx", "A 21238-2021")</f>
        <v/>
      </c>
    </row>
    <row r="154" ht="15" customHeight="1">
      <c r="A154" t="inlineStr">
        <is>
          <t>A 22461-2021</t>
        </is>
      </c>
      <c r="B154" s="1" t="n">
        <v>44326</v>
      </c>
      <c r="C154" s="1" t="n">
        <v>45357</v>
      </c>
      <c r="D154" t="inlineStr">
        <is>
          <t>GÄVLEBORGS LÄN</t>
        </is>
      </c>
      <c r="E154" t="inlineStr">
        <is>
          <t>LJUSDAL</t>
        </is>
      </c>
      <c r="F154" t="inlineStr">
        <is>
          <t>Sveaskog</t>
        </is>
      </c>
      <c r="G154" t="n">
        <v>7.1</v>
      </c>
      <c r="H154" t="n">
        <v>1</v>
      </c>
      <c r="I154" t="n">
        <v>1</v>
      </c>
      <c r="J154" t="n">
        <v>1</v>
      </c>
      <c r="K154" t="n">
        <v>0</v>
      </c>
      <c r="L154" t="n">
        <v>0</v>
      </c>
      <c r="M154" t="n">
        <v>0</v>
      </c>
      <c r="N154" t="n">
        <v>0</v>
      </c>
      <c r="O154" t="n">
        <v>1</v>
      </c>
      <c r="P154" t="n">
        <v>0</v>
      </c>
      <c r="Q154" t="n">
        <v>3</v>
      </c>
      <c r="R154" s="2" t="inlineStr">
        <is>
          <t>Lunglav
Stuplav
Revlummer</t>
        </is>
      </c>
      <c r="S154">
        <f>HYPERLINK("https://klasma.github.io/Logging_2161/artfynd/A 22461-2021 artfynd.xlsx", "A 22461-2021")</f>
        <v/>
      </c>
      <c r="T154">
        <f>HYPERLINK("https://klasma.github.io/Logging_2161/kartor/A 22461-2021 karta.png", "A 22461-2021")</f>
        <v/>
      </c>
      <c r="V154">
        <f>HYPERLINK("https://klasma.github.io/Logging_2161/klagomål/A 22461-2021 FSC-klagomål.docx", "A 22461-2021")</f>
        <v/>
      </c>
      <c r="W154">
        <f>HYPERLINK("https://klasma.github.io/Logging_2161/klagomålsmail/A 22461-2021 FSC-klagomål mail.docx", "A 22461-2021")</f>
        <v/>
      </c>
      <c r="X154">
        <f>HYPERLINK("https://klasma.github.io/Logging_2161/tillsyn/A 22461-2021 tillsynsbegäran.docx", "A 22461-2021")</f>
        <v/>
      </c>
      <c r="Y154">
        <f>HYPERLINK("https://klasma.github.io/Logging_2161/tillsynsmail/A 22461-2021 tillsynsbegäran mail.docx", "A 22461-2021")</f>
        <v/>
      </c>
    </row>
    <row r="155" ht="15" customHeight="1">
      <c r="A155" t="inlineStr">
        <is>
          <t>A 34590-2021</t>
        </is>
      </c>
      <c r="B155" s="1" t="n">
        <v>44382</v>
      </c>
      <c r="C155" s="1" t="n">
        <v>45357</v>
      </c>
      <c r="D155" t="inlineStr">
        <is>
          <t>GÄVLEBORGS LÄN</t>
        </is>
      </c>
      <c r="E155" t="inlineStr">
        <is>
          <t>BOLLNÄS</t>
        </is>
      </c>
      <c r="F155" t="inlineStr">
        <is>
          <t>Bergvik skog väst AB</t>
        </is>
      </c>
      <c r="G155" t="n">
        <v>5.6</v>
      </c>
      <c r="H155" t="n">
        <v>2</v>
      </c>
      <c r="I155" t="n">
        <v>1</v>
      </c>
      <c r="J155" t="n">
        <v>0</v>
      </c>
      <c r="K155" t="n">
        <v>0</v>
      </c>
      <c r="L155" t="n">
        <v>0</v>
      </c>
      <c r="M155" t="n">
        <v>0</v>
      </c>
      <c r="N155" t="n">
        <v>0</v>
      </c>
      <c r="O155" t="n">
        <v>0</v>
      </c>
      <c r="P155" t="n">
        <v>0</v>
      </c>
      <c r="Q155" t="n">
        <v>3</v>
      </c>
      <c r="R155" s="2" t="inlineStr">
        <is>
          <t>Tibast
Brudsporre
Fläcknycklar</t>
        </is>
      </c>
      <c r="S155">
        <f>HYPERLINK("https://klasma.github.io/Logging_2183/artfynd/A 34590-2021 artfynd.xlsx", "A 34590-2021")</f>
        <v/>
      </c>
      <c r="T155">
        <f>HYPERLINK("https://klasma.github.io/Logging_2183/kartor/A 34590-2021 karta.png", "A 34590-2021")</f>
        <v/>
      </c>
      <c r="V155">
        <f>HYPERLINK("https://klasma.github.io/Logging_2183/klagomål/A 34590-2021 FSC-klagomål.docx", "A 34590-2021")</f>
        <v/>
      </c>
      <c r="W155">
        <f>HYPERLINK("https://klasma.github.io/Logging_2183/klagomålsmail/A 34590-2021 FSC-klagomål mail.docx", "A 34590-2021")</f>
        <v/>
      </c>
      <c r="X155">
        <f>HYPERLINK("https://klasma.github.io/Logging_2183/tillsyn/A 34590-2021 tillsynsbegäran.docx", "A 34590-2021")</f>
        <v/>
      </c>
      <c r="Y155">
        <f>HYPERLINK("https://klasma.github.io/Logging_2183/tillsynsmail/A 34590-2021 tillsynsbegäran mail.docx", "A 34590-2021")</f>
        <v/>
      </c>
    </row>
    <row r="156" ht="15" customHeight="1">
      <c r="A156" t="inlineStr">
        <is>
          <t>A 49922-2021</t>
        </is>
      </c>
      <c r="B156" s="1" t="n">
        <v>44455</v>
      </c>
      <c r="C156" s="1" t="n">
        <v>45357</v>
      </c>
      <c r="D156" t="inlineStr">
        <is>
          <t>GÄVLEBORGS LÄN</t>
        </is>
      </c>
      <c r="E156" t="inlineStr">
        <is>
          <t>HUDIKSVALL</t>
        </is>
      </c>
      <c r="G156" t="n">
        <v>4.5</v>
      </c>
      <c r="H156" t="n">
        <v>0</v>
      </c>
      <c r="I156" t="n">
        <v>3</v>
      </c>
      <c r="J156" t="n">
        <v>0</v>
      </c>
      <c r="K156" t="n">
        <v>0</v>
      </c>
      <c r="L156" t="n">
        <v>0</v>
      </c>
      <c r="M156" t="n">
        <v>0</v>
      </c>
      <c r="N156" t="n">
        <v>0</v>
      </c>
      <c r="O156" t="n">
        <v>0</v>
      </c>
      <c r="P156" t="n">
        <v>0</v>
      </c>
      <c r="Q156" t="n">
        <v>3</v>
      </c>
      <c r="R156" s="2" t="inlineStr">
        <is>
          <t>Kattfotslav
Korallblylav
Skinnlav</t>
        </is>
      </c>
      <c r="S156">
        <f>HYPERLINK("https://klasma.github.io/Logging_2184/artfynd/A 49922-2021 artfynd.xlsx", "A 49922-2021")</f>
        <v/>
      </c>
      <c r="T156">
        <f>HYPERLINK("https://klasma.github.io/Logging_2184/kartor/A 49922-2021 karta.png", "A 49922-2021")</f>
        <v/>
      </c>
      <c r="V156">
        <f>HYPERLINK("https://klasma.github.io/Logging_2184/klagomål/A 49922-2021 FSC-klagomål.docx", "A 49922-2021")</f>
        <v/>
      </c>
      <c r="W156">
        <f>HYPERLINK("https://klasma.github.io/Logging_2184/klagomålsmail/A 49922-2021 FSC-klagomål mail.docx", "A 49922-2021")</f>
        <v/>
      </c>
      <c r="X156">
        <f>HYPERLINK("https://klasma.github.io/Logging_2184/tillsyn/A 49922-2021 tillsynsbegäran.docx", "A 49922-2021")</f>
        <v/>
      </c>
      <c r="Y156">
        <f>HYPERLINK("https://klasma.github.io/Logging_2184/tillsynsmail/A 49922-2021 tillsynsbegäran mail.docx", "A 49922-2021")</f>
        <v/>
      </c>
    </row>
    <row r="157" ht="15" customHeight="1">
      <c r="A157" t="inlineStr">
        <is>
          <t>A 8446-2022</t>
        </is>
      </c>
      <c r="B157" s="1" t="n">
        <v>44612</v>
      </c>
      <c r="C157" s="1" t="n">
        <v>45357</v>
      </c>
      <c r="D157" t="inlineStr">
        <is>
          <t>GÄVLEBORGS LÄN</t>
        </is>
      </c>
      <c r="E157" t="inlineStr">
        <is>
          <t>HUDIKSVALL</t>
        </is>
      </c>
      <c r="G157" t="n">
        <v>5.4</v>
      </c>
      <c r="H157" t="n">
        <v>3</v>
      </c>
      <c r="I157" t="n">
        <v>0</v>
      </c>
      <c r="J157" t="n">
        <v>0</v>
      </c>
      <c r="K157" t="n">
        <v>0</v>
      </c>
      <c r="L157" t="n">
        <v>0</v>
      </c>
      <c r="M157" t="n">
        <v>0</v>
      </c>
      <c r="N157" t="n">
        <v>0</v>
      </c>
      <c r="O157" t="n">
        <v>0</v>
      </c>
      <c r="P157" t="n">
        <v>0</v>
      </c>
      <c r="Q157" t="n">
        <v>3</v>
      </c>
      <c r="R157" s="2" t="inlineStr">
        <is>
          <t>Fläcknycklar
Nattviol
Blåsippa</t>
        </is>
      </c>
      <c r="S157">
        <f>HYPERLINK("https://klasma.github.io/Logging_2184/artfynd/A 8446-2022 artfynd.xlsx", "A 8446-2022")</f>
        <v/>
      </c>
      <c r="T157">
        <f>HYPERLINK("https://klasma.github.io/Logging_2184/kartor/A 8446-2022 karta.png", "A 8446-2022")</f>
        <v/>
      </c>
      <c r="V157">
        <f>HYPERLINK("https://klasma.github.io/Logging_2184/klagomål/A 8446-2022 FSC-klagomål.docx", "A 8446-2022")</f>
        <v/>
      </c>
      <c r="W157">
        <f>HYPERLINK("https://klasma.github.io/Logging_2184/klagomålsmail/A 8446-2022 FSC-klagomål mail.docx", "A 8446-2022")</f>
        <v/>
      </c>
      <c r="X157">
        <f>HYPERLINK("https://klasma.github.io/Logging_2184/tillsyn/A 8446-2022 tillsynsbegäran.docx", "A 8446-2022")</f>
        <v/>
      </c>
      <c r="Y157">
        <f>HYPERLINK("https://klasma.github.io/Logging_2184/tillsynsmail/A 8446-2022 tillsynsbegäran mail.docx", "A 8446-2022")</f>
        <v/>
      </c>
    </row>
    <row r="158" ht="15" customHeight="1">
      <c r="A158" t="inlineStr">
        <is>
          <t>A 10436-2022</t>
        </is>
      </c>
      <c r="B158" s="1" t="n">
        <v>44623</v>
      </c>
      <c r="C158" s="1" t="n">
        <v>45357</v>
      </c>
      <c r="D158" t="inlineStr">
        <is>
          <t>GÄVLEBORGS LÄN</t>
        </is>
      </c>
      <c r="E158" t="inlineStr">
        <is>
          <t>HOFORS</t>
        </is>
      </c>
      <c r="G158" t="n">
        <v>6.3</v>
      </c>
      <c r="H158" t="n">
        <v>1</v>
      </c>
      <c r="I158" t="n">
        <v>2</v>
      </c>
      <c r="J158" t="n">
        <v>0</v>
      </c>
      <c r="K158" t="n">
        <v>1</v>
      </c>
      <c r="L158" t="n">
        <v>0</v>
      </c>
      <c r="M158" t="n">
        <v>0</v>
      </c>
      <c r="N158" t="n">
        <v>0</v>
      </c>
      <c r="O158" t="n">
        <v>1</v>
      </c>
      <c r="P158" t="n">
        <v>1</v>
      </c>
      <c r="Q158" t="n">
        <v>3</v>
      </c>
      <c r="R158" s="2" t="inlineStr">
        <is>
          <t>Knärot
Björksplintborre
Vedticka</t>
        </is>
      </c>
      <c r="S158">
        <f>HYPERLINK("https://klasma.github.io/Logging_2104/artfynd/A 10436-2022 artfynd.xlsx", "A 10436-2022")</f>
        <v/>
      </c>
      <c r="T158">
        <f>HYPERLINK("https://klasma.github.io/Logging_2104/kartor/A 10436-2022 karta.png", "A 10436-2022")</f>
        <v/>
      </c>
      <c r="U158">
        <f>HYPERLINK("https://klasma.github.io/Logging_2104/knärot/A 10436-2022 karta knärot.png", "A 10436-2022")</f>
        <v/>
      </c>
      <c r="V158">
        <f>HYPERLINK("https://klasma.github.io/Logging_2104/klagomål/A 10436-2022 FSC-klagomål.docx", "A 10436-2022")</f>
        <v/>
      </c>
      <c r="W158">
        <f>HYPERLINK("https://klasma.github.io/Logging_2104/klagomålsmail/A 10436-2022 FSC-klagomål mail.docx", "A 10436-2022")</f>
        <v/>
      </c>
      <c r="X158">
        <f>HYPERLINK("https://klasma.github.io/Logging_2104/tillsyn/A 10436-2022 tillsynsbegäran.docx", "A 10436-2022")</f>
        <v/>
      </c>
      <c r="Y158">
        <f>HYPERLINK("https://klasma.github.io/Logging_2104/tillsynsmail/A 10436-2022 tillsynsbegäran mail.docx", "A 10436-2022")</f>
        <v/>
      </c>
    </row>
    <row r="159" ht="15" customHeight="1">
      <c r="A159" t="inlineStr">
        <is>
          <t>A 14181-2022</t>
        </is>
      </c>
      <c r="B159" s="1" t="n">
        <v>44651</v>
      </c>
      <c r="C159" s="1" t="n">
        <v>45357</v>
      </c>
      <c r="D159" t="inlineStr">
        <is>
          <t>GÄVLEBORGS LÄN</t>
        </is>
      </c>
      <c r="E159" t="inlineStr">
        <is>
          <t>SÖDERHAMN</t>
        </is>
      </c>
      <c r="F159" t="inlineStr">
        <is>
          <t>Bergvik skog väst AB</t>
        </is>
      </c>
      <c r="G159" t="n">
        <v>4.1</v>
      </c>
      <c r="H159" t="n">
        <v>0</v>
      </c>
      <c r="I159" t="n">
        <v>2</v>
      </c>
      <c r="J159" t="n">
        <v>1</v>
      </c>
      <c r="K159" t="n">
        <v>0</v>
      </c>
      <c r="L159" t="n">
        <v>0</v>
      </c>
      <c r="M159" t="n">
        <v>0</v>
      </c>
      <c r="N159" t="n">
        <v>0</v>
      </c>
      <c r="O159" t="n">
        <v>1</v>
      </c>
      <c r="P159" t="n">
        <v>0</v>
      </c>
      <c r="Q159" t="n">
        <v>3</v>
      </c>
      <c r="R159" s="2" t="inlineStr">
        <is>
          <t>Ullticka
Kattfotslav
Vågbandad barkbock</t>
        </is>
      </c>
      <c r="S159">
        <f>HYPERLINK("https://klasma.github.io/Logging_2182/artfynd/A 14181-2022 artfynd.xlsx", "A 14181-2022")</f>
        <v/>
      </c>
      <c r="T159">
        <f>HYPERLINK("https://klasma.github.io/Logging_2182/kartor/A 14181-2022 karta.png", "A 14181-2022")</f>
        <v/>
      </c>
      <c r="V159">
        <f>HYPERLINK("https://klasma.github.io/Logging_2182/klagomål/A 14181-2022 FSC-klagomål.docx", "A 14181-2022")</f>
        <v/>
      </c>
      <c r="W159">
        <f>HYPERLINK("https://klasma.github.io/Logging_2182/klagomålsmail/A 14181-2022 FSC-klagomål mail.docx", "A 14181-2022")</f>
        <v/>
      </c>
      <c r="X159">
        <f>HYPERLINK("https://klasma.github.io/Logging_2182/tillsyn/A 14181-2022 tillsynsbegäran.docx", "A 14181-2022")</f>
        <v/>
      </c>
      <c r="Y159">
        <f>HYPERLINK("https://klasma.github.io/Logging_2182/tillsynsmail/A 14181-2022 tillsynsbegäran mail.docx", "A 14181-2022")</f>
        <v/>
      </c>
    </row>
    <row r="160" ht="15" customHeight="1">
      <c r="A160" t="inlineStr">
        <is>
          <t>A 21538-2022</t>
        </is>
      </c>
      <c r="B160" s="1" t="n">
        <v>44706</v>
      </c>
      <c r="C160" s="1" t="n">
        <v>45357</v>
      </c>
      <c r="D160" t="inlineStr">
        <is>
          <t>GÄVLEBORGS LÄN</t>
        </is>
      </c>
      <c r="E160" t="inlineStr">
        <is>
          <t>LJUSDAL</t>
        </is>
      </c>
      <c r="F160" t="inlineStr">
        <is>
          <t>Sveaskog</t>
        </is>
      </c>
      <c r="G160" t="n">
        <v>2.3</v>
      </c>
      <c r="H160" t="n">
        <v>0</v>
      </c>
      <c r="I160" t="n">
        <v>1</v>
      </c>
      <c r="J160" t="n">
        <v>2</v>
      </c>
      <c r="K160" t="n">
        <v>0</v>
      </c>
      <c r="L160" t="n">
        <v>0</v>
      </c>
      <c r="M160" t="n">
        <v>0</v>
      </c>
      <c r="N160" t="n">
        <v>0</v>
      </c>
      <c r="O160" t="n">
        <v>2</v>
      </c>
      <c r="P160" t="n">
        <v>0</v>
      </c>
      <c r="Q160" t="n">
        <v>3</v>
      </c>
      <c r="R160" s="2" t="inlineStr">
        <is>
          <t>Kolflarnlav
Mörk kolflarnlav
Dropptaggsvamp</t>
        </is>
      </c>
      <c r="S160">
        <f>HYPERLINK("https://klasma.github.io/Logging_2161/artfynd/A 21538-2022 artfynd.xlsx", "A 21538-2022")</f>
        <v/>
      </c>
      <c r="T160">
        <f>HYPERLINK("https://klasma.github.io/Logging_2161/kartor/A 21538-2022 karta.png", "A 21538-2022")</f>
        <v/>
      </c>
      <c r="V160">
        <f>HYPERLINK("https://klasma.github.io/Logging_2161/klagomål/A 21538-2022 FSC-klagomål.docx", "A 21538-2022")</f>
        <v/>
      </c>
      <c r="W160">
        <f>HYPERLINK("https://klasma.github.io/Logging_2161/klagomålsmail/A 21538-2022 FSC-klagomål mail.docx", "A 21538-2022")</f>
        <v/>
      </c>
      <c r="X160">
        <f>HYPERLINK("https://klasma.github.io/Logging_2161/tillsyn/A 21538-2022 tillsynsbegäran.docx", "A 21538-2022")</f>
        <v/>
      </c>
      <c r="Y160">
        <f>HYPERLINK("https://klasma.github.io/Logging_2161/tillsynsmail/A 21538-2022 tillsynsbegäran mail.docx", "A 21538-2022")</f>
        <v/>
      </c>
    </row>
    <row r="161" ht="15" customHeight="1">
      <c r="A161" t="inlineStr">
        <is>
          <t>A 21797-2022</t>
        </is>
      </c>
      <c r="B161" s="1" t="n">
        <v>44708</v>
      </c>
      <c r="C161" s="1" t="n">
        <v>45357</v>
      </c>
      <c r="D161" t="inlineStr">
        <is>
          <t>GÄVLEBORGS LÄN</t>
        </is>
      </c>
      <c r="E161" t="inlineStr">
        <is>
          <t>LJUSDAL</t>
        </is>
      </c>
      <c r="F161" t="inlineStr">
        <is>
          <t>Holmen skog AB</t>
        </is>
      </c>
      <c r="G161" t="n">
        <v>2.5</v>
      </c>
      <c r="H161" t="n">
        <v>0</v>
      </c>
      <c r="I161" t="n">
        <v>2</v>
      </c>
      <c r="J161" t="n">
        <v>1</v>
      </c>
      <c r="K161" t="n">
        <v>0</v>
      </c>
      <c r="L161" t="n">
        <v>0</v>
      </c>
      <c r="M161" t="n">
        <v>0</v>
      </c>
      <c r="N161" t="n">
        <v>0</v>
      </c>
      <c r="O161" t="n">
        <v>1</v>
      </c>
      <c r="P161" t="n">
        <v>0</v>
      </c>
      <c r="Q161" t="n">
        <v>3</v>
      </c>
      <c r="R161" s="2" t="inlineStr">
        <is>
          <t>Ullticka
Skinnlav
Vedticka</t>
        </is>
      </c>
      <c r="S161">
        <f>HYPERLINK("https://klasma.github.io/Logging_2161/artfynd/A 21797-2022 artfynd.xlsx", "A 21797-2022")</f>
        <v/>
      </c>
      <c r="T161">
        <f>HYPERLINK("https://klasma.github.io/Logging_2161/kartor/A 21797-2022 karta.png", "A 21797-2022")</f>
        <v/>
      </c>
      <c r="V161">
        <f>HYPERLINK("https://klasma.github.io/Logging_2161/klagomål/A 21797-2022 FSC-klagomål.docx", "A 21797-2022")</f>
        <v/>
      </c>
      <c r="W161">
        <f>HYPERLINK("https://klasma.github.io/Logging_2161/klagomålsmail/A 21797-2022 FSC-klagomål mail.docx", "A 21797-2022")</f>
        <v/>
      </c>
      <c r="X161">
        <f>HYPERLINK("https://klasma.github.io/Logging_2161/tillsyn/A 21797-2022 tillsynsbegäran.docx", "A 21797-2022")</f>
        <v/>
      </c>
      <c r="Y161">
        <f>HYPERLINK("https://klasma.github.io/Logging_2161/tillsynsmail/A 21797-2022 tillsynsbegäran mail.docx", "A 21797-2022")</f>
        <v/>
      </c>
    </row>
    <row r="162" ht="15" customHeight="1">
      <c r="A162" t="inlineStr">
        <is>
          <t>A 25129-2022</t>
        </is>
      </c>
      <c r="B162" s="1" t="n">
        <v>44729</v>
      </c>
      <c r="C162" s="1" t="n">
        <v>45357</v>
      </c>
      <c r="D162" t="inlineStr">
        <is>
          <t>GÄVLEBORGS LÄN</t>
        </is>
      </c>
      <c r="E162" t="inlineStr">
        <is>
          <t>BOLLNÄS</t>
        </is>
      </c>
      <c r="F162" t="inlineStr">
        <is>
          <t>Bergvik skog väst AB</t>
        </is>
      </c>
      <c r="G162" t="n">
        <v>27.4</v>
      </c>
      <c r="H162" t="n">
        <v>0</v>
      </c>
      <c r="I162" t="n">
        <v>1</v>
      </c>
      <c r="J162" t="n">
        <v>2</v>
      </c>
      <c r="K162" t="n">
        <v>0</v>
      </c>
      <c r="L162" t="n">
        <v>0</v>
      </c>
      <c r="M162" t="n">
        <v>0</v>
      </c>
      <c r="N162" t="n">
        <v>0</v>
      </c>
      <c r="O162" t="n">
        <v>2</v>
      </c>
      <c r="P162" t="n">
        <v>0</v>
      </c>
      <c r="Q162" t="n">
        <v>3</v>
      </c>
      <c r="R162" s="2" t="inlineStr">
        <is>
          <t>Garnlav
Kortskaftad ärgspik
Nästlav</t>
        </is>
      </c>
      <c r="S162">
        <f>HYPERLINK("https://klasma.github.io/Logging_2183/artfynd/A 25129-2022 artfynd.xlsx", "A 25129-2022")</f>
        <v/>
      </c>
      <c r="T162">
        <f>HYPERLINK("https://klasma.github.io/Logging_2183/kartor/A 25129-2022 karta.png", "A 25129-2022")</f>
        <v/>
      </c>
      <c r="V162">
        <f>HYPERLINK("https://klasma.github.io/Logging_2183/klagomål/A 25129-2022 FSC-klagomål.docx", "A 25129-2022")</f>
        <v/>
      </c>
      <c r="W162">
        <f>HYPERLINK("https://klasma.github.io/Logging_2183/klagomålsmail/A 25129-2022 FSC-klagomål mail.docx", "A 25129-2022")</f>
        <v/>
      </c>
      <c r="X162">
        <f>HYPERLINK("https://klasma.github.io/Logging_2183/tillsyn/A 25129-2022 tillsynsbegäran.docx", "A 25129-2022")</f>
        <v/>
      </c>
      <c r="Y162">
        <f>HYPERLINK("https://klasma.github.io/Logging_2183/tillsynsmail/A 25129-2022 tillsynsbegäran mail.docx", "A 25129-2022")</f>
        <v/>
      </c>
    </row>
    <row r="163" ht="15" customHeight="1">
      <c r="A163" t="inlineStr">
        <is>
          <t>A 26055-2022</t>
        </is>
      </c>
      <c r="B163" s="1" t="n">
        <v>44734</v>
      </c>
      <c r="C163" s="1" t="n">
        <v>45357</v>
      </c>
      <c r="D163" t="inlineStr">
        <is>
          <t>GÄVLEBORGS LÄN</t>
        </is>
      </c>
      <c r="E163" t="inlineStr">
        <is>
          <t>LJUSDAL</t>
        </is>
      </c>
      <c r="F163" t="inlineStr">
        <is>
          <t>Bergvik skog väst AB</t>
        </is>
      </c>
      <c r="G163" t="n">
        <v>23.3</v>
      </c>
      <c r="H163" t="n">
        <v>0</v>
      </c>
      <c r="I163" t="n">
        <v>0</v>
      </c>
      <c r="J163" t="n">
        <v>2</v>
      </c>
      <c r="K163" t="n">
        <v>1</v>
      </c>
      <c r="L163" t="n">
        <v>0</v>
      </c>
      <c r="M163" t="n">
        <v>0</v>
      </c>
      <c r="N163" t="n">
        <v>0</v>
      </c>
      <c r="O163" t="n">
        <v>3</v>
      </c>
      <c r="P163" t="n">
        <v>1</v>
      </c>
      <c r="Q163" t="n">
        <v>3</v>
      </c>
      <c r="R163" s="2" t="inlineStr">
        <is>
          <t>Aspfjädermossa
Stiftgelélav
Vedtrappmossa</t>
        </is>
      </c>
      <c r="S163">
        <f>HYPERLINK("https://klasma.github.io/Logging_2161/artfynd/A 26055-2022 artfynd.xlsx", "A 26055-2022")</f>
        <v/>
      </c>
      <c r="T163">
        <f>HYPERLINK("https://klasma.github.io/Logging_2161/kartor/A 26055-2022 karta.png", "A 26055-2022")</f>
        <v/>
      </c>
      <c r="V163">
        <f>HYPERLINK("https://klasma.github.io/Logging_2161/klagomål/A 26055-2022 FSC-klagomål.docx", "A 26055-2022")</f>
        <v/>
      </c>
      <c r="W163">
        <f>HYPERLINK("https://klasma.github.io/Logging_2161/klagomålsmail/A 26055-2022 FSC-klagomål mail.docx", "A 26055-2022")</f>
        <v/>
      </c>
      <c r="X163">
        <f>HYPERLINK("https://klasma.github.io/Logging_2161/tillsyn/A 26055-2022 tillsynsbegäran.docx", "A 26055-2022")</f>
        <v/>
      </c>
      <c r="Y163">
        <f>HYPERLINK("https://klasma.github.io/Logging_2161/tillsynsmail/A 26055-2022 tillsynsbegäran mail.docx", "A 26055-2022")</f>
        <v/>
      </c>
    </row>
    <row r="164" ht="15" customHeight="1">
      <c r="A164" t="inlineStr">
        <is>
          <t>A 40292-2022</t>
        </is>
      </c>
      <c r="B164" s="1" t="n">
        <v>44821</v>
      </c>
      <c r="C164" s="1" t="n">
        <v>45357</v>
      </c>
      <c r="D164" t="inlineStr">
        <is>
          <t>GÄVLEBORGS LÄN</t>
        </is>
      </c>
      <c r="E164" t="inlineStr">
        <is>
          <t>LJUSDAL</t>
        </is>
      </c>
      <c r="F164" t="inlineStr">
        <is>
          <t>Sveaskog</t>
        </is>
      </c>
      <c r="G164" t="n">
        <v>3.1</v>
      </c>
      <c r="H164" t="n">
        <v>0</v>
      </c>
      <c r="I164" t="n">
        <v>1</v>
      </c>
      <c r="J164" t="n">
        <v>2</v>
      </c>
      <c r="K164" t="n">
        <v>0</v>
      </c>
      <c r="L164" t="n">
        <v>0</v>
      </c>
      <c r="M164" t="n">
        <v>0</v>
      </c>
      <c r="N164" t="n">
        <v>0</v>
      </c>
      <c r="O164" t="n">
        <v>2</v>
      </c>
      <c r="P164" t="n">
        <v>0</v>
      </c>
      <c r="Q164" t="n">
        <v>3</v>
      </c>
      <c r="R164" s="2" t="inlineStr">
        <is>
          <t>Kolflarnlav
Mörk kolflarnlav
Dropptaggsvamp</t>
        </is>
      </c>
      <c r="S164">
        <f>HYPERLINK("https://klasma.github.io/Logging_2161/artfynd/A 40292-2022 artfynd.xlsx", "A 40292-2022")</f>
        <v/>
      </c>
      <c r="T164">
        <f>HYPERLINK("https://klasma.github.io/Logging_2161/kartor/A 40292-2022 karta.png", "A 40292-2022")</f>
        <v/>
      </c>
      <c r="V164">
        <f>HYPERLINK("https://klasma.github.io/Logging_2161/klagomål/A 40292-2022 FSC-klagomål.docx", "A 40292-2022")</f>
        <v/>
      </c>
      <c r="W164">
        <f>HYPERLINK("https://klasma.github.io/Logging_2161/klagomålsmail/A 40292-2022 FSC-klagomål mail.docx", "A 40292-2022")</f>
        <v/>
      </c>
      <c r="X164">
        <f>HYPERLINK("https://klasma.github.io/Logging_2161/tillsyn/A 40292-2022 tillsynsbegäran.docx", "A 40292-2022")</f>
        <v/>
      </c>
      <c r="Y164">
        <f>HYPERLINK("https://klasma.github.io/Logging_2161/tillsynsmail/A 40292-2022 tillsynsbegäran mail.docx", "A 40292-2022")</f>
        <v/>
      </c>
    </row>
    <row r="165" ht="15" customHeight="1">
      <c r="A165" t="inlineStr">
        <is>
          <t>A 52399-2022</t>
        </is>
      </c>
      <c r="B165" s="1" t="n">
        <v>44874</v>
      </c>
      <c r="C165" s="1" t="n">
        <v>45357</v>
      </c>
      <c r="D165" t="inlineStr">
        <is>
          <t>GÄVLEBORGS LÄN</t>
        </is>
      </c>
      <c r="E165" t="inlineStr">
        <is>
          <t>HUDIKSVALL</t>
        </is>
      </c>
      <c r="F165" t="inlineStr">
        <is>
          <t>Holmen skog AB</t>
        </is>
      </c>
      <c r="G165" t="n">
        <v>3.9</v>
      </c>
      <c r="H165" t="n">
        <v>0</v>
      </c>
      <c r="I165" t="n">
        <v>0</v>
      </c>
      <c r="J165" t="n">
        <v>3</v>
      </c>
      <c r="K165" t="n">
        <v>0</v>
      </c>
      <c r="L165" t="n">
        <v>0</v>
      </c>
      <c r="M165" t="n">
        <v>0</v>
      </c>
      <c r="N165" t="n">
        <v>0</v>
      </c>
      <c r="O165" t="n">
        <v>3</v>
      </c>
      <c r="P165" t="n">
        <v>0</v>
      </c>
      <c r="Q165" t="n">
        <v>3</v>
      </c>
      <c r="R165" s="2" t="inlineStr">
        <is>
          <t>Blanksvart spiklav
Gammelgransskål
Garnlav</t>
        </is>
      </c>
      <c r="S165">
        <f>HYPERLINK("https://klasma.github.io/Logging_2184/artfynd/A 52399-2022 artfynd.xlsx", "A 52399-2022")</f>
        <v/>
      </c>
      <c r="T165">
        <f>HYPERLINK("https://klasma.github.io/Logging_2184/kartor/A 52399-2022 karta.png", "A 52399-2022")</f>
        <v/>
      </c>
      <c r="V165">
        <f>HYPERLINK("https://klasma.github.io/Logging_2184/klagomål/A 52399-2022 FSC-klagomål.docx", "A 52399-2022")</f>
        <v/>
      </c>
      <c r="W165">
        <f>HYPERLINK("https://klasma.github.io/Logging_2184/klagomålsmail/A 52399-2022 FSC-klagomål mail.docx", "A 52399-2022")</f>
        <v/>
      </c>
      <c r="X165">
        <f>HYPERLINK("https://klasma.github.io/Logging_2184/tillsyn/A 52399-2022 tillsynsbegäran.docx", "A 52399-2022")</f>
        <v/>
      </c>
      <c r="Y165">
        <f>HYPERLINK("https://klasma.github.io/Logging_2184/tillsynsmail/A 52399-2022 tillsynsbegäran mail.docx", "A 52399-2022")</f>
        <v/>
      </c>
    </row>
    <row r="166" ht="15" customHeight="1">
      <c r="A166" t="inlineStr">
        <is>
          <t>A 54472-2022</t>
        </is>
      </c>
      <c r="B166" s="1" t="n">
        <v>44882</v>
      </c>
      <c r="C166" s="1" t="n">
        <v>45357</v>
      </c>
      <c r="D166" t="inlineStr">
        <is>
          <t>GÄVLEBORGS LÄN</t>
        </is>
      </c>
      <c r="E166" t="inlineStr">
        <is>
          <t>LJUSDAL</t>
        </is>
      </c>
      <c r="F166" t="inlineStr">
        <is>
          <t>Bergvik skog väst AB</t>
        </is>
      </c>
      <c r="G166" t="n">
        <v>3.1</v>
      </c>
      <c r="H166" t="n">
        <v>0</v>
      </c>
      <c r="I166" t="n">
        <v>1</v>
      </c>
      <c r="J166" t="n">
        <v>2</v>
      </c>
      <c r="K166" t="n">
        <v>0</v>
      </c>
      <c r="L166" t="n">
        <v>0</v>
      </c>
      <c r="M166" t="n">
        <v>0</v>
      </c>
      <c r="N166" t="n">
        <v>0</v>
      </c>
      <c r="O166" t="n">
        <v>2</v>
      </c>
      <c r="P166" t="n">
        <v>0</v>
      </c>
      <c r="Q166" t="n">
        <v>3</v>
      </c>
      <c r="R166" s="2" t="inlineStr">
        <is>
          <t>Lunglav
Skrovellav
Källmossa</t>
        </is>
      </c>
      <c r="S166">
        <f>HYPERLINK("https://klasma.github.io/Logging_2161/artfynd/A 54472-2022 artfynd.xlsx", "A 54472-2022")</f>
        <v/>
      </c>
      <c r="T166">
        <f>HYPERLINK("https://klasma.github.io/Logging_2161/kartor/A 54472-2022 karta.png", "A 54472-2022")</f>
        <v/>
      </c>
      <c r="U166">
        <f>HYPERLINK("https://klasma.github.io/Logging_2161/knärot/A 54472-2022 karta knärot.png", "A 54472-2022")</f>
        <v/>
      </c>
      <c r="V166">
        <f>HYPERLINK("https://klasma.github.io/Logging_2161/klagomål/A 54472-2022 FSC-klagomål.docx", "A 54472-2022")</f>
        <v/>
      </c>
      <c r="W166">
        <f>HYPERLINK("https://klasma.github.io/Logging_2161/klagomålsmail/A 54472-2022 FSC-klagomål mail.docx", "A 54472-2022")</f>
        <v/>
      </c>
      <c r="X166">
        <f>HYPERLINK("https://klasma.github.io/Logging_2161/tillsyn/A 54472-2022 tillsynsbegäran.docx", "A 54472-2022")</f>
        <v/>
      </c>
      <c r="Y166">
        <f>HYPERLINK("https://klasma.github.io/Logging_2161/tillsynsmail/A 54472-2022 tillsynsbegäran mail.docx", "A 54472-2022")</f>
        <v/>
      </c>
    </row>
    <row r="167" ht="15" customHeight="1">
      <c r="A167" t="inlineStr">
        <is>
          <t>A 12105-2023</t>
        </is>
      </c>
      <c r="B167" s="1" t="n">
        <v>44998</v>
      </c>
      <c r="C167" s="1" t="n">
        <v>45357</v>
      </c>
      <c r="D167" t="inlineStr">
        <is>
          <t>GÄVLEBORGS LÄN</t>
        </is>
      </c>
      <c r="E167" t="inlineStr">
        <is>
          <t>LJUSDAL</t>
        </is>
      </c>
      <c r="G167" t="n">
        <v>11.7</v>
      </c>
      <c r="H167" t="n">
        <v>1</v>
      </c>
      <c r="I167" t="n">
        <v>2</v>
      </c>
      <c r="J167" t="n">
        <v>0</v>
      </c>
      <c r="K167" t="n">
        <v>1</v>
      </c>
      <c r="L167" t="n">
        <v>0</v>
      </c>
      <c r="M167" t="n">
        <v>0</v>
      </c>
      <c r="N167" t="n">
        <v>0</v>
      </c>
      <c r="O167" t="n">
        <v>1</v>
      </c>
      <c r="P167" t="n">
        <v>1</v>
      </c>
      <c r="Q167" t="n">
        <v>3</v>
      </c>
      <c r="R167" s="2" t="inlineStr">
        <is>
          <t>Knärot
Korallblylav
Mörk husmossa</t>
        </is>
      </c>
      <c r="S167">
        <f>HYPERLINK("https://klasma.github.io/Logging_2161/artfynd/A 12105-2023 artfynd.xlsx", "A 12105-2023")</f>
        <v/>
      </c>
      <c r="T167">
        <f>HYPERLINK("https://klasma.github.io/Logging_2161/kartor/A 12105-2023 karta.png", "A 12105-2023")</f>
        <v/>
      </c>
      <c r="U167">
        <f>HYPERLINK("https://klasma.github.io/Logging_2161/knärot/A 12105-2023 karta knärot.png", "A 12105-2023")</f>
        <v/>
      </c>
      <c r="V167">
        <f>HYPERLINK("https://klasma.github.io/Logging_2161/klagomål/A 12105-2023 FSC-klagomål.docx", "A 12105-2023")</f>
        <v/>
      </c>
      <c r="W167">
        <f>HYPERLINK("https://klasma.github.io/Logging_2161/klagomålsmail/A 12105-2023 FSC-klagomål mail.docx", "A 12105-2023")</f>
        <v/>
      </c>
      <c r="X167">
        <f>HYPERLINK("https://klasma.github.io/Logging_2161/tillsyn/A 12105-2023 tillsynsbegäran.docx", "A 12105-2023")</f>
        <v/>
      </c>
      <c r="Y167">
        <f>HYPERLINK("https://klasma.github.io/Logging_2161/tillsynsmail/A 12105-2023 tillsynsbegäran mail.docx", "A 12105-2023")</f>
        <v/>
      </c>
    </row>
    <row r="168" ht="15" customHeight="1">
      <c r="A168" t="inlineStr">
        <is>
          <t>A 23246-2023</t>
        </is>
      </c>
      <c r="B168" s="1" t="n">
        <v>45075</v>
      </c>
      <c r="C168" s="1" t="n">
        <v>45357</v>
      </c>
      <c r="D168" t="inlineStr">
        <is>
          <t>GÄVLEBORGS LÄN</t>
        </is>
      </c>
      <c r="E168" t="inlineStr">
        <is>
          <t>HUDIKSVALL</t>
        </is>
      </c>
      <c r="F168" t="inlineStr">
        <is>
          <t>Sveaskog</t>
        </is>
      </c>
      <c r="G168" t="n">
        <v>7.2</v>
      </c>
      <c r="H168" t="n">
        <v>1</v>
      </c>
      <c r="I168" t="n">
        <v>0</v>
      </c>
      <c r="J168" t="n">
        <v>2</v>
      </c>
      <c r="K168" t="n">
        <v>0</v>
      </c>
      <c r="L168" t="n">
        <v>0</v>
      </c>
      <c r="M168" t="n">
        <v>0</v>
      </c>
      <c r="N168" t="n">
        <v>0</v>
      </c>
      <c r="O168" t="n">
        <v>2</v>
      </c>
      <c r="P168" t="n">
        <v>0</v>
      </c>
      <c r="Q168" t="n">
        <v>3</v>
      </c>
      <c r="R168" s="2" t="inlineStr">
        <is>
          <t>Kolflarnlav
Mörk kolflarnlav
Fläcknycklar</t>
        </is>
      </c>
      <c r="S168">
        <f>HYPERLINK("https://klasma.github.io/Logging_2184/artfynd/A 23246-2023 artfynd.xlsx", "A 23246-2023")</f>
        <v/>
      </c>
      <c r="T168">
        <f>HYPERLINK("https://klasma.github.io/Logging_2184/kartor/A 23246-2023 karta.png", "A 23246-2023")</f>
        <v/>
      </c>
      <c r="V168">
        <f>HYPERLINK("https://klasma.github.io/Logging_2184/klagomål/A 23246-2023 FSC-klagomål.docx", "A 23246-2023")</f>
        <v/>
      </c>
      <c r="W168">
        <f>HYPERLINK("https://klasma.github.io/Logging_2184/klagomålsmail/A 23246-2023 FSC-klagomål mail.docx", "A 23246-2023")</f>
        <v/>
      </c>
      <c r="X168">
        <f>HYPERLINK("https://klasma.github.io/Logging_2184/tillsyn/A 23246-2023 tillsynsbegäran.docx", "A 23246-2023")</f>
        <v/>
      </c>
      <c r="Y168">
        <f>HYPERLINK("https://klasma.github.io/Logging_2184/tillsynsmail/A 23246-2023 tillsynsbegäran mail.docx", "A 23246-2023")</f>
        <v/>
      </c>
    </row>
    <row r="169" ht="15" customHeight="1">
      <c r="A169" t="inlineStr">
        <is>
          <t>A 24519-2023</t>
        </is>
      </c>
      <c r="B169" s="1" t="n">
        <v>45082</v>
      </c>
      <c r="C169" s="1" t="n">
        <v>45357</v>
      </c>
      <c r="D169" t="inlineStr">
        <is>
          <t>GÄVLEBORGS LÄN</t>
        </is>
      </c>
      <c r="E169" t="inlineStr">
        <is>
          <t>LJUSDAL</t>
        </is>
      </c>
      <c r="F169" t="inlineStr">
        <is>
          <t>Sveaskog</t>
        </is>
      </c>
      <c r="G169" t="n">
        <v>8.199999999999999</v>
      </c>
      <c r="H169" t="n">
        <v>0</v>
      </c>
      <c r="I169" t="n">
        <v>0</v>
      </c>
      <c r="J169" t="n">
        <v>3</v>
      </c>
      <c r="K169" t="n">
        <v>0</v>
      </c>
      <c r="L169" t="n">
        <v>0</v>
      </c>
      <c r="M169" t="n">
        <v>0</v>
      </c>
      <c r="N169" t="n">
        <v>0</v>
      </c>
      <c r="O169" t="n">
        <v>3</v>
      </c>
      <c r="P169" t="n">
        <v>0</v>
      </c>
      <c r="Q169" t="n">
        <v>3</v>
      </c>
      <c r="R169" s="2" t="inlineStr">
        <is>
          <t>Dvärgbägarlav
Kolflarnlav
Lunglav</t>
        </is>
      </c>
      <c r="S169">
        <f>HYPERLINK("https://klasma.github.io/Logging_2161/artfynd/A 24519-2023 artfynd.xlsx", "A 24519-2023")</f>
        <v/>
      </c>
      <c r="T169">
        <f>HYPERLINK("https://klasma.github.io/Logging_2161/kartor/A 24519-2023 karta.png", "A 24519-2023")</f>
        <v/>
      </c>
      <c r="V169">
        <f>HYPERLINK("https://klasma.github.io/Logging_2161/klagomål/A 24519-2023 FSC-klagomål.docx", "A 24519-2023")</f>
        <v/>
      </c>
      <c r="W169">
        <f>HYPERLINK("https://klasma.github.io/Logging_2161/klagomålsmail/A 24519-2023 FSC-klagomål mail.docx", "A 24519-2023")</f>
        <v/>
      </c>
      <c r="X169">
        <f>HYPERLINK("https://klasma.github.io/Logging_2161/tillsyn/A 24519-2023 tillsynsbegäran.docx", "A 24519-2023")</f>
        <v/>
      </c>
      <c r="Y169">
        <f>HYPERLINK("https://klasma.github.io/Logging_2161/tillsynsmail/A 24519-2023 tillsynsbegäran mail.docx", "A 24519-2023")</f>
        <v/>
      </c>
    </row>
    <row r="170" ht="15" customHeight="1">
      <c r="A170" t="inlineStr">
        <is>
          <t>A 25182-2023</t>
        </is>
      </c>
      <c r="B170" s="1" t="n">
        <v>45086</v>
      </c>
      <c r="C170" s="1" t="n">
        <v>45357</v>
      </c>
      <c r="D170" t="inlineStr">
        <is>
          <t>GÄVLEBORGS LÄN</t>
        </is>
      </c>
      <c r="E170" t="inlineStr">
        <is>
          <t>LJUSDAL</t>
        </is>
      </c>
      <c r="F170" t="inlineStr">
        <is>
          <t>Holmen skog AB</t>
        </is>
      </c>
      <c r="G170" t="n">
        <v>16.6</v>
      </c>
      <c r="H170" t="n">
        <v>3</v>
      </c>
      <c r="I170" t="n">
        <v>0</v>
      </c>
      <c r="J170" t="n">
        <v>0</v>
      </c>
      <c r="K170" t="n">
        <v>0</v>
      </c>
      <c r="L170" t="n">
        <v>0</v>
      </c>
      <c r="M170" t="n">
        <v>0</v>
      </c>
      <c r="N170" t="n">
        <v>0</v>
      </c>
      <c r="O170" t="n">
        <v>0</v>
      </c>
      <c r="P170" t="n">
        <v>0</v>
      </c>
      <c r="Q170" t="n">
        <v>3</v>
      </c>
      <c r="R170" s="2" t="inlineStr">
        <is>
          <t>Fläcknycklar
Myggblomster
Revlummer</t>
        </is>
      </c>
      <c r="S170">
        <f>HYPERLINK("https://klasma.github.io/Logging_2161/artfynd/A 25182-2023 artfynd.xlsx", "A 25182-2023")</f>
        <v/>
      </c>
      <c r="T170">
        <f>HYPERLINK("https://klasma.github.io/Logging_2161/kartor/A 25182-2023 karta.png", "A 25182-2023")</f>
        <v/>
      </c>
      <c r="V170">
        <f>HYPERLINK("https://klasma.github.io/Logging_2161/klagomål/A 25182-2023 FSC-klagomål.docx", "A 25182-2023")</f>
        <v/>
      </c>
      <c r="W170">
        <f>HYPERLINK("https://klasma.github.io/Logging_2161/klagomålsmail/A 25182-2023 FSC-klagomål mail.docx", "A 25182-2023")</f>
        <v/>
      </c>
      <c r="X170">
        <f>HYPERLINK("https://klasma.github.io/Logging_2161/tillsyn/A 25182-2023 tillsynsbegäran.docx", "A 25182-2023")</f>
        <v/>
      </c>
      <c r="Y170">
        <f>HYPERLINK("https://klasma.github.io/Logging_2161/tillsynsmail/A 25182-2023 tillsynsbegäran mail.docx", "A 25182-2023")</f>
        <v/>
      </c>
    </row>
    <row r="171" ht="15" customHeight="1">
      <c r="A171" t="inlineStr">
        <is>
          <t>A 25643-2023</t>
        </is>
      </c>
      <c r="B171" s="1" t="n">
        <v>45089</v>
      </c>
      <c r="C171" s="1" t="n">
        <v>45357</v>
      </c>
      <c r="D171" t="inlineStr">
        <is>
          <t>GÄVLEBORGS LÄN</t>
        </is>
      </c>
      <c r="E171" t="inlineStr">
        <is>
          <t>NORDANSTIG</t>
        </is>
      </c>
      <c r="F171" t="inlineStr">
        <is>
          <t>Holmen skog AB</t>
        </is>
      </c>
      <c r="G171" t="n">
        <v>5.9</v>
      </c>
      <c r="H171" t="n">
        <v>1</v>
      </c>
      <c r="I171" t="n">
        <v>0</v>
      </c>
      <c r="J171" t="n">
        <v>2</v>
      </c>
      <c r="K171" t="n">
        <v>0</v>
      </c>
      <c r="L171" t="n">
        <v>0</v>
      </c>
      <c r="M171" t="n">
        <v>0</v>
      </c>
      <c r="N171" t="n">
        <v>0</v>
      </c>
      <c r="O171" t="n">
        <v>2</v>
      </c>
      <c r="P171" t="n">
        <v>0</v>
      </c>
      <c r="Q171" t="n">
        <v>3</v>
      </c>
      <c r="R171" s="2" t="inlineStr">
        <is>
          <t>Gammelgransskål
Garnlav
Fläcknycklar</t>
        </is>
      </c>
      <c r="S171">
        <f>HYPERLINK("https://klasma.github.io/Logging_2132/artfynd/A 25643-2023 artfynd.xlsx", "A 25643-2023")</f>
        <v/>
      </c>
      <c r="T171">
        <f>HYPERLINK("https://klasma.github.io/Logging_2132/kartor/A 25643-2023 karta.png", "A 25643-2023")</f>
        <v/>
      </c>
      <c r="V171">
        <f>HYPERLINK("https://klasma.github.io/Logging_2132/klagomål/A 25643-2023 FSC-klagomål.docx", "A 25643-2023")</f>
        <v/>
      </c>
      <c r="W171">
        <f>HYPERLINK("https://klasma.github.io/Logging_2132/klagomålsmail/A 25643-2023 FSC-klagomål mail.docx", "A 25643-2023")</f>
        <v/>
      </c>
      <c r="X171">
        <f>HYPERLINK("https://klasma.github.io/Logging_2132/tillsyn/A 25643-2023 tillsynsbegäran.docx", "A 25643-2023")</f>
        <v/>
      </c>
      <c r="Y171">
        <f>HYPERLINK("https://klasma.github.io/Logging_2132/tillsynsmail/A 25643-2023 tillsynsbegäran mail.docx", "A 25643-2023")</f>
        <v/>
      </c>
    </row>
    <row r="172" ht="15" customHeight="1">
      <c r="A172" t="inlineStr">
        <is>
          <t>A 31473-2023</t>
        </is>
      </c>
      <c r="B172" s="1" t="n">
        <v>45114</v>
      </c>
      <c r="C172" s="1" t="n">
        <v>45357</v>
      </c>
      <c r="D172" t="inlineStr">
        <is>
          <t>GÄVLEBORGS LÄN</t>
        </is>
      </c>
      <c r="E172" t="inlineStr">
        <is>
          <t>LJUSDAL</t>
        </is>
      </c>
      <c r="F172" t="inlineStr">
        <is>
          <t>Sveaskog</t>
        </is>
      </c>
      <c r="G172" t="n">
        <v>15.5</v>
      </c>
      <c r="H172" t="n">
        <v>1</v>
      </c>
      <c r="I172" t="n">
        <v>1</v>
      </c>
      <c r="J172" t="n">
        <v>2</v>
      </c>
      <c r="K172" t="n">
        <v>0</v>
      </c>
      <c r="L172" t="n">
        <v>0</v>
      </c>
      <c r="M172" t="n">
        <v>0</v>
      </c>
      <c r="N172" t="n">
        <v>0</v>
      </c>
      <c r="O172" t="n">
        <v>2</v>
      </c>
      <c r="P172" t="n">
        <v>0</v>
      </c>
      <c r="Q172" t="n">
        <v>3</v>
      </c>
      <c r="R172" s="2" t="inlineStr">
        <is>
          <t>Kolflarnlav
Lunglav
Plattlummer</t>
        </is>
      </c>
      <c r="S172">
        <f>HYPERLINK("https://klasma.github.io/Logging_2161/artfynd/A 31473-2023 artfynd.xlsx", "A 31473-2023")</f>
        <v/>
      </c>
      <c r="T172">
        <f>HYPERLINK("https://klasma.github.io/Logging_2161/kartor/A 31473-2023 karta.png", "A 31473-2023")</f>
        <v/>
      </c>
      <c r="V172">
        <f>HYPERLINK("https://klasma.github.io/Logging_2161/klagomål/A 31473-2023 FSC-klagomål.docx", "A 31473-2023")</f>
        <v/>
      </c>
      <c r="W172">
        <f>HYPERLINK("https://klasma.github.io/Logging_2161/klagomålsmail/A 31473-2023 FSC-klagomål mail.docx", "A 31473-2023")</f>
        <v/>
      </c>
      <c r="X172">
        <f>HYPERLINK("https://klasma.github.io/Logging_2161/tillsyn/A 31473-2023 tillsynsbegäran.docx", "A 31473-2023")</f>
        <v/>
      </c>
      <c r="Y172">
        <f>HYPERLINK("https://klasma.github.io/Logging_2161/tillsynsmail/A 31473-2023 tillsynsbegäran mail.docx", "A 31473-2023")</f>
        <v/>
      </c>
    </row>
    <row r="173" ht="15" customHeight="1">
      <c r="A173" t="inlineStr">
        <is>
          <t>A 32677-2023</t>
        </is>
      </c>
      <c r="B173" s="1" t="n">
        <v>45121</v>
      </c>
      <c r="C173" s="1" t="n">
        <v>45357</v>
      </c>
      <c r="D173" t="inlineStr">
        <is>
          <t>GÄVLEBORGS LÄN</t>
        </is>
      </c>
      <c r="E173" t="inlineStr">
        <is>
          <t>GÄVLE</t>
        </is>
      </c>
      <c r="G173" t="n">
        <v>20.7</v>
      </c>
      <c r="H173" t="n">
        <v>1</v>
      </c>
      <c r="I173" t="n">
        <v>1</v>
      </c>
      <c r="J173" t="n">
        <v>0</v>
      </c>
      <c r="K173" t="n">
        <v>1</v>
      </c>
      <c r="L173" t="n">
        <v>0</v>
      </c>
      <c r="M173" t="n">
        <v>0</v>
      </c>
      <c r="N173" t="n">
        <v>0</v>
      </c>
      <c r="O173" t="n">
        <v>1</v>
      </c>
      <c r="P173" t="n">
        <v>1</v>
      </c>
      <c r="Q173" t="n">
        <v>3</v>
      </c>
      <c r="R173" s="2" t="inlineStr">
        <is>
          <t>Glesgröe
Spädstarr
Blåsippa</t>
        </is>
      </c>
      <c r="S173">
        <f>HYPERLINK("https://klasma.github.io/Logging_2180/artfynd/A 32677-2023 artfynd.xlsx", "A 32677-2023")</f>
        <v/>
      </c>
      <c r="T173">
        <f>HYPERLINK("https://klasma.github.io/Logging_2180/kartor/A 32677-2023 karta.png", "A 32677-2023")</f>
        <v/>
      </c>
      <c r="V173">
        <f>HYPERLINK("https://klasma.github.io/Logging_2180/klagomål/A 32677-2023 FSC-klagomål.docx", "A 32677-2023")</f>
        <v/>
      </c>
      <c r="W173">
        <f>HYPERLINK("https://klasma.github.io/Logging_2180/klagomålsmail/A 32677-2023 FSC-klagomål mail.docx", "A 32677-2023")</f>
        <v/>
      </c>
      <c r="X173">
        <f>HYPERLINK("https://klasma.github.io/Logging_2180/tillsyn/A 32677-2023 tillsynsbegäran.docx", "A 32677-2023")</f>
        <v/>
      </c>
      <c r="Y173">
        <f>HYPERLINK("https://klasma.github.io/Logging_2180/tillsynsmail/A 32677-2023 tillsynsbegäran mail.docx", "A 32677-2023")</f>
        <v/>
      </c>
    </row>
    <row r="174" ht="15" customHeight="1">
      <c r="A174" t="inlineStr">
        <is>
          <t>A 33691-2023</t>
        </is>
      </c>
      <c r="B174" s="1" t="n">
        <v>45132</v>
      </c>
      <c r="C174" s="1" t="n">
        <v>45357</v>
      </c>
      <c r="D174" t="inlineStr">
        <is>
          <t>GÄVLEBORGS LÄN</t>
        </is>
      </c>
      <c r="E174" t="inlineStr">
        <is>
          <t>NORDANSTIG</t>
        </is>
      </c>
      <c r="F174" t="inlineStr">
        <is>
          <t>Holmen skog AB</t>
        </is>
      </c>
      <c r="G174" t="n">
        <v>2.7</v>
      </c>
      <c r="H174" t="n">
        <v>0</v>
      </c>
      <c r="I174" t="n">
        <v>2</v>
      </c>
      <c r="J174" t="n">
        <v>1</v>
      </c>
      <c r="K174" t="n">
        <v>0</v>
      </c>
      <c r="L174" t="n">
        <v>0</v>
      </c>
      <c r="M174" t="n">
        <v>0</v>
      </c>
      <c r="N174" t="n">
        <v>0</v>
      </c>
      <c r="O174" t="n">
        <v>1</v>
      </c>
      <c r="P174" t="n">
        <v>0</v>
      </c>
      <c r="Q174" t="n">
        <v>3</v>
      </c>
      <c r="R174" s="2" t="inlineStr">
        <is>
          <t>Ullticka
Skogshakmossa
Vågbandad barkbock</t>
        </is>
      </c>
      <c r="S174">
        <f>HYPERLINK("https://klasma.github.io/Logging_2132/artfynd/A 33691-2023 artfynd.xlsx", "A 33691-2023")</f>
        <v/>
      </c>
      <c r="T174">
        <f>HYPERLINK("https://klasma.github.io/Logging_2132/kartor/A 33691-2023 karta.png", "A 33691-2023")</f>
        <v/>
      </c>
      <c r="V174">
        <f>HYPERLINK("https://klasma.github.io/Logging_2132/klagomål/A 33691-2023 FSC-klagomål.docx", "A 33691-2023")</f>
        <v/>
      </c>
      <c r="W174">
        <f>HYPERLINK("https://klasma.github.io/Logging_2132/klagomålsmail/A 33691-2023 FSC-klagomål mail.docx", "A 33691-2023")</f>
        <v/>
      </c>
      <c r="X174">
        <f>HYPERLINK("https://klasma.github.io/Logging_2132/tillsyn/A 33691-2023 tillsynsbegäran.docx", "A 33691-2023")</f>
        <v/>
      </c>
      <c r="Y174">
        <f>HYPERLINK("https://klasma.github.io/Logging_2132/tillsynsmail/A 33691-2023 tillsynsbegäran mail.docx", "A 33691-2023")</f>
        <v/>
      </c>
    </row>
    <row r="175" ht="15" customHeight="1">
      <c r="A175" t="inlineStr">
        <is>
          <t>A 33783-2023</t>
        </is>
      </c>
      <c r="B175" s="1" t="n">
        <v>45133</v>
      </c>
      <c r="C175" s="1" t="n">
        <v>45357</v>
      </c>
      <c r="D175" t="inlineStr">
        <is>
          <t>GÄVLEBORGS LÄN</t>
        </is>
      </c>
      <c r="E175" t="inlineStr">
        <is>
          <t>HUDIKSVALL</t>
        </is>
      </c>
      <c r="F175" t="inlineStr">
        <is>
          <t>Holmen skog AB</t>
        </is>
      </c>
      <c r="G175" t="n">
        <v>2.6</v>
      </c>
      <c r="H175" t="n">
        <v>0</v>
      </c>
      <c r="I175" t="n">
        <v>1</v>
      </c>
      <c r="J175" t="n">
        <v>2</v>
      </c>
      <c r="K175" t="n">
        <v>0</v>
      </c>
      <c r="L175" t="n">
        <v>0</v>
      </c>
      <c r="M175" t="n">
        <v>0</v>
      </c>
      <c r="N175" t="n">
        <v>0</v>
      </c>
      <c r="O175" t="n">
        <v>2</v>
      </c>
      <c r="P175" t="n">
        <v>0</v>
      </c>
      <c r="Q175" t="n">
        <v>3</v>
      </c>
      <c r="R175" s="2" t="inlineStr">
        <is>
          <t>Garnlav
Lunglav
Stuplav</t>
        </is>
      </c>
      <c r="S175">
        <f>HYPERLINK("https://klasma.github.io/Logging_2184/artfynd/A 33783-2023 artfynd.xlsx", "A 33783-2023")</f>
        <v/>
      </c>
      <c r="T175">
        <f>HYPERLINK("https://klasma.github.io/Logging_2184/kartor/A 33783-2023 karta.png", "A 33783-2023")</f>
        <v/>
      </c>
      <c r="V175">
        <f>HYPERLINK("https://klasma.github.io/Logging_2184/klagomål/A 33783-2023 FSC-klagomål.docx", "A 33783-2023")</f>
        <v/>
      </c>
      <c r="W175">
        <f>HYPERLINK("https://klasma.github.io/Logging_2184/klagomålsmail/A 33783-2023 FSC-klagomål mail.docx", "A 33783-2023")</f>
        <v/>
      </c>
      <c r="X175">
        <f>HYPERLINK("https://klasma.github.io/Logging_2184/tillsyn/A 33783-2023 tillsynsbegäran.docx", "A 33783-2023")</f>
        <v/>
      </c>
      <c r="Y175">
        <f>HYPERLINK("https://klasma.github.io/Logging_2184/tillsynsmail/A 33783-2023 tillsynsbegäran mail.docx", "A 33783-2023")</f>
        <v/>
      </c>
    </row>
    <row r="176" ht="15" customHeight="1">
      <c r="A176" t="inlineStr">
        <is>
          <t>A 36196-2023</t>
        </is>
      </c>
      <c r="B176" s="1" t="n">
        <v>45149</v>
      </c>
      <c r="C176" s="1" t="n">
        <v>45357</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39885-2023</t>
        </is>
      </c>
      <c r="B177" s="1" t="n">
        <v>45168</v>
      </c>
      <c r="C177" s="1" t="n">
        <v>45357</v>
      </c>
      <c r="D177" t="inlineStr">
        <is>
          <t>GÄVLEBORGS LÄN</t>
        </is>
      </c>
      <c r="E177" t="inlineStr">
        <is>
          <t>SÖDERHAMN</t>
        </is>
      </c>
      <c r="G177" t="n">
        <v>2.9</v>
      </c>
      <c r="H177" t="n">
        <v>0</v>
      </c>
      <c r="I177" t="n">
        <v>2</v>
      </c>
      <c r="J177" t="n">
        <v>1</v>
      </c>
      <c r="K177" t="n">
        <v>0</v>
      </c>
      <c r="L177" t="n">
        <v>0</v>
      </c>
      <c r="M177" t="n">
        <v>0</v>
      </c>
      <c r="N177" t="n">
        <v>0</v>
      </c>
      <c r="O177" t="n">
        <v>1</v>
      </c>
      <c r="P177" t="n">
        <v>0</v>
      </c>
      <c r="Q177" t="n">
        <v>3</v>
      </c>
      <c r="R177" s="2" t="inlineStr">
        <is>
          <t>Hapalopilus aurantiacus
Blodticka
Sotriska</t>
        </is>
      </c>
      <c r="S177">
        <f>HYPERLINK("https://klasma.github.io/Logging_2182/artfynd/A 39885-2023 artfynd.xlsx", "A 39885-2023")</f>
        <v/>
      </c>
      <c r="T177">
        <f>HYPERLINK("https://klasma.github.io/Logging_2182/kartor/A 39885-2023 karta.png", "A 39885-2023")</f>
        <v/>
      </c>
      <c r="V177">
        <f>HYPERLINK("https://klasma.github.io/Logging_2182/klagomål/A 39885-2023 FSC-klagomål.docx", "A 39885-2023")</f>
        <v/>
      </c>
      <c r="W177">
        <f>HYPERLINK("https://klasma.github.io/Logging_2182/klagomålsmail/A 39885-2023 FSC-klagomål mail.docx", "A 39885-2023")</f>
        <v/>
      </c>
      <c r="X177">
        <f>HYPERLINK("https://klasma.github.io/Logging_2182/tillsyn/A 39885-2023 tillsynsbegäran.docx", "A 39885-2023")</f>
        <v/>
      </c>
      <c r="Y177">
        <f>HYPERLINK("https://klasma.github.io/Logging_2182/tillsynsmail/A 39885-2023 tillsynsbegäran mail.docx", "A 39885-2023")</f>
        <v/>
      </c>
    </row>
    <row r="178" ht="15" customHeight="1">
      <c r="A178" t="inlineStr">
        <is>
          <t>A 45306-2023</t>
        </is>
      </c>
      <c r="B178" s="1" t="n">
        <v>45191</v>
      </c>
      <c r="C178" s="1" t="n">
        <v>45357</v>
      </c>
      <c r="D178" t="inlineStr">
        <is>
          <t>GÄVLEBORGS LÄN</t>
        </is>
      </c>
      <c r="E178" t="inlineStr">
        <is>
          <t>HOFORS</t>
        </is>
      </c>
      <c r="F178" t="inlineStr">
        <is>
          <t>Sveaskog</t>
        </is>
      </c>
      <c r="G178" t="n">
        <v>2.9</v>
      </c>
      <c r="H178" t="n">
        <v>1</v>
      </c>
      <c r="I178" t="n">
        <v>1</v>
      </c>
      <c r="J178" t="n">
        <v>2</v>
      </c>
      <c r="K178" t="n">
        <v>0</v>
      </c>
      <c r="L178" t="n">
        <v>0</v>
      </c>
      <c r="M178" t="n">
        <v>0</v>
      </c>
      <c r="N178" t="n">
        <v>0</v>
      </c>
      <c r="O178" t="n">
        <v>2</v>
      </c>
      <c r="P178" t="n">
        <v>0</v>
      </c>
      <c r="Q178" t="n">
        <v>3</v>
      </c>
      <c r="R178" s="2" t="inlineStr">
        <is>
          <t>Motaggsvamp
Talltita
Mindre märgborre</t>
        </is>
      </c>
      <c r="S178">
        <f>HYPERLINK("https://klasma.github.io/Logging_2104/artfynd/A 45306-2023 artfynd.xlsx", "A 45306-2023")</f>
        <v/>
      </c>
      <c r="T178">
        <f>HYPERLINK("https://klasma.github.io/Logging_2104/kartor/A 45306-2023 karta.png", "A 45306-2023")</f>
        <v/>
      </c>
      <c r="V178">
        <f>HYPERLINK("https://klasma.github.io/Logging_2104/klagomål/A 45306-2023 FSC-klagomål.docx", "A 45306-2023")</f>
        <v/>
      </c>
      <c r="W178">
        <f>HYPERLINK("https://klasma.github.io/Logging_2104/klagomålsmail/A 45306-2023 FSC-klagomål mail.docx", "A 45306-2023")</f>
        <v/>
      </c>
      <c r="X178">
        <f>HYPERLINK("https://klasma.github.io/Logging_2104/tillsyn/A 45306-2023 tillsynsbegäran.docx", "A 45306-2023")</f>
        <v/>
      </c>
      <c r="Y178">
        <f>HYPERLINK("https://klasma.github.io/Logging_2104/tillsynsmail/A 45306-2023 tillsynsbegäran mail.docx", "A 45306-2023")</f>
        <v/>
      </c>
      <c r="Z178">
        <f>HYPERLINK("https://klasma.github.io/Logging_2104/fåglar/A 45306-2023 prioriterade fågelarter.docx", "A 45306-2023")</f>
        <v/>
      </c>
    </row>
    <row r="179" ht="15" customHeight="1">
      <c r="A179" t="inlineStr">
        <is>
          <t>A 50217-2023</t>
        </is>
      </c>
      <c r="B179" s="1" t="n">
        <v>45215</v>
      </c>
      <c r="C179" s="1" t="n">
        <v>45357</v>
      </c>
      <c r="D179" t="inlineStr">
        <is>
          <t>GÄVLEBORGS LÄN</t>
        </is>
      </c>
      <c r="E179" t="inlineStr">
        <is>
          <t>SÖDERHAMN</t>
        </is>
      </c>
      <c r="G179" t="n">
        <v>13.6</v>
      </c>
      <c r="H179" t="n">
        <v>0</v>
      </c>
      <c r="I179" t="n">
        <v>1</v>
      </c>
      <c r="J179" t="n">
        <v>2</v>
      </c>
      <c r="K179" t="n">
        <v>0</v>
      </c>
      <c r="L179" t="n">
        <v>0</v>
      </c>
      <c r="M179" t="n">
        <v>0</v>
      </c>
      <c r="N179" t="n">
        <v>0</v>
      </c>
      <c r="O179" t="n">
        <v>2</v>
      </c>
      <c r="P179" t="n">
        <v>0</v>
      </c>
      <c r="Q179" t="n">
        <v>3</v>
      </c>
      <c r="R179" s="2" t="inlineStr">
        <is>
          <t>Dofttaggsvamp
Gropticka
Dropptaggsvamp</t>
        </is>
      </c>
      <c r="S179">
        <f>HYPERLINK("https://klasma.github.io/Logging_2182/artfynd/A 50217-2023 artfynd.xlsx", "A 50217-2023")</f>
        <v/>
      </c>
      <c r="T179">
        <f>HYPERLINK("https://klasma.github.io/Logging_2182/kartor/A 50217-2023 karta.png", "A 50217-2023")</f>
        <v/>
      </c>
      <c r="V179">
        <f>HYPERLINK("https://klasma.github.io/Logging_2182/klagomål/A 50217-2023 FSC-klagomål.docx", "A 50217-2023")</f>
        <v/>
      </c>
      <c r="W179">
        <f>HYPERLINK("https://klasma.github.io/Logging_2182/klagomålsmail/A 50217-2023 FSC-klagomål mail.docx", "A 50217-2023")</f>
        <v/>
      </c>
      <c r="X179">
        <f>HYPERLINK("https://klasma.github.io/Logging_2182/tillsyn/A 50217-2023 tillsynsbegäran.docx", "A 50217-2023")</f>
        <v/>
      </c>
      <c r="Y179">
        <f>HYPERLINK("https://klasma.github.io/Logging_2182/tillsynsmail/A 50217-2023 tillsynsbegäran mail.docx", "A 50217-2023")</f>
        <v/>
      </c>
    </row>
    <row r="180" ht="15" customHeight="1">
      <c r="A180" t="inlineStr">
        <is>
          <t>A 64533-2023</t>
        </is>
      </c>
      <c r="B180" s="1" t="n">
        <v>45281</v>
      </c>
      <c r="C180" s="1" t="n">
        <v>45357</v>
      </c>
      <c r="D180" t="inlineStr">
        <is>
          <t>GÄVLEBORGS LÄN</t>
        </is>
      </c>
      <c r="E180" t="inlineStr">
        <is>
          <t>GÄVLE</t>
        </is>
      </c>
      <c r="G180" t="n">
        <v>1.1</v>
      </c>
      <c r="H180" t="n">
        <v>0</v>
      </c>
      <c r="I180" t="n">
        <v>2</v>
      </c>
      <c r="J180" t="n">
        <v>1</v>
      </c>
      <c r="K180" t="n">
        <v>0</v>
      </c>
      <c r="L180" t="n">
        <v>0</v>
      </c>
      <c r="M180" t="n">
        <v>0</v>
      </c>
      <c r="N180" t="n">
        <v>0</v>
      </c>
      <c r="O180" t="n">
        <v>1</v>
      </c>
      <c r="P180" t="n">
        <v>0</v>
      </c>
      <c r="Q180" t="n">
        <v>3</v>
      </c>
      <c r="R180" s="2" t="inlineStr">
        <is>
          <t>Asppraktbagge
Aspvedgnagare
Jättesvampmal</t>
        </is>
      </c>
      <c r="S180">
        <f>HYPERLINK("https://klasma.github.io/Logging_2180/artfynd/A 64533-2023 artfynd.xlsx", "A 64533-2023")</f>
        <v/>
      </c>
      <c r="T180">
        <f>HYPERLINK("https://klasma.github.io/Logging_2180/kartor/A 64533-2023 karta.png", "A 64533-2023")</f>
        <v/>
      </c>
      <c r="V180">
        <f>HYPERLINK("https://klasma.github.io/Logging_2180/klagomål/A 64533-2023 FSC-klagomål.docx", "A 64533-2023")</f>
        <v/>
      </c>
      <c r="W180">
        <f>HYPERLINK("https://klasma.github.io/Logging_2180/klagomålsmail/A 64533-2023 FSC-klagomål mail.docx", "A 64533-2023")</f>
        <v/>
      </c>
      <c r="X180">
        <f>HYPERLINK("https://klasma.github.io/Logging_2180/tillsyn/A 64533-2023 tillsynsbegäran.docx", "A 64533-2023")</f>
        <v/>
      </c>
      <c r="Y180">
        <f>HYPERLINK("https://klasma.github.io/Logging_2180/tillsynsmail/A 64533-2023 tillsynsbegäran mail.docx", "A 64533-2023")</f>
        <v/>
      </c>
    </row>
    <row r="181" ht="15" customHeight="1">
      <c r="A181" t="inlineStr">
        <is>
          <t>A 38216-2018</t>
        </is>
      </c>
      <c r="B181" s="1" t="n">
        <v>43338</v>
      </c>
      <c r="C181" s="1" t="n">
        <v>45357</v>
      </c>
      <c r="D181" t="inlineStr">
        <is>
          <t>GÄVLEBORGS LÄN</t>
        </is>
      </c>
      <c r="E181" t="inlineStr">
        <is>
          <t>LJUSDAL</t>
        </is>
      </c>
      <c r="G181" t="n">
        <v>138</v>
      </c>
      <c r="H181" t="n">
        <v>1</v>
      </c>
      <c r="I181" t="n">
        <v>0</v>
      </c>
      <c r="J181" t="n">
        <v>0</v>
      </c>
      <c r="K181" t="n">
        <v>0</v>
      </c>
      <c r="L181" t="n">
        <v>1</v>
      </c>
      <c r="M181" t="n">
        <v>0</v>
      </c>
      <c r="N181" t="n">
        <v>0</v>
      </c>
      <c r="O181" t="n">
        <v>1</v>
      </c>
      <c r="P181" t="n">
        <v>1</v>
      </c>
      <c r="Q181" t="n">
        <v>2</v>
      </c>
      <c r="R181" s="2" t="inlineStr">
        <is>
          <t>Flodpärlmussla
Myggblomster</t>
        </is>
      </c>
      <c r="S181">
        <f>HYPERLINK("https://klasma.github.io/Logging_2161/artfynd/A 38216-2018 artfynd.xlsx", "A 38216-2018")</f>
        <v/>
      </c>
      <c r="T181">
        <f>HYPERLINK("https://klasma.github.io/Logging_2161/kartor/A 38216-2018 karta.png", "A 38216-2018")</f>
        <v/>
      </c>
      <c r="V181">
        <f>HYPERLINK("https://klasma.github.io/Logging_2161/klagomål/A 38216-2018 FSC-klagomål.docx", "A 38216-2018")</f>
        <v/>
      </c>
      <c r="W181">
        <f>HYPERLINK("https://klasma.github.io/Logging_2161/klagomålsmail/A 38216-2018 FSC-klagomål mail.docx", "A 38216-2018")</f>
        <v/>
      </c>
      <c r="X181">
        <f>HYPERLINK("https://klasma.github.io/Logging_2161/tillsyn/A 38216-2018 tillsynsbegäran.docx", "A 38216-2018")</f>
        <v/>
      </c>
      <c r="Y181">
        <f>HYPERLINK("https://klasma.github.io/Logging_2161/tillsynsmail/A 38216-2018 tillsynsbegäran mail.docx", "A 38216-2018")</f>
        <v/>
      </c>
    </row>
    <row r="182" ht="15" customHeight="1">
      <c r="A182" t="inlineStr">
        <is>
          <t>A 42763-2018</t>
        </is>
      </c>
      <c r="B182" s="1" t="n">
        <v>43354</v>
      </c>
      <c r="C182" s="1" t="n">
        <v>45357</v>
      </c>
      <c r="D182" t="inlineStr">
        <is>
          <t>GÄVLEBORGS LÄN</t>
        </is>
      </c>
      <c r="E182" t="inlineStr">
        <is>
          <t>LJUSDAL</t>
        </is>
      </c>
      <c r="F182" t="inlineStr">
        <is>
          <t>Holmen skog AB</t>
        </is>
      </c>
      <c r="G182" t="n">
        <v>165.3</v>
      </c>
      <c r="H182" t="n">
        <v>2</v>
      </c>
      <c r="I182" t="n">
        <v>0</v>
      </c>
      <c r="J182" t="n">
        <v>2</v>
      </c>
      <c r="K182" t="n">
        <v>0</v>
      </c>
      <c r="L182" t="n">
        <v>0</v>
      </c>
      <c r="M182" t="n">
        <v>0</v>
      </c>
      <c r="N182" t="n">
        <v>0</v>
      </c>
      <c r="O182" t="n">
        <v>2</v>
      </c>
      <c r="P182" t="n">
        <v>0</v>
      </c>
      <c r="Q182" t="n">
        <v>2</v>
      </c>
      <c r="R182" s="2" t="inlineStr">
        <is>
          <t>Drillsnäppa
Järpe</t>
        </is>
      </c>
      <c r="S182">
        <f>HYPERLINK("https://klasma.github.io/Logging_2161/artfynd/A 42763-2018 artfynd.xlsx", "A 42763-2018")</f>
        <v/>
      </c>
      <c r="T182">
        <f>HYPERLINK("https://klasma.github.io/Logging_2161/kartor/A 42763-2018 karta.png", "A 42763-2018")</f>
        <v/>
      </c>
      <c r="V182">
        <f>HYPERLINK("https://klasma.github.io/Logging_2161/klagomål/A 42763-2018 FSC-klagomål.docx", "A 42763-2018")</f>
        <v/>
      </c>
      <c r="W182">
        <f>HYPERLINK("https://klasma.github.io/Logging_2161/klagomålsmail/A 42763-2018 FSC-klagomål mail.docx", "A 42763-2018")</f>
        <v/>
      </c>
      <c r="X182">
        <f>HYPERLINK("https://klasma.github.io/Logging_2161/tillsyn/A 42763-2018 tillsynsbegäran.docx", "A 42763-2018")</f>
        <v/>
      </c>
      <c r="Y182">
        <f>HYPERLINK("https://klasma.github.io/Logging_2161/tillsynsmail/A 42763-2018 tillsynsbegäran mail.docx", "A 42763-2018")</f>
        <v/>
      </c>
      <c r="Z182">
        <f>HYPERLINK("https://klasma.github.io/Logging_2161/fåglar/A 42763-2018 prioriterade fågelarter.docx", "A 42763-2018")</f>
        <v/>
      </c>
    </row>
    <row r="183" ht="15" customHeight="1">
      <c r="A183" t="inlineStr">
        <is>
          <t>A 49899-2018</t>
        </is>
      </c>
      <c r="B183" s="1" t="n">
        <v>43377</v>
      </c>
      <c r="C183" s="1" t="n">
        <v>45357</v>
      </c>
      <c r="D183" t="inlineStr">
        <is>
          <t>GÄVLEBORGS LÄN</t>
        </is>
      </c>
      <c r="E183" t="inlineStr">
        <is>
          <t>LJUSDAL</t>
        </is>
      </c>
      <c r="G183" t="n">
        <v>43.6</v>
      </c>
      <c r="H183" t="n">
        <v>2</v>
      </c>
      <c r="I183" t="n">
        <v>0</v>
      </c>
      <c r="J183" t="n">
        <v>0</v>
      </c>
      <c r="K183" t="n">
        <v>0</v>
      </c>
      <c r="L183" t="n">
        <v>1</v>
      </c>
      <c r="M183" t="n">
        <v>0</v>
      </c>
      <c r="N183" t="n">
        <v>0</v>
      </c>
      <c r="O183" t="n">
        <v>1</v>
      </c>
      <c r="P183" t="n">
        <v>1</v>
      </c>
      <c r="Q183" t="n">
        <v>2</v>
      </c>
      <c r="R183" s="2" t="inlineStr">
        <is>
          <t>Mosippa
Mattlummer</t>
        </is>
      </c>
      <c r="S183">
        <f>HYPERLINK("https://klasma.github.io/Logging_2161/artfynd/A 49899-2018 artfynd.xlsx", "A 49899-2018")</f>
        <v/>
      </c>
      <c r="T183">
        <f>HYPERLINK("https://klasma.github.io/Logging_2161/kartor/A 49899-2018 karta.png", "A 49899-2018")</f>
        <v/>
      </c>
      <c r="V183">
        <f>HYPERLINK("https://klasma.github.io/Logging_2161/klagomål/A 49899-2018 FSC-klagomål.docx", "A 49899-2018")</f>
        <v/>
      </c>
      <c r="W183">
        <f>HYPERLINK("https://klasma.github.io/Logging_2161/klagomålsmail/A 49899-2018 FSC-klagomål mail.docx", "A 49899-2018")</f>
        <v/>
      </c>
      <c r="X183">
        <f>HYPERLINK("https://klasma.github.io/Logging_2161/tillsyn/A 49899-2018 tillsynsbegäran.docx", "A 49899-2018")</f>
        <v/>
      </c>
      <c r="Y183">
        <f>HYPERLINK("https://klasma.github.io/Logging_2161/tillsynsmail/A 49899-2018 tillsynsbegäran mail.docx", "A 49899-2018")</f>
        <v/>
      </c>
    </row>
    <row r="184" ht="15" customHeight="1">
      <c r="A184" t="inlineStr">
        <is>
          <t>A 50872-2018</t>
        </is>
      </c>
      <c r="B184" s="1" t="n">
        <v>43381</v>
      </c>
      <c r="C184" s="1" t="n">
        <v>45357</v>
      </c>
      <c r="D184" t="inlineStr">
        <is>
          <t>GÄVLEBORGS LÄN</t>
        </is>
      </c>
      <c r="E184" t="inlineStr">
        <is>
          <t>LJUSDAL</t>
        </is>
      </c>
      <c r="F184" t="inlineStr">
        <is>
          <t>SCA</t>
        </is>
      </c>
      <c r="G184" t="n">
        <v>19.9</v>
      </c>
      <c r="H184" t="n">
        <v>0</v>
      </c>
      <c r="I184" t="n">
        <v>1</v>
      </c>
      <c r="J184" t="n">
        <v>1</v>
      </c>
      <c r="K184" t="n">
        <v>0</v>
      </c>
      <c r="L184" t="n">
        <v>0</v>
      </c>
      <c r="M184" t="n">
        <v>0</v>
      </c>
      <c r="N184" t="n">
        <v>0</v>
      </c>
      <c r="O184" t="n">
        <v>1</v>
      </c>
      <c r="P184" t="n">
        <v>0</v>
      </c>
      <c r="Q184" t="n">
        <v>2</v>
      </c>
      <c r="R184" s="2" t="inlineStr">
        <is>
          <t>Garnlav
Stor aspticka</t>
        </is>
      </c>
      <c r="S184">
        <f>HYPERLINK("https://klasma.github.io/Logging_2161/artfynd/A 50872-2018 artfynd.xlsx", "A 50872-2018")</f>
        <v/>
      </c>
      <c r="T184">
        <f>HYPERLINK("https://klasma.github.io/Logging_2161/kartor/A 50872-2018 karta.png", "A 50872-2018")</f>
        <v/>
      </c>
      <c r="V184">
        <f>HYPERLINK("https://klasma.github.io/Logging_2161/klagomål/A 50872-2018 FSC-klagomål.docx", "A 50872-2018")</f>
        <v/>
      </c>
      <c r="W184">
        <f>HYPERLINK("https://klasma.github.io/Logging_2161/klagomålsmail/A 50872-2018 FSC-klagomål mail.docx", "A 50872-2018")</f>
        <v/>
      </c>
      <c r="X184">
        <f>HYPERLINK("https://klasma.github.io/Logging_2161/tillsyn/A 50872-2018 tillsynsbegäran.docx", "A 50872-2018")</f>
        <v/>
      </c>
      <c r="Y184">
        <f>HYPERLINK("https://klasma.github.io/Logging_2161/tillsynsmail/A 50872-2018 tillsynsbegäran mail.docx", "A 50872-2018")</f>
        <v/>
      </c>
    </row>
    <row r="185" ht="15" customHeight="1">
      <c r="A185" t="inlineStr">
        <is>
          <t>A 2528-2019</t>
        </is>
      </c>
      <c r="B185" s="1" t="n">
        <v>43476</v>
      </c>
      <c r="C185" s="1" t="n">
        <v>45357</v>
      </c>
      <c r="D185" t="inlineStr">
        <is>
          <t>GÄVLEBORGS LÄN</t>
        </is>
      </c>
      <c r="E185" t="inlineStr">
        <is>
          <t>LJUSDAL</t>
        </is>
      </c>
      <c r="G185" t="n">
        <v>130.7</v>
      </c>
      <c r="H185" t="n">
        <v>2</v>
      </c>
      <c r="I185" t="n">
        <v>0</v>
      </c>
      <c r="J185" t="n">
        <v>0</v>
      </c>
      <c r="K185" t="n">
        <v>0</v>
      </c>
      <c r="L185" t="n">
        <v>0</v>
      </c>
      <c r="M185" t="n">
        <v>0</v>
      </c>
      <c r="N185" t="n">
        <v>0</v>
      </c>
      <c r="O185" t="n">
        <v>0</v>
      </c>
      <c r="P185" t="n">
        <v>0</v>
      </c>
      <c r="Q185" t="n">
        <v>2</v>
      </c>
      <c r="R185" s="2" t="inlineStr">
        <is>
          <t>Lopplummer
Revlummer</t>
        </is>
      </c>
      <c r="S185">
        <f>HYPERLINK("https://klasma.github.io/Logging_2161/artfynd/A 2528-2019 artfynd.xlsx", "A 2528-2019")</f>
        <v/>
      </c>
      <c r="T185">
        <f>HYPERLINK("https://klasma.github.io/Logging_2161/kartor/A 2528-2019 karta.png", "A 2528-2019")</f>
        <v/>
      </c>
      <c r="V185">
        <f>HYPERLINK("https://klasma.github.io/Logging_2161/klagomål/A 2528-2019 FSC-klagomål.docx", "A 2528-2019")</f>
        <v/>
      </c>
      <c r="W185">
        <f>HYPERLINK("https://klasma.github.io/Logging_2161/klagomålsmail/A 2528-2019 FSC-klagomål mail.docx", "A 2528-2019")</f>
        <v/>
      </c>
      <c r="X185">
        <f>HYPERLINK("https://klasma.github.io/Logging_2161/tillsyn/A 2528-2019 tillsynsbegäran.docx", "A 2528-2019")</f>
        <v/>
      </c>
      <c r="Y185">
        <f>HYPERLINK("https://klasma.github.io/Logging_2161/tillsynsmail/A 2528-2019 tillsynsbegäran mail.docx", "A 2528-2019")</f>
        <v/>
      </c>
    </row>
    <row r="186" ht="15" customHeight="1">
      <c r="A186" t="inlineStr">
        <is>
          <t>A 17913-2019</t>
        </is>
      </c>
      <c r="B186" s="1" t="n">
        <v>43557</v>
      </c>
      <c r="C186" s="1" t="n">
        <v>45357</v>
      </c>
      <c r="D186" t="inlineStr">
        <is>
          <t>GÄVLEBORGS LÄN</t>
        </is>
      </c>
      <c r="E186" t="inlineStr">
        <is>
          <t>NORDANSTIG</t>
        </is>
      </c>
      <c r="F186" t="inlineStr">
        <is>
          <t>Holmen skog AB</t>
        </is>
      </c>
      <c r="G186" t="n">
        <v>6.6</v>
      </c>
      <c r="H186" t="n">
        <v>1</v>
      </c>
      <c r="I186" t="n">
        <v>1</v>
      </c>
      <c r="J186" t="n">
        <v>0</v>
      </c>
      <c r="K186" t="n">
        <v>0</v>
      </c>
      <c r="L186" t="n">
        <v>0</v>
      </c>
      <c r="M186" t="n">
        <v>0</v>
      </c>
      <c r="N186" t="n">
        <v>0</v>
      </c>
      <c r="O186" t="n">
        <v>0</v>
      </c>
      <c r="P186" t="n">
        <v>0</v>
      </c>
      <c r="Q186" t="n">
        <v>2</v>
      </c>
      <c r="R186" s="2" t="inlineStr">
        <is>
          <t>Skinnlav
Fläcknycklar</t>
        </is>
      </c>
      <c r="S186">
        <f>HYPERLINK("https://klasma.github.io/Logging_2132/artfynd/A 17913-2019 artfynd.xlsx", "A 17913-2019")</f>
        <v/>
      </c>
      <c r="T186">
        <f>HYPERLINK("https://klasma.github.io/Logging_2132/kartor/A 17913-2019 karta.png", "A 17913-2019")</f>
        <v/>
      </c>
      <c r="V186">
        <f>HYPERLINK("https://klasma.github.io/Logging_2132/klagomål/A 17913-2019 FSC-klagomål.docx", "A 17913-2019")</f>
        <v/>
      </c>
      <c r="W186">
        <f>HYPERLINK("https://klasma.github.io/Logging_2132/klagomålsmail/A 17913-2019 FSC-klagomål mail.docx", "A 17913-2019")</f>
        <v/>
      </c>
      <c r="X186">
        <f>HYPERLINK("https://klasma.github.io/Logging_2132/tillsyn/A 17913-2019 tillsynsbegäran.docx", "A 17913-2019")</f>
        <v/>
      </c>
      <c r="Y186">
        <f>HYPERLINK("https://klasma.github.io/Logging_2132/tillsynsmail/A 17913-2019 tillsynsbegäran mail.docx", "A 17913-2019")</f>
        <v/>
      </c>
    </row>
    <row r="187" ht="15" customHeight="1">
      <c r="A187" t="inlineStr">
        <is>
          <t>A 19095-2019</t>
        </is>
      </c>
      <c r="B187" s="1" t="n">
        <v>43564</v>
      </c>
      <c r="C187" s="1" t="n">
        <v>45357</v>
      </c>
      <c r="D187" t="inlineStr">
        <is>
          <t>GÄVLEBORGS LÄN</t>
        </is>
      </c>
      <c r="E187" t="inlineStr">
        <is>
          <t>HOFORS</t>
        </is>
      </c>
      <c r="G187" t="n">
        <v>8</v>
      </c>
      <c r="H187" t="n">
        <v>1</v>
      </c>
      <c r="I187" t="n">
        <v>1</v>
      </c>
      <c r="J187" t="n">
        <v>0</v>
      </c>
      <c r="K187" t="n">
        <v>1</v>
      </c>
      <c r="L187" t="n">
        <v>0</v>
      </c>
      <c r="M187" t="n">
        <v>0</v>
      </c>
      <c r="N187" t="n">
        <v>0</v>
      </c>
      <c r="O187" t="n">
        <v>1</v>
      </c>
      <c r="P187" t="n">
        <v>1</v>
      </c>
      <c r="Q187" t="n">
        <v>2</v>
      </c>
      <c r="R187" s="2" t="inlineStr">
        <is>
          <t>Knärot
Mindre märgborre</t>
        </is>
      </c>
      <c r="S187">
        <f>HYPERLINK("https://klasma.github.io/Logging_2104/artfynd/A 19095-2019 artfynd.xlsx", "A 19095-2019")</f>
        <v/>
      </c>
      <c r="T187">
        <f>HYPERLINK("https://klasma.github.io/Logging_2104/kartor/A 19095-2019 karta.png", "A 19095-2019")</f>
        <v/>
      </c>
      <c r="U187">
        <f>HYPERLINK("https://klasma.github.io/Logging_2104/knärot/A 19095-2019 karta knärot.png", "A 19095-2019")</f>
        <v/>
      </c>
      <c r="V187">
        <f>HYPERLINK("https://klasma.github.io/Logging_2104/klagomål/A 19095-2019 FSC-klagomål.docx", "A 19095-2019")</f>
        <v/>
      </c>
      <c r="W187">
        <f>HYPERLINK("https://klasma.github.io/Logging_2104/klagomålsmail/A 19095-2019 FSC-klagomål mail.docx", "A 19095-2019")</f>
        <v/>
      </c>
      <c r="X187">
        <f>HYPERLINK("https://klasma.github.io/Logging_2104/tillsyn/A 19095-2019 tillsynsbegäran.docx", "A 19095-2019")</f>
        <v/>
      </c>
      <c r="Y187">
        <f>HYPERLINK("https://klasma.github.io/Logging_2104/tillsynsmail/A 19095-2019 tillsynsbegäran mail.docx", "A 19095-2019")</f>
        <v/>
      </c>
    </row>
    <row r="188" ht="15" customHeight="1">
      <c r="A188" t="inlineStr">
        <is>
          <t>A 21731-2019</t>
        </is>
      </c>
      <c r="B188" s="1" t="n">
        <v>43581</v>
      </c>
      <c r="C188" s="1" t="n">
        <v>45357</v>
      </c>
      <c r="D188" t="inlineStr">
        <is>
          <t>GÄVLEBORGS LÄN</t>
        </is>
      </c>
      <c r="E188" t="inlineStr">
        <is>
          <t>HOFORS</t>
        </is>
      </c>
      <c r="F188" t="inlineStr">
        <is>
          <t>Sveaskog</t>
        </is>
      </c>
      <c r="G188" t="n">
        <v>3.8</v>
      </c>
      <c r="H188" t="n">
        <v>2</v>
      </c>
      <c r="I188" t="n">
        <v>1</v>
      </c>
      <c r="J188" t="n">
        <v>0</v>
      </c>
      <c r="K188" t="n">
        <v>0</v>
      </c>
      <c r="L188" t="n">
        <v>0</v>
      </c>
      <c r="M188" t="n">
        <v>0</v>
      </c>
      <c r="N188" t="n">
        <v>0</v>
      </c>
      <c r="O188" t="n">
        <v>0</v>
      </c>
      <c r="P188" t="n">
        <v>0</v>
      </c>
      <c r="Q188" t="n">
        <v>2</v>
      </c>
      <c r="R188" s="2" t="inlineStr">
        <is>
          <t>Tvåblad
Revlummer</t>
        </is>
      </c>
      <c r="S188">
        <f>HYPERLINK("https://klasma.github.io/Logging_2104/artfynd/A 21731-2019 artfynd.xlsx", "A 21731-2019")</f>
        <v/>
      </c>
      <c r="T188">
        <f>HYPERLINK("https://klasma.github.io/Logging_2104/kartor/A 21731-2019 karta.png", "A 21731-2019")</f>
        <v/>
      </c>
      <c r="U188">
        <f>HYPERLINK("https://klasma.github.io/Logging_2104/knärot/A 21731-2019 karta knärot.png", "A 21731-2019")</f>
        <v/>
      </c>
      <c r="V188">
        <f>HYPERLINK("https://klasma.github.io/Logging_2104/klagomål/A 21731-2019 FSC-klagomål.docx", "A 21731-2019")</f>
        <v/>
      </c>
      <c r="W188">
        <f>HYPERLINK("https://klasma.github.io/Logging_2104/klagomålsmail/A 21731-2019 FSC-klagomål mail.docx", "A 21731-2019")</f>
        <v/>
      </c>
      <c r="X188">
        <f>HYPERLINK("https://klasma.github.io/Logging_2104/tillsyn/A 21731-2019 tillsynsbegäran.docx", "A 21731-2019")</f>
        <v/>
      </c>
      <c r="Y188">
        <f>HYPERLINK("https://klasma.github.io/Logging_2104/tillsynsmail/A 21731-2019 tillsynsbegäran mail.docx", "A 21731-2019")</f>
        <v/>
      </c>
    </row>
    <row r="189" ht="15" customHeight="1">
      <c r="A189" t="inlineStr">
        <is>
          <t>A 29812-2019</t>
        </is>
      </c>
      <c r="B189" s="1" t="n">
        <v>43629</v>
      </c>
      <c r="C189" s="1" t="n">
        <v>45357</v>
      </c>
      <c r="D189" t="inlineStr">
        <is>
          <t>GÄVLEBORGS LÄN</t>
        </is>
      </c>
      <c r="E189" t="inlineStr">
        <is>
          <t>LJUSDAL</t>
        </is>
      </c>
      <c r="F189" t="inlineStr">
        <is>
          <t>Holmen skog AB</t>
        </is>
      </c>
      <c r="G189" t="n">
        <v>2.4</v>
      </c>
      <c r="H189" t="n">
        <v>1</v>
      </c>
      <c r="I189" t="n">
        <v>1</v>
      </c>
      <c r="J189" t="n">
        <v>0</v>
      </c>
      <c r="K189" t="n">
        <v>1</v>
      </c>
      <c r="L189" t="n">
        <v>0</v>
      </c>
      <c r="M189" t="n">
        <v>0</v>
      </c>
      <c r="N189" t="n">
        <v>0</v>
      </c>
      <c r="O189" t="n">
        <v>1</v>
      </c>
      <c r="P189" t="n">
        <v>1</v>
      </c>
      <c r="Q189" t="n">
        <v>2</v>
      </c>
      <c r="R189" s="2" t="inlineStr">
        <is>
          <t>Knärot
Skinnlav</t>
        </is>
      </c>
      <c r="S189">
        <f>HYPERLINK("https://klasma.github.io/Logging_2161/artfynd/A 29812-2019 artfynd.xlsx", "A 29812-2019")</f>
        <v/>
      </c>
      <c r="T189">
        <f>HYPERLINK("https://klasma.github.io/Logging_2161/kartor/A 29812-2019 karta.png", "A 29812-2019")</f>
        <v/>
      </c>
      <c r="U189">
        <f>HYPERLINK("https://klasma.github.io/Logging_2161/knärot/A 29812-2019 karta knärot.png", "A 29812-2019")</f>
        <v/>
      </c>
      <c r="V189">
        <f>HYPERLINK("https://klasma.github.io/Logging_2161/klagomål/A 29812-2019 FSC-klagomål.docx", "A 29812-2019")</f>
        <v/>
      </c>
      <c r="W189">
        <f>HYPERLINK("https://klasma.github.io/Logging_2161/klagomålsmail/A 29812-2019 FSC-klagomål mail.docx", "A 29812-2019")</f>
        <v/>
      </c>
      <c r="X189">
        <f>HYPERLINK("https://klasma.github.io/Logging_2161/tillsyn/A 29812-2019 tillsynsbegäran.docx", "A 29812-2019")</f>
        <v/>
      </c>
      <c r="Y189">
        <f>HYPERLINK("https://klasma.github.io/Logging_2161/tillsynsmail/A 29812-2019 tillsynsbegäran mail.docx", "A 29812-2019")</f>
        <v/>
      </c>
    </row>
    <row r="190" ht="15" customHeight="1">
      <c r="A190" t="inlineStr">
        <is>
          <t>A 45004-2019</t>
        </is>
      </c>
      <c r="B190" s="1" t="n">
        <v>43713</v>
      </c>
      <c r="C190" s="1" t="n">
        <v>45357</v>
      </c>
      <c r="D190" t="inlineStr">
        <is>
          <t>GÄVLEBORGS LÄN</t>
        </is>
      </c>
      <c r="E190" t="inlineStr">
        <is>
          <t>OVANÅKER</t>
        </is>
      </c>
      <c r="F190" t="inlineStr">
        <is>
          <t>Sveaskog</t>
        </is>
      </c>
      <c r="G190" t="n">
        <v>7.5</v>
      </c>
      <c r="H190" t="n">
        <v>0</v>
      </c>
      <c r="I190" t="n">
        <v>0</v>
      </c>
      <c r="J190" t="n">
        <v>2</v>
      </c>
      <c r="K190" t="n">
        <v>0</v>
      </c>
      <c r="L190" t="n">
        <v>0</v>
      </c>
      <c r="M190" t="n">
        <v>0</v>
      </c>
      <c r="N190" t="n">
        <v>0</v>
      </c>
      <c r="O190" t="n">
        <v>2</v>
      </c>
      <c r="P190" t="n">
        <v>0</v>
      </c>
      <c r="Q190" t="n">
        <v>2</v>
      </c>
      <c r="R190" s="2" t="inlineStr">
        <is>
          <t>Kolflarnlav
Lunglav</t>
        </is>
      </c>
      <c r="S190">
        <f>HYPERLINK("https://klasma.github.io/Logging_2121/artfynd/A 45004-2019 artfynd.xlsx", "A 45004-2019")</f>
        <v/>
      </c>
      <c r="T190">
        <f>HYPERLINK("https://klasma.github.io/Logging_2121/kartor/A 45004-2019 karta.png", "A 45004-2019")</f>
        <v/>
      </c>
      <c r="V190">
        <f>HYPERLINK("https://klasma.github.io/Logging_2121/klagomål/A 45004-2019 FSC-klagomål.docx", "A 45004-2019")</f>
        <v/>
      </c>
      <c r="W190">
        <f>HYPERLINK("https://klasma.github.io/Logging_2121/klagomålsmail/A 45004-2019 FSC-klagomål mail.docx", "A 45004-2019")</f>
        <v/>
      </c>
      <c r="X190">
        <f>HYPERLINK("https://klasma.github.io/Logging_2121/tillsyn/A 45004-2019 tillsynsbegäran.docx", "A 45004-2019")</f>
        <v/>
      </c>
      <c r="Y190">
        <f>HYPERLINK("https://klasma.github.io/Logging_2121/tillsynsmail/A 45004-2019 tillsynsbegäran mail.docx", "A 45004-2019")</f>
        <v/>
      </c>
    </row>
    <row r="191" ht="15" customHeight="1">
      <c r="A191" t="inlineStr">
        <is>
          <t>A 52965-2019</t>
        </is>
      </c>
      <c r="B191" s="1" t="n">
        <v>43747</v>
      </c>
      <c r="C191" s="1" t="n">
        <v>45357</v>
      </c>
      <c r="D191" t="inlineStr">
        <is>
          <t>GÄVLEBORGS LÄN</t>
        </is>
      </c>
      <c r="E191" t="inlineStr">
        <is>
          <t>OCKELBO</t>
        </is>
      </c>
      <c r="G191" t="n">
        <v>1.6</v>
      </c>
      <c r="H191" t="n">
        <v>1</v>
      </c>
      <c r="I191" t="n">
        <v>1</v>
      </c>
      <c r="J191" t="n">
        <v>0</v>
      </c>
      <c r="K191" t="n">
        <v>0</v>
      </c>
      <c r="L191" t="n">
        <v>0</v>
      </c>
      <c r="M191" t="n">
        <v>0</v>
      </c>
      <c r="N191" t="n">
        <v>0</v>
      </c>
      <c r="O191" t="n">
        <v>0</v>
      </c>
      <c r="P191" t="n">
        <v>0</v>
      </c>
      <c r="Q191" t="n">
        <v>2</v>
      </c>
      <c r="R191" s="2" t="inlineStr">
        <is>
          <t>Större träfjäril
Skogsödla</t>
        </is>
      </c>
      <c r="S191">
        <f>HYPERLINK("https://klasma.github.io/Logging_2101/artfynd/A 52965-2019 artfynd.xlsx", "A 52965-2019")</f>
        <v/>
      </c>
      <c r="T191">
        <f>HYPERLINK("https://klasma.github.io/Logging_2101/kartor/A 52965-2019 karta.png", "A 52965-2019")</f>
        <v/>
      </c>
      <c r="V191">
        <f>HYPERLINK("https://klasma.github.io/Logging_2101/klagomål/A 52965-2019 FSC-klagomål.docx", "A 52965-2019")</f>
        <v/>
      </c>
      <c r="W191">
        <f>HYPERLINK("https://klasma.github.io/Logging_2101/klagomålsmail/A 52965-2019 FSC-klagomål mail.docx", "A 52965-2019")</f>
        <v/>
      </c>
      <c r="X191">
        <f>HYPERLINK("https://klasma.github.io/Logging_2101/tillsyn/A 52965-2019 tillsynsbegäran.docx", "A 52965-2019")</f>
        <v/>
      </c>
      <c r="Y191">
        <f>HYPERLINK("https://klasma.github.io/Logging_2101/tillsynsmail/A 52965-2019 tillsynsbegäran mail.docx", "A 52965-2019")</f>
        <v/>
      </c>
    </row>
    <row r="192" ht="15" customHeight="1">
      <c r="A192" t="inlineStr">
        <is>
          <t>A 59286-2019</t>
        </is>
      </c>
      <c r="B192" s="1" t="n">
        <v>43775</v>
      </c>
      <c r="C192" s="1" t="n">
        <v>45357</v>
      </c>
      <c r="D192" t="inlineStr">
        <is>
          <t>GÄVLEBORGS LÄN</t>
        </is>
      </c>
      <c r="E192" t="inlineStr">
        <is>
          <t>OCKELBO</t>
        </is>
      </c>
      <c r="G192" t="n">
        <v>2.2</v>
      </c>
      <c r="H192" t="n">
        <v>0</v>
      </c>
      <c r="I192" t="n">
        <v>0</v>
      </c>
      <c r="J192" t="n">
        <v>2</v>
      </c>
      <c r="K192" t="n">
        <v>0</v>
      </c>
      <c r="L192" t="n">
        <v>0</v>
      </c>
      <c r="M192" t="n">
        <v>0</v>
      </c>
      <c r="N192" t="n">
        <v>0</v>
      </c>
      <c r="O192" t="n">
        <v>2</v>
      </c>
      <c r="P192" t="n">
        <v>0</v>
      </c>
      <c r="Q192" t="n">
        <v>2</v>
      </c>
      <c r="R192" s="2" t="inlineStr">
        <is>
          <t>Garnlav
Koralltaggsvamp</t>
        </is>
      </c>
      <c r="S192">
        <f>HYPERLINK("https://klasma.github.io/Logging_2101/artfynd/A 59286-2019 artfynd.xlsx", "A 59286-2019")</f>
        <v/>
      </c>
      <c r="T192">
        <f>HYPERLINK("https://klasma.github.io/Logging_2101/kartor/A 59286-2019 karta.png", "A 59286-2019")</f>
        <v/>
      </c>
      <c r="V192">
        <f>HYPERLINK("https://klasma.github.io/Logging_2101/klagomål/A 59286-2019 FSC-klagomål.docx", "A 59286-2019")</f>
        <v/>
      </c>
      <c r="W192">
        <f>HYPERLINK("https://klasma.github.io/Logging_2101/klagomålsmail/A 59286-2019 FSC-klagomål mail.docx", "A 59286-2019")</f>
        <v/>
      </c>
      <c r="X192">
        <f>HYPERLINK("https://klasma.github.io/Logging_2101/tillsyn/A 59286-2019 tillsynsbegäran.docx", "A 59286-2019")</f>
        <v/>
      </c>
      <c r="Y192">
        <f>HYPERLINK("https://klasma.github.io/Logging_2101/tillsynsmail/A 59286-2019 tillsynsbegäran mail.docx", "A 59286-2019")</f>
        <v/>
      </c>
    </row>
    <row r="193" ht="15" customHeight="1">
      <c r="A193" t="inlineStr">
        <is>
          <t>A 61384-2019</t>
        </is>
      </c>
      <c r="B193" s="1" t="n">
        <v>43783</v>
      </c>
      <c r="C193" s="1" t="n">
        <v>45357</v>
      </c>
      <c r="D193" t="inlineStr">
        <is>
          <t>GÄVLEBORGS LÄN</t>
        </is>
      </c>
      <c r="E193" t="inlineStr">
        <is>
          <t>BOLLNÄS</t>
        </is>
      </c>
      <c r="F193" t="inlineStr">
        <is>
          <t>Sveaskog</t>
        </is>
      </c>
      <c r="G193" t="n">
        <v>4.1</v>
      </c>
      <c r="H193" t="n">
        <v>2</v>
      </c>
      <c r="I193" t="n">
        <v>1</v>
      </c>
      <c r="J193" t="n">
        <v>0</v>
      </c>
      <c r="K193" t="n">
        <v>1</v>
      </c>
      <c r="L193" t="n">
        <v>0</v>
      </c>
      <c r="M193" t="n">
        <v>0</v>
      </c>
      <c r="N193" t="n">
        <v>0</v>
      </c>
      <c r="O193" t="n">
        <v>1</v>
      </c>
      <c r="P193" t="n">
        <v>1</v>
      </c>
      <c r="Q193" t="n">
        <v>2</v>
      </c>
      <c r="R193" s="2" t="inlineStr">
        <is>
          <t>Knärot
Korallrot</t>
        </is>
      </c>
      <c r="S193">
        <f>HYPERLINK("https://klasma.github.io/Logging_2183/artfynd/A 61384-2019 artfynd.xlsx", "A 61384-2019")</f>
        <v/>
      </c>
      <c r="T193">
        <f>HYPERLINK("https://klasma.github.io/Logging_2183/kartor/A 61384-2019 karta.png", "A 61384-2019")</f>
        <v/>
      </c>
      <c r="U193">
        <f>HYPERLINK("https://klasma.github.io/Logging_2183/knärot/A 61384-2019 karta knärot.png", "A 61384-2019")</f>
        <v/>
      </c>
      <c r="V193">
        <f>HYPERLINK("https://klasma.github.io/Logging_2183/klagomål/A 61384-2019 FSC-klagomål.docx", "A 61384-2019")</f>
        <v/>
      </c>
      <c r="W193">
        <f>HYPERLINK("https://klasma.github.io/Logging_2183/klagomålsmail/A 61384-2019 FSC-klagomål mail.docx", "A 61384-2019")</f>
        <v/>
      </c>
      <c r="X193">
        <f>HYPERLINK("https://klasma.github.io/Logging_2183/tillsyn/A 61384-2019 tillsynsbegäran.docx", "A 61384-2019")</f>
        <v/>
      </c>
      <c r="Y193">
        <f>HYPERLINK("https://klasma.github.io/Logging_2183/tillsynsmail/A 61384-2019 tillsynsbegäran mail.docx", "A 61384-2019")</f>
        <v/>
      </c>
    </row>
    <row r="194" ht="15" customHeight="1">
      <c r="A194" t="inlineStr">
        <is>
          <t>A 61372-2019</t>
        </is>
      </c>
      <c r="B194" s="1" t="n">
        <v>43783</v>
      </c>
      <c r="C194" s="1" t="n">
        <v>45357</v>
      </c>
      <c r="D194" t="inlineStr">
        <is>
          <t>GÄVLEBORGS LÄN</t>
        </is>
      </c>
      <c r="E194" t="inlineStr">
        <is>
          <t>BOLLNÄS</t>
        </is>
      </c>
      <c r="F194" t="inlineStr">
        <is>
          <t>Sveaskog</t>
        </is>
      </c>
      <c r="G194" t="n">
        <v>3.2</v>
      </c>
      <c r="H194" t="n">
        <v>1</v>
      </c>
      <c r="I194" t="n">
        <v>0</v>
      </c>
      <c r="J194" t="n">
        <v>1</v>
      </c>
      <c r="K194" t="n">
        <v>1</v>
      </c>
      <c r="L194" t="n">
        <v>0</v>
      </c>
      <c r="M194" t="n">
        <v>0</v>
      </c>
      <c r="N194" t="n">
        <v>0</v>
      </c>
      <c r="O194" t="n">
        <v>2</v>
      </c>
      <c r="P194" t="n">
        <v>1</v>
      </c>
      <c r="Q194" t="n">
        <v>2</v>
      </c>
      <c r="R194" s="2" t="inlineStr">
        <is>
          <t>Knärot
Garnlav</t>
        </is>
      </c>
      <c r="S194">
        <f>HYPERLINK("https://klasma.github.io/Logging_2183/artfynd/A 61372-2019 artfynd.xlsx", "A 61372-2019")</f>
        <v/>
      </c>
      <c r="T194">
        <f>HYPERLINK("https://klasma.github.io/Logging_2183/kartor/A 61372-2019 karta.png", "A 61372-2019")</f>
        <v/>
      </c>
      <c r="U194">
        <f>HYPERLINK("https://klasma.github.io/Logging_2183/knärot/A 61372-2019 karta knärot.png", "A 61372-2019")</f>
        <v/>
      </c>
      <c r="V194">
        <f>HYPERLINK("https://klasma.github.io/Logging_2183/klagomål/A 61372-2019 FSC-klagomål.docx", "A 61372-2019")</f>
        <v/>
      </c>
      <c r="W194">
        <f>HYPERLINK("https://klasma.github.io/Logging_2183/klagomålsmail/A 61372-2019 FSC-klagomål mail.docx", "A 61372-2019")</f>
        <v/>
      </c>
      <c r="X194">
        <f>HYPERLINK("https://klasma.github.io/Logging_2183/tillsyn/A 61372-2019 tillsynsbegäran.docx", "A 61372-2019")</f>
        <v/>
      </c>
      <c r="Y194">
        <f>HYPERLINK("https://klasma.github.io/Logging_2183/tillsynsmail/A 61372-2019 tillsynsbegäran mail.docx", "A 61372-2019")</f>
        <v/>
      </c>
    </row>
    <row r="195" ht="15" customHeight="1">
      <c r="A195" t="inlineStr">
        <is>
          <t>A 61380-2019</t>
        </is>
      </c>
      <c r="B195" s="1" t="n">
        <v>43783</v>
      </c>
      <c r="C195" s="1" t="n">
        <v>45357</v>
      </c>
      <c r="D195" t="inlineStr">
        <is>
          <t>GÄVLEBORGS LÄN</t>
        </is>
      </c>
      <c r="E195" t="inlineStr">
        <is>
          <t>BOLLNÄS</t>
        </is>
      </c>
      <c r="F195" t="inlineStr">
        <is>
          <t>Sveaskog</t>
        </is>
      </c>
      <c r="G195" t="n">
        <v>6</v>
      </c>
      <c r="H195" t="n">
        <v>1</v>
      </c>
      <c r="I195" t="n">
        <v>1</v>
      </c>
      <c r="J195" t="n">
        <v>0</v>
      </c>
      <c r="K195" t="n">
        <v>1</v>
      </c>
      <c r="L195" t="n">
        <v>0</v>
      </c>
      <c r="M195" t="n">
        <v>0</v>
      </c>
      <c r="N195" t="n">
        <v>0</v>
      </c>
      <c r="O195" t="n">
        <v>1</v>
      </c>
      <c r="P195" t="n">
        <v>1</v>
      </c>
      <c r="Q195" t="n">
        <v>2</v>
      </c>
      <c r="R195" s="2" t="inlineStr">
        <is>
          <t>Knärot
Tibast</t>
        </is>
      </c>
      <c r="S195">
        <f>HYPERLINK("https://klasma.github.io/Logging_2183/artfynd/A 61380-2019 artfynd.xlsx", "A 61380-2019")</f>
        <v/>
      </c>
      <c r="T195">
        <f>HYPERLINK("https://klasma.github.io/Logging_2183/kartor/A 61380-2019 karta.png", "A 61380-2019")</f>
        <v/>
      </c>
      <c r="U195">
        <f>HYPERLINK("https://klasma.github.io/Logging_2183/knärot/A 61380-2019 karta knärot.png", "A 61380-2019")</f>
        <v/>
      </c>
      <c r="V195">
        <f>HYPERLINK("https://klasma.github.io/Logging_2183/klagomål/A 61380-2019 FSC-klagomål.docx", "A 61380-2019")</f>
        <v/>
      </c>
      <c r="W195">
        <f>HYPERLINK("https://klasma.github.io/Logging_2183/klagomålsmail/A 61380-2019 FSC-klagomål mail.docx", "A 61380-2019")</f>
        <v/>
      </c>
      <c r="X195">
        <f>HYPERLINK("https://klasma.github.io/Logging_2183/tillsyn/A 61380-2019 tillsynsbegäran.docx", "A 61380-2019")</f>
        <v/>
      </c>
      <c r="Y195">
        <f>HYPERLINK("https://klasma.github.io/Logging_2183/tillsynsmail/A 61380-2019 tillsynsbegäran mail.docx", "A 61380-2019")</f>
        <v/>
      </c>
    </row>
    <row r="196" ht="15" customHeight="1">
      <c r="A196" t="inlineStr">
        <is>
          <t>A 64630-2019</t>
        </is>
      </c>
      <c r="B196" s="1" t="n">
        <v>43798</v>
      </c>
      <c r="C196" s="1" t="n">
        <v>45357</v>
      </c>
      <c r="D196" t="inlineStr">
        <is>
          <t>GÄVLEBORGS LÄN</t>
        </is>
      </c>
      <c r="E196" t="inlineStr">
        <is>
          <t>SÖDERHAMN</t>
        </is>
      </c>
      <c r="G196" t="n">
        <v>8.300000000000001</v>
      </c>
      <c r="H196" t="n">
        <v>0</v>
      </c>
      <c r="I196" t="n">
        <v>1</v>
      </c>
      <c r="J196" t="n">
        <v>0</v>
      </c>
      <c r="K196" t="n">
        <v>1</v>
      </c>
      <c r="L196" t="n">
        <v>0</v>
      </c>
      <c r="M196" t="n">
        <v>0</v>
      </c>
      <c r="N196" t="n">
        <v>0</v>
      </c>
      <c r="O196" t="n">
        <v>1</v>
      </c>
      <c r="P196" t="n">
        <v>1</v>
      </c>
      <c r="Q196" t="n">
        <v>2</v>
      </c>
      <c r="R196" s="2" t="inlineStr">
        <is>
          <t>Violgubbe
Skarp dropptaggsvamp</t>
        </is>
      </c>
      <c r="S196">
        <f>HYPERLINK("https://klasma.github.io/Logging_2182/artfynd/A 64630-2019 artfynd.xlsx", "A 64630-2019")</f>
        <v/>
      </c>
      <c r="T196">
        <f>HYPERLINK("https://klasma.github.io/Logging_2182/kartor/A 64630-2019 karta.png", "A 64630-2019")</f>
        <v/>
      </c>
      <c r="V196">
        <f>HYPERLINK("https://klasma.github.io/Logging_2182/klagomål/A 64630-2019 FSC-klagomål.docx", "A 64630-2019")</f>
        <v/>
      </c>
      <c r="W196">
        <f>HYPERLINK("https://klasma.github.io/Logging_2182/klagomålsmail/A 64630-2019 FSC-klagomål mail.docx", "A 64630-2019")</f>
        <v/>
      </c>
      <c r="X196">
        <f>HYPERLINK("https://klasma.github.io/Logging_2182/tillsyn/A 64630-2019 tillsynsbegäran.docx", "A 64630-2019")</f>
        <v/>
      </c>
      <c r="Y196">
        <f>HYPERLINK("https://klasma.github.io/Logging_2182/tillsynsmail/A 64630-2019 tillsynsbegäran mail.docx", "A 64630-2019")</f>
        <v/>
      </c>
    </row>
    <row r="197" ht="15" customHeight="1">
      <c r="A197" t="inlineStr">
        <is>
          <t>A 116-2020</t>
        </is>
      </c>
      <c r="B197" s="1" t="n">
        <v>43832</v>
      </c>
      <c r="C197" s="1" t="n">
        <v>45357</v>
      </c>
      <c r="D197" t="inlineStr">
        <is>
          <t>GÄVLEBORGS LÄN</t>
        </is>
      </c>
      <c r="E197" t="inlineStr">
        <is>
          <t>HUDIKSVALL</t>
        </is>
      </c>
      <c r="G197" t="n">
        <v>7.1</v>
      </c>
      <c r="H197" t="n">
        <v>2</v>
      </c>
      <c r="I197" t="n">
        <v>0</v>
      </c>
      <c r="J197" t="n">
        <v>1</v>
      </c>
      <c r="K197" t="n">
        <v>0</v>
      </c>
      <c r="L197" t="n">
        <v>1</v>
      </c>
      <c r="M197" t="n">
        <v>0</v>
      </c>
      <c r="N197" t="n">
        <v>0</v>
      </c>
      <c r="O197" t="n">
        <v>2</v>
      </c>
      <c r="P197" t="n">
        <v>1</v>
      </c>
      <c r="Q197" t="n">
        <v>2</v>
      </c>
      <c r="R197" s="2" t="inlineStr">
        <is>
          <t>Tornseglare
Kråka</t>
        </is>
      </c>
      <c r="S197">
        <f>HYPERLINK("https://klasma.github.io/Logging_2184/artfynd/A 116-2020 artfynd.xlsx", "A 116-2020")</f>
        <v/>
      </c>
      <c r="T197">
        <f>HYPERLINK("https://klasma.github.io/Logging_2184/kartor/A 116-2020 karta.png", "A 116-2020")</f>
        <v/>
      </c>
      <c r="V197">
        <f>HYPERLINK("https://klasma.github.io/Logging_2184/klagomål/A 116-2020 FSC-klagomål.docx", "A 116-2020")</f>
        <v/>
      </c>
      <c r="W197">
        <f>HYPERLINK("https://klasma.github.io/Logging_2184/klagomålsmail/A 116-2020 FSC-klagomål mail.docx", "A 116-2020")</f>
        <v/>
      </c>
      <c r="X197">
        <f>HYPERLINK("https://klasma.github.io/Logging_2184/tillsyn/A 116-2020 tillsynsbegäran.docx", "A 116-2020")</f>
        <v/>
      </c>
      <c r="Y197">
        <f>HYPERLINK("https://klasma.github.io/Logging_2184/tillsynsmail/A 116-2020 tillsynsbegäran mail.docx", "A 116-2020")</f>
        <v/>
      </c>
      <c r="Z197">
        <f>HYPERLINK("https://klasma.github.io/Logging_2184/fåglar/A 116-2020 prioriterade fågelarter.docx", "A 116-2020")</f>
        <v/>
      </c>
    </row>
    <row r="198" ht="15" customHeight="1">
      <c r="A198" t="inlineStr">
        <is>
          <t>A 14255-2020</t>
        </is>
      </c>
      <c r="B198" s="1" t="n">
        <v>43907</v>
      </c>
      <c r="C198" s="1" t="n">
        <v>45357</v>
      </c>
      <c r="D198" t="inlineStr">
        <is>
          <t>GÄVLEBORGS LÄN</t>
        </is>
      </c>
      <c r="E198" t="inlineStr">
        <is>
          <t>HUDIKSVALL</t>
        </is>
      </c>
      <c r="F198" t="inlineStr">
        <is>
          <t>Holmen skog AB</t>
        </is>
      </c>
      <c r="G198" t="n">
        <v>14.2</v>
      </c>
      <c r="H198" t="n">
        <v>2</v>
      </c>
      <c r="I198" t="n">
        <v>0</v>
      </c>
      <c r="J198" t="n">
        <v>0</v>
      </c>
      <c r="K198" t="n">
        <v>0</v>
      </c>
      <c r="L198" t="n">
        <v>0</v>
      </c>
      <c r="M198" t="n">
        <v>0</v>
      </c>
      <c r="N198" t="n">
        <v>0</v>
      </c>
      <c r="O198" t="n">
        <v>0</v>
      </c>
      <c r="P198" t="n">
        <v>0</v>
      </c>
      <c r="Q198" t="n">
        <v>2</v>
      </c>
      <c r="R198" s="2" t="inlineStr">
        <is>
          <t>Fläcknycklar
Myggblomster</t>
        </is>
      </c>
      <c r="S198">
        <f>HYPERLINK("https://klasma.github.io/Logging_2184/artfynd/A 14255-2020 artfynd.xlsx", "A 14255-2020")</f>
        <v/>
      </c>
      <c r="T198">
        <f>HYPERLINK("https://klasma.github.io/Logging_2184/kartor/A 14255-2020 karta.png", "A 14255-2020")</f>
        <v/>
      </c>
      <c r="V198">
        <f>HYPERLINK("https://klasma.github.io/Logging_2184/klagomål/A 14255-2020 FSC-klagomål.docx", "A 14255-2020")</f>
        <v/>
      </c>
      <c r="W198">
        <f>HYPERLINK("https://klasma.github.io/Logging_2184/klagomålsmail/A 14255-2020 FSC-klagomål mail.docx", "A 14255-2020")</f>
        <v/>
      </c>
      <c r="X198">
        <f>HYPERLINK("https://klasma.github.io/Logging_2184/tillsyn/A 14255-2020 tillsynsbegäran.docx", "A 14255-2020")</f>
        <v/>
      </c>
      <c r="Y198">
        <f>HYPERLINK("https://klasma.github.io/Logging_2184/tillsynsmail/A 14255-2020 tillsynsbegäran mail.docx", "A 14255-2020")</f>
        <v/>
      </c>
    </row>
    <row r="199" ht="15" customHeight="1">
      <c r="A199" t="inlineStr">
        <is>
          <t>A 24617-2020</t>
        </is>
      </c>
      <c r="B199" s="1" t="n">
        <v>43977</v>
      </c>
      <c r="C199" s="1" t="n">
        <v>45357</v>
      </c>
      <c r="D199" t="inlineStr">
        <is>
          <t>GÄVLEBORGS LÄN</t>
        </is>
      </c>
      <c r="E199" t="inlineStr">
        <is>
          <t>LJUSDAL</t>
        </is>
      </c>
      <c r="F199" t="inlineStr">
        <is>
          <t>Sveaskog</t>
        </is>
      </c>
      <c r="G199" t="n">
        <v>9.300000000000001</v>
      </c>
      <c r="H199" t="n">
        <v>0</v>
      </c>
      <c r="I199" t="n">
        <v>1</v>
      </c>
      <c r="J199" t="n">
        <v>1</v>
      </c>
      <c r="K199" t="n">
        <v>0</v>
      </c>
      <c r="L199" t="n">
        <v>0</v>
      </c>
      <c r="M199" t="n">
        <v>0</v>
      </c>
      <c r="N199" t="n">
        <v>0</v>
      </c>
      <c r="O199" t="n">
        <v>1</v>
      </c>
      <c r="P199" t="n">
        <v>0</v>
      </c>
      <c r="Q199" t="n">
        <v>2</v>
      </c>
      <c r="R199" s="2" t="inlineStr">
        <is>
          <t>Kolflarnlav
Dropptaggsvamp</t>
        </is>
      </c>
      <c r="S199">
        <f>HYPERLINK("https://klasma.github.io/Logging_2161/artfynd/A 24617-2020 artfynd.xlsx", "A 24617-2020")</f>
        <v/>
      </c>
      <c r="T199">
        <f>HYPERLINK("https://klasma.github.io/Logging_2161/kartor/A 24617-2020 karta.png", "A 24617-2020")</f>
        <v/>
      </c>
      <c r="V199">
        <f>HYPERLINK("https://klasma.github.io/Logging_2161/klagomål/A 24617-2020 FSC-klagomål.docx", "A 24617-2020")</f>
        <v/>
      </c>
      <c r="W199">
        <f>HYPERLINK("https://klasma.github.io/Logging_2161/klagomålsmail/A 24617-2020 FSC-klagomål mail.docx", "A 24617-2020")</f>
        <v/>
      </c>
      <c r="X199">
        <f>HYPERLINK("https://klasma.github.io/Logging_2161/tillsyn/A 24617-2020 tillsynsbegäran.docx", "A 24617-2020")</f>
        <v/>
      </c>
      <c r="Y199">
        <f>HYPERLINK("https://klasma.github.io/Logging_2161/tillsynsmail/A 24617-2020 tillsynsbegäran mail.docx", "A 24617-2020")</f>
        <v/>
      </c>
    </row>
    <row r="200" ht="15" customHeight="1">
      <c r="A200" t="inlineStr">
        <is>
          <t>A 28704-2020</t>
        </is>
      </c>
      <c r="B200" s="1" t="n">
        <v>43999</v>
      </c>
      <c r="C200" s="1" t="n">
        <v>45357</v>
      </c>
      <c r="D200" t="inlineStr">
        <is>
          <t>GÄVLEBORGS LÄN</t>
        </is>
      </c>
      <c r="E200" t="inlineStr">
        <is>
          <t>BOLLNÄS</t>
        </is>
      </c>
      <c r="F200" t="inlineStr">
        <is>
          <t>Sveaskog</t>
        </is>
      </c>
      <c r="G200" t="n">
        <v>2.2</v>
      </c>
      <c r="H200" t="n">
        <v>0</v>
      </c>
      <c r="I200" t="n">
        <v>0</v>
      </c>
      <c r="J200" t="n">
        <v>2</v>
      </c>
      <c r="K200" t="n">
        <v>0</v>
      </c>
      <c r="L200" t="n">
        <v>0</v>
      </c>
      <c r="M200" t="n">
        <v>0</v>
      </c>
      <c r="N200" t="n">
        <v>0</v>
      </c>
      <c r="O200" t="n">
        <v>2</v>
      </c>
      <c r="P200" t="n">
        <v>0</v>
      </c>
      <c r="Q200" t="n">
        <v>2</v>
      </c>
      <c r="R200" s="2" t="inlineStr">
        <is>
          <t>Gammelgransskål
Tallticka</t>
        </is>
      </c>
      <c r="S200">
        <f>HYPERLINK("https://klasma.github.io/Logging_2183/artfynd/A 28704-2020 artfynd.xlsx", "A 28704-2020")</f>
        <v/>
      </c>
      <c r="T200">
        <f>HYPERLINK("https://klasma.github.io/Logging_2183/kartor/A 28704-2020 karta.png", "A 28704-2020")</f>
        <v/>
      </c>
      <c r="V200">
        <f>HYPERLINK("https://klasma.github.io/Logging_2183/klagomål/A 28704-2020 FSC-klagomål.docx", "A 28704-2020")</f>
        <v/>
      </c>
      <c r="W200">
        <f>HYPERLINK("https://klasma.github.io/Logging_2183/klagomålsmail/A 28704-2020 FSC-klagomål mail.docx", "A 28704-2020")</f>
        <v/>
      </c>
      <c r="X200">
        <f>HYPERLINK("https://klasma.github.io/Logging_2183/tillsyn/A 28704-2020 tillsynsbegäran.docx", "A 28704-2020")</f>
        <v/>
      </c>
      <c r="Y200">
        <f>HYPERLINK("https://klasma.github.io/Logging_2183/tillsynsmail/A 28704-2020 tillsynsbegäran mail.docx", "A 28704-2020")</f>
        <v/>
      </c>
    </row>
    <row r="201" ht="15" customHeight="1">
      <c r="A201" t="inlineStr">
        <is>
          <t>A 30147-2020</t>
        </is>
      </c>
      <c r="B201" s="1" t="n">
        <v>44007</v>
      </c>
      <c r="C201" s="1" t="n">
        <v>45357</v>
      </c>
      <c r="D201" t="inlineStr">
        <is>
          <t>GÄVLEBORGS LÄN</t>
        </is>
      </c>
      <c r="E201" t="inlineStr">
        <is>
          <t>SANDVIKEN</t>
        </is>
      </c>
      <c r="G201" t="n">
        <v>3.7</v>
      </c>
      <c r="H201" t="n">
        <v>1</v>
      </c>
      <c r="I201" t="n">
        <v>1</v>
      </c>
      <c r="J201" t="n">
        <v>0</v>
      </c>
      <c r="K201" t="n">
        <v>0</v>
      </c>
      <c r="L201" t="n">
        <v>0</v>
      </c>
      <c r="M201" t="n">
        <v>0</v>
      </c>
      <c r="N201" t="n">
        <v>0</v>
      </c>
      <c r="O201" t="n">
        <v>0</v>
      </c>
      <c r="P201" t="n">
        <v>0</v>
      </c>
      <c r="Q201" t="n">
        <v>2</v>
      </c>
      <c r="R201" s="2" t="inlineStr">
        <is>
          <t>Strutbräken
Revlummer</t>
        </is>
      </c>
      <c r="S201">
        <f>HYPERLINK("https://klasma.github.io/Logging_2181/artfynd/A 30147-2020 artfynd.xlsx", "A 30147-2020")</f>
        <v/>
      </c>
      <c r="T201">
        <f>HYPERLINK("https://klasma.github.io/Logging_2181/kartor/A 30147-2020 karta.png", "A 30147-2020")</f>
        <v/>
      </c>
      <c r="V201">
        <f>HYPERLINK("https://klasma.github.io/Logging_2181/klagomål/A 30147-2020 FSC-klagomål.docx", "A 30147-2020")</f>
        <v/>
      </c>
      <c r="W201">
        <f>HYPERLINK("https://klasma.github.io/Logging_2181/klagomålsmail/A 30147-2020 FSC-klagomål mail.docx", "A 30147-2020")</f>
        <v/>
      </c>
      <c r="X201">
        <f>HYPERLINK("https://klasma.github.io/Logging_2181/tillsyn/A 30147-2020 tillsynsbegäran.docx", "A 30147-2020")</f>
        <v/>
      </c>
      <c r="Y201">
        <f>HYPERLINK("https://klasma.github.io/Logging_2181/tillsynsmail/A 30147-2020 tillsynsbegäran mail.docx", "A 30147-2020")</f>
        <v/>
      </c>
    </row>
    <row r="202" ht="15" customHeight="1">
      <c r="A202" t="inlineStr">
        <is>
          <t>A 30620-2020</t>
        </is>
      </c>
      <c r="B202" s="1" t="n">
        <v>44008</v>
      </c>
      <c r="C202" s="1" t="n">
        <v>45357</v>
      </c>
      <c r="D202" t="inlineStr">
        <is>
          <t>GÄVLEBORGS LÄN</t>
        </is>
      </c>
      <c r="E202" t="inlineStr">
        <is>
          <t>NORDANSTIG</t>
        </is>
      </c>
      <c r="G202" t="n">
        <v>19.5</v>
      </c>
      <c r="H202" t="n">
        <v>2</v>
      </c>
      <c r="I202" t="n">
        <v>0</v>
      </c>
      <c r="J202" t="n">
        <v>2</v>
      </c>
      <c r="K202" t="n">
        <v>0</v>
      </c>
      <c r="L202" t="n">
        <v>0</v>
      </c>
      <c r="M202" t="n">
        <v>0</v>
      </c>
      <c r="N202" t="n">
        <v>0</v>
      </c>
      <c r="O202" t="n">
        <v>2</v>
      </c>
      <c r="P202" t="n">
        <v>0</v>
      </c>
      <c r="Q202" t="n">
        <v>2</v>
      </c>
      <c r="R202" s="2" t="inlineStr">
        <is>
          <t>Duvhök
Havsörn</t>
        </is>
      </c>
      <c r="S202">
        <f>HYPERLINK("https://klasma.github.io/Logging_2132/artfynd/A 30620-2020 artfynd.xlsx", "A 30620-2020")</f>
        <v/>
      </c>
      <c r="T202">
        <f>HYPERLINK("https://klasma.github.io/Logging_2132/kartor/A 30620-2020 karta.png", "A 30620-2020")</f>
        <v/>
      </c>
      <c r="V202">
        <f>HYPERLINK("https://klasma.github.io/Logging_2132/klagomål/A 30620-2020 FSC-klagomål.docx", "A 30620-2020")</f>
        <v/>
      </c>
      <c r="W202">
        <f>HYPERLINK("https://klasma.github.io/Logging_2132/klagomålsmail/A 30620-2020 FSC-klagomål mail.docx", "A 30620-2020")</f>
        <v/>
      </c>
      <c r="X202">
        <f>HYPERLINK("https://klasma.github.io/Logging_2132/tillsyn/A 30620-2020 tillsynsbegäran.docx", "A 30620-2020")</f>
        <v/>
      </c>
      <c r="Y202">
        <f>HYPERLINK("https://klasma.github.io/Logging_2132/tillsynsmail/A 30620-2020 tillsynsbegäran mail.docx", "A 30620-2020")</f>
        <v/>
      </c>
      <c r="Z202">
        <f>HYPERLINK("https://klasma.github.io/Logging_2132/fåglar/A 30620-2020 prioriterade fågelarter.docx", "A 30620-2020")</f>
        <v/>
      </c>
    </row>
    <row r="203" ht="15" customHeight="1">
      <c r="A203" t="inlineStr">
        <is>
          <t>A 33136-2020</t>
        </is>
      </c>
      <c r="B203" s="1" t="n">
        <v>44021</v>
      </c>
      <c r="C203" s="1" t="n">
        <v>45357</v>
      </c>
      <c r="D203" t="inlineStr">
        <is>
          <t>GÄVLEBORGS LÄN</t>
        </is>
      </c>
      <c r="E203" t="inlineStr">
        <is>
          <t>NORDANSTIG</t>
        </is>
      </c>
      <c r="F203" t="inlineStr">
        <is>
          <t>Holmen skog AB</t>
        </is>
      </c>
      <c r="G203" t="n">
        <v>6</v>
      </c>
      <c r="H203" t="n">
        <v>0</v>
      </c>
      <c r="I203" t="n">
        <v>0</v>
      </c>
      <c r="J203" t="n">
        <v>2</v>
      </c>
      <c r="K203" t="n">
        <v>0</v>
      </c>
      <c r="L203" t="n">
        <v>0</v>
      </c>
      <c r="M203" t="n">
        <v>0</v>
      </c>
      <c r="N203" t="n">
        <v>0</v>
      </c>
      <c r="O203" t="n">
        <v>2</v>
      </c>
      <c r="P203" t="n">
        <v>0</v>
      </c>
      <c r="Q203" t="n">
        <v>2</v>
      </c>
      <c r="R203" s="2" t="inlineStr">
        <is>
          <t>Motaggsvamp
Reliktbock</t>
        </is>
      </c>
      <c r="S203">
        <f>HYPERLINK("https://klasma.github.io/Logging_2132/artfynd/A 33136-2020 artfynd.xlsx", "A 33136-2020")</f>
        <v/>
      </c>
      <c r="T203">
        <f>HYPERLINK("https://klasma.github.io/Logging_2132/kartor/A 33136-2020 karta.png", "A 33136-2020")</f>
        <v/>
      </c>
      <c r="V203">
        <f>HYPERLINK("https://klasma.github.io/Logging_2132/klagomål/A 33136-2020 FSC-klagomål.docx", "A 33136-2020")</f>
        <v/>
      </c>
      <c r="W203">
        <f>HYPERLINK("https://klasma.github.io/Logging_2132/klagomålsmail/A 33136-2020 FSC-klagomål mail.docx", "A 33136-2020")</f>
        <v/>
      </c>
      <c r="X203">
        <f>HYPERLINK("https://klasma.github.io/Logging_2132/tillsyn/A 33136-2020 tillsynsbegäran.docx", "A 33136-2020")</f>
        <v/>
      </c>
      <c r="Y203">
        <f>HYPERLINK("https://klasma.github.io/Logging_2132/tillsynsmail/A 33136-2020 tillsynsbegäran mail.docx", "A 33136-2020")</f>
        <v/>
      </c>
    </row>
    <row r="204" ht="15" customHeight="1">
      <c r="A204" t="inlineStr">
        <is>
          <t>A 35427-2020</t>
        </is>
      </c>
      <c r="B204" s="1" t="n">
        <v>44042</v>
      </c>
      <c r="C204" s="1" t="n">
        <v>45357</v>
      </c>
      <c r="D204" t="inlineStr">
        <is>
          <t>GÄVLEBORGS LÄN</t>
        </is>
      </c>
      <c r="E204" t="inlineStr">
        <is>
          <t>HUDIKSVALL</t>
        </is>
      </c>
      <c r="F204" t="inlineStr">
        <is>
          <t>Holmen skog AB</t>
        </is>
      </c>
      <c r="G204" t="n">
        <v>1.4</v>
      </c>
      <c r="H204" t="n">
        <v>1</v>
      </c>
      <c r="I204" t="n">
        <v>0</v>
      </c>
      <c r="J204" t="n">
        <v>1</v>
      </c>
      <c r="K204" t="n">
        <v>0</v>
      </c>
      <c r="L204" t="n">
        <v>0</v>
      </c>
      <c r="M204" t="n">
        <v>0</v>
      </c>
      <c r="N204" t="n">
        <v>0</v>
      </c>
      <c r="O204" t="n">
        <v>1</v>
      </c>
      <c r="P204" t="n">
        <v>0</v>
      </c>
      <c r="Q204" t="n">
        <v>2</v>
      </c>
      <c r="R204" s="2" t="inlineStr">
        <is>
          <t>Garnlav
Revlummer</t>
        </is>
      </c>
      <c r="S204">
        <f>HYPERLINK("https://klasma.github.io/Logging_2184/artfynd/A 35427-2020 artfynd.xlsx", "A 35427-2020")</f>
        <v/>
      </c>
      <c r="T204">
        <f>HYPERLINK("https://klasma.github.io/Logging_2184/kartor/A 35427-2020 karta.png", "A 35427-2020")</f>
        <v/>
      </c>
      <c r="V204">
        <f>HYPERLINK("https://klasma.github.io/Logging_2184/klagomål/A 35427-2020 FSC-klagomål.docx", "A 35427-2020")</f>
        <v/>
      </c>
      <c r="W204">
        <f>HYPERLINK("https://klasma.github.io/Logging_2184/klagomålsmail/A 35427-2020 FSC-klagomål mail.docx", "A 35427-2020")</f>
        <v/>
      </c>
      <c r="X204">
        <f>HYPERLINK("https://klasma.github.io/Logging_2184/tillsyn/A 35427-2020 tillsynsbegäran.docx", "A 35427-2020")</f>
        <v/>
      </c>
      <c r="Y204">
        <f>HYPERLINK("https://klasma.github.io/Logging_2184/tillsynsmail/A 35427-2020 tillsynsbegäran mail.docx", "A 35427-2020")</f>
        <v/>
      </c>
    </row>
    <row r="205" ht="15" customHeight="1">
      <c r="A205" t="inlineStr">
        <is>
          <t>A 43503-2020</t>
        </is>
      </c>
      <c r="B205" s="1" t="n">
        <v>44077</v>
      </c>
      <c r="C205" s="1" t="n">
        <v>45357</v>
      </c>
      <c r="D205" t="inlineStr">
        <is>
          <t>GÄVLEBORGS LÄN</t>
        </is>
      </c>
      <c r="E205" t="inlineStr">
        <is>
          <t>HUDIKSVALL</t>
        </is>
      </c>
      <c r="G205" t="n">
        <v>3.3</v>
      </c>
      <c r="H205" t="n">
        <v>1</v>
      </c>
      <c r="I205" t="n">
        <v>0</v>
      </c>
      <c r="J205" t="n">
        <v>1</v>
      </c>
      <c r="K205" t="n">
        <v>1</v>
      </c>
      <c r="L205" t="n">
        <v>0</v>
      </c>
      <c r="M205" t="n">
        <v>0</v>
      </c>
      <c r="N205" t="n">
        <v>0</v>
      </c>
      <c r="O205" t="n">
        <v>2</v>
      </c>
      <c r="P205" t="n">
        <v>1</v>
      </c>
      <c r="Q205" t="n">
        <v>2</v>
      </c>
      <c r="R205" s="2" t="inlineStr">
        <is>
          <t>Knärot
Garnlav</t>
        </is>
      </c>
      <c r="S205">
        <f>HYPERLINK("https://klasma.github.io/Logging_2184/artfynd/A 43503-2020 artfynd.xlsx", "A 43503-2020")</f>
        <v/>
      </c>
      <c r="T205">
        <f>HYPERLINK("https://klasma.github.io/Logging_2184/kartor/A 43503-2020 karta.png", "A 43503-2020")</f>
        <v/>
      </c>
      <c r="U205">
        <f>HYPERLINK("https://klasma.github.io/Logging_2184/knärot/A 43503-2020 karta knärot.png", "A 43503-2020")</f>
        <v/>
      </c>
      <c r="V205">
        <f>HYPERLINK("https://klasma.github.io/Logging_2184/klagomål/A 43503-2020 FSC-klagomål.docx", "A 43503-2020")</f>
        <v/>
      </c>
      <c r="W205">
        <f>HYPERLINK("https://klasma.github.io/Logging_2184/klagomålsmail/A 43503-2020 FSC-klagomål mail.docx", "A 43503-2020")</f>
        <v/>
      </c>
      <c r="X205">
        <f>HYPERLINK("https://klasma.github.io/Logging_2184/tillsyn/A 43503-2020 tillsynsbegäran.docx", "A 43503-2020")</f>
        <v/>
      </c>
      <c r="Y205">
        <f>HYPERLINK("https://klasma.github.io/Logging_2184/tillsynsmail/A 43503-2020 tillsynsbegäran mail.docx", "A 43503-2020")</f>
        <v/>
      </c>
    </row>
    <row r="206" ht="15" customHeight="1">
      <c r="A206" t="inlineStr">
        <is>
          <t>A 13261-2021</t>
        </is>
      </c>
      <c r="B206" s="1" t="n">
        <v>44272</v>
      </c>
      <c r="C206" s="1" t="n">
        <v>45357</v>
      </c>
      <c r="D206" t="inlineStr">
        <is>
          <t>GÄVLEBORGS LÄN</t>
        </is>
      </c>
      <c r="E206" t="inlineStr">
        <is>
          <t>GÄVLE</t>
        </is>
      </c>
      <c r="G206" t="n">
        <v>4.7</v>
      </c>
      <c r="H206" t="n">
        <v>1</v>
      </c>
      <c r="I206" t="n">
        <v>0</v>
      </c>
      <c r="J206" t="n">
        <v>1</v>
      </c>
      <c r="K206" t="n">
        <v>0</v>
      </c>
      <c r="L206" t="n">
        <v>0</v>
      </c>
      <c r="M206" t="n">
        <v>0</v>
      </c>
      <c r="N206" t="n">
        <v>0</v>
      </c>
      <c r="O206" t="n">
        <v>1</v>
      </c>
      <c r="P206" t="n">
        <v>0</v>
      </c>
      <c r="Q206" t="n">
        <v>2</v>
      </c>
      <c r="R206" s="2" t="inlineStr">
        <is>
          <t>Motaggsvamp
Blåsippa</t>
        </is>
      </c>
      <c r="S206">
        <f>HYPERLINK("https://klasma.github.io/Logging_2180/artfynd/A 13261-2021 artfynd.xlsx", "A 13261-2021")</f>
        <v/>
      </c>
      <c r="T206">
        <f>HYPERLINK("https://klasma.github.io/Logging_2180/kartor/A 13261-2021 karta.png", "A 13261-2021")</f>
        <v/>
      </c>
      <c r="V206">
        <f>HYPERLINK("https://klasma.github.io/Logging_2180/klagomål/A 13261-2021 FSC-klagomål.docx", "A 13261-2021")</f>
        <v/>
      </c>
      <c r="W206">
        <f>HYPERLINK("https://klasma.github.io/Logging_2180/klagomålsmail/A 13261-2021 FSC-klagomål mail.docx", "A 13261-2021")</f>
        <v/>
      </c>
      <c r="X206">
        <f>HYPERLINK("https://klasma.github.io/Logging_2180/tillsyn/A 13261-2021 tillsynsbegäran.docx", "A 13261-2021")</f>
        <v/>
      </c>
      <c r="Y206">
        <f>HYPERLINK("https://klasma.github.io/Logging_2180/tillsynsmail/A 13261-2021 tillsynsbegäran mail.docx", "A 13261-2021")</f>
        <v/>
      </c>
    </row>
    <row r="207" ht="15" customHeight="1">
      <c r="A207" t="inlineStr">
        <is>
          <t>A 20198-2021</t>
        </is>
      </c>
      <c r="B207" s="1" t="n">
        <v>44314</v>
      </c>
      <c r="C207" s="1" t="n">
        <v>45357</v>
      </c>
      <c r="D207" t="inlineStr">
        <is>
          <t>GÄVLEBORGS LÄN</t>
        </is>
      </c>
      <c r="E207" t="inlineStr">
        <is>
          <t>GÄVLE</t>
        </is>
      </c>
      <c r="F207" t="inlineStr">
        <is>
          <t>Bergvik skog öst AB</t>
        </is>
      </c>
      <c r="G207" t="n">
        <v>4.5</v>
      </c>
      <c r="H207" t="n">
        <v>1</v>
      </c>
      <c r="I207" t="n">
        <v>2</v>
      </c>
      <c r="J207" t="n">
        <v>0</v>
      </c>
      <c r="K207" t="n">
        <v>0</v>
      </c>
      <c r="L207" t="n">
        <v>0</v>
      </c>
      <c r="M207" t="n">
        <v>0</v>
      </c>
      <c r="N207" t="n">
        <v>0</v>
      </c>
      <c r="O207" t="n">
        <v>0</v>
      </c>
      <c r="P207" t="n">
        <v>0</v>
      </c>
      <c r="Q207" t="n">
        <v>2</v>
      </c>
      <c r="R207" s="2" t="inlineStr">
        <is>
          <t>Anisspindling
Skogsknipprot</t>
        </is>
      </c>
      <c r="S207">
        <f>HYPERLINK("https://klasma.github.io/Logging_2180/artfynd/A 20198-2021 artfynd.xlsx", "A 20198-2021")</f>
        <v/>
      </c>
      <c r="T207">
        <f>HYPERLINK("https://klasma.github.io/Logging_2180/kartor/A 20198-2021 karta.png", "A 20198-2021")</f>
        <v/>
      </c>
      <c r="V207">
        <f>HYPERLINK("https://klasma.github.io/Logging_2180/klagomål/A 20198-2021 FSC-klagomål.docx", "A 20198-2021")</f>
        <v/>
      </c>
      <c r="W207">
        <f>HYPERLINK("https://klasma.github.io/Logging_2180/klagomålsmail/A 20198-2021 FSC-klagomål mail.docx", "A 20198-2021")</f>
        <v/>
      </c>
      <c r="X207">
        <f>HYPERLINK("https://klasma.github.io/Logging_2180/tillsyn/A 20198-2021 tillsynsbegäran.docx", "A 20198-2021")</f>
        <v/>
      </c>
      <c r="Y207">
        <f>HYPERLINK("https://klasma.github.io/Logging_2180/tillsynsmail/A 20198-2021 tillsynsbegäran mail.docx", "A 20198-2021")</f>
        <v/>
      </c>
    </row>
    <row r="208" ht="15" customHeight="1">
      <c r="A208" t="inlineStr">
        <is>
          <t>A 21765-2021</t>
        </is>
      </c>
      <c r="B208" s="1" t="n">
        <v>44322</v>
      </c>
      <c r="C208" s="1" t="n">
        <v>45357</v>
      </c>
      <c r="D208" t="inlineStr">
        <is>
          <t>GÄVLEBORGS LÄN</t>
        </is>
      </c>
      <c r="E208" t="inlineStr">
        <is>
          <t>LJUSDAL</t>
        </is>
      </c>
      <c r="F208" t="inlineStr">
        <is>
          <t>Sveaskog</t>
        </is>
      </c>
      <c r="G208" t="n">
        <v>1</v>
      </c>
      <c r="H208" t="n">
        <v>2</v>
      </c>
      <c r="I208" t="n">
        <v>0</v>
      </c>
      <c r="J208" t="n">
        <v>2</v>
      </c>
      <c r="K208" t="n">
        <v>0</v>
      </c>
      <c r="L208" t="n">
        <v>0</v>
      </c>
      <c r="M208" t="n">
        <v>0</v>
      </c>
      <c r="N208" t="n">
        <v>0</v>
      </c>
      <c r="O208" t="n">
        <v>2</v>
      </c>
      <c r="P208" t="n">
        <v>0</v>
      </c>
      <c r="Q208" t="n">
        <v>2</v>
      </c>
      <c r="R208" s="2" t="inlineStr">
        <is>
          <t>Stenfalk
Ärtsångare</t>
        </is>
      </c>
      <c r="S208">
        <f>HYPERLINK("https://klasma.github.io/Logging_2161/artfynd/A 21765-2021 artfynd.xlsx", "A 21765-2021")</f>
        <v/>
      </c>
      <c r="T208">
        <f>HYPERLINK("https://klasma.github.io/Logging_2161/kartor/A 21765-2021 karta.png", "A 21765-2021")</f>
        <v/>
      </c>
      <c r="V208">
        <f>HYPERLINK("https://klasma.github.io/Logging_2161/klagomål/A 21765-2021 FSC-klagomål.docx", "A 21765-2021")</f>
        <v/>
      </c>
      <c r="W208">
        <f>HYPERLINK("https://klasma.github.io/Logging_2161/klagomålsmail/A 21765-2021 FSC-klagomål mail.docx", "A 21765-2021")</f>
        <v/>
      </c>
      <c r="X208">
        <f>HYPERLINK("https://klasma.github.io/Logging_2161/tillsyn/A 21765-2021 tillsynsbegäran.docx", "A 21765-2021")</f>
        <v/>
      </c>
      <c r="Y208">
        <f>HYPERLINK("https://klasma.github.io/Logging_2161/tillsynsmail/A 21765-2021 tillsynsbegäran mail.docx", "A 21765-2021")</f>
        <v/>
      </c>
      <c r="Z208">
        <f>HYPERLINK("https://klasma.github.io/Logging_2161/fåglar/A 21765-2021 prioriterade fågelarter.docx", "A 21765-2021")</f>
        <v/>
      </c>
    </row>
    <row r="209" ht="15" customHeight="1">
      <c r="A209" t="inlineStr">
        <is>
          <t>A 22073-2021</t>
        </is>
      </c>
      <c r="B209" s="1" t="n">
        <v>44323</v>
      </c>
      <c r="C209" s="1" t="n">
        <v>45357</v>
      </c>
      <c r="D209" t="inlineStr">
        <is>
          <t>GÄVLEBORGS LÄN</t>
        </is>
      </c>
      <c r="E209" t="inlineStr">
        <is>
          <t>GÄVLE</t>
        </is>
      </c>
      <c r="F209" t="inlineStr">
        <is>
          <t>Bergvik skog öst AB</t>
        </is>
      </c>
      <c r="G209" t="n">
        <v>0.5</v>
      </c>
      <c r="H209" t="n">
        <v>2</v>
      </c>
      <c r="I209" t="n">
        <v>0</v>
      </c>
      <c r="J209" t="n">
        <v>2</v>
      </c>
      <c r="K209" t="n">
        <v>0</v>
      </c>
      <c r="L209" t="n">
        <v>0</v>
      </c>
      <c r="M209" t="n">
        <v>0</v>
      </c>
      <c r="N209" t="n">
        <v>0</v>
      </c>
      <c r="O209" t="n">
        <v>2</v>
      </c>
      <c r="P209" t="n">
        <v>0</v>
      </c>
      <c r="Q209" t="n">
        <v>2</v>
      </c>
      <c r="R209" s="2" t="inlineStr">
        <is>
          <t>Blå kärrhök
Havsörn</t>
        </is>
      </c>
      <c r="S209">
        <f>HYPERLINK("https://klasma.github.io/Logging_2180/artfynd/A 22073-2021 artfynd.xlsx", "A 22073-2021")</f>
        <v/>
      </c>
      <c r="T209">
        <f>HYPERLINK("https://klasma.github.io/Logging_2180/kartor/A 22073-2021 karta.png", "A 22073-2021")</f>
        <v/>
      </c>
      <c r="V209">
        <f>HYPERLINK("https://klasma.github.io/Logging_2180/klagomål/A 22073-2021 FSC-klagomål.docx", "A 22073-2021")</f>
        <v/>
      </c>
      <c r="W209">
        <f>HYPERLINK("https://klasma.github.io/Logging_2180/klagomålsmail/A 22073-2021 FSC-klagomål mail.docx", "A 22073-2021")</f>
        <v/>
      </c>
      <c r="X209">
        <f>HYPERLINK("https://klasma.github.io/Logging_2180/tillsyn/A 22073-2021 tillsynsbegäran.docx", "A 22073-2021")</f>
        <v/>
      </c>
      <c r="Y209">
        <f>HYPERLINK("https://klasma.github.io/Logging_2180/tillsynsmail/A 22073-2021 tillsynsbegäran mail.docx", "A 22073-2021")</f>
        <v/>
      </c>
      <c r="Z209">
        <f>HYPERLINK("https://klasma.github.io/Logging_2180/fåglar/A 22073-2021 prioriterade fågelarter.docx", "A 22073-2021")</f>
        <v/>
      </c>
    </row>
    <row r="210" ht="15" customHeight="1">
      <c r="A210" t="inlineStr">
        <is>
          <t>A 28727-2021</t>
        </is>
      </c>
      <c r="B210" s="1" t="n">
        <v>44357</v>
      </c>
      <c r="C210" s="1" t="n">
        <v>45357</v>
      </c>
      <c r="D210" t="inlineStr">
        <is>
          <t>GÄVLEBORGS LÄN</t>
        </is>
      </c>
      <c r="E210" t="inlineStr">
        <is>
          <t>LJUSDAL</t>
        </is>
      </c>
      <c r="F210" t="inlineStr">
        <is>
          <t>Sveaskog</t>
        </is>
      </c>
      <c r="G210" t="n">
        <v>45.9</v>
      </c>
      <c r="H210" t="n">
        <v>2</v>
      </c>
      <c r="I210" t="n">
        <v>1</v>
      </c>
      <c r="J210" t="n">
        <v>0</v>
      </c>
      <c r="K210" t="n">
        <v>0</v>
      </c>
      <c r="L210" t="n">
        <v>0</v>
      </c>
      <c r="M210" t="n">
        <v>0</v>
      </c>
      <c r="N210" t="n">
        <v>0</v>
      </c>
      <c r="O210" t="n">
        <v>0</v>
      </c>
      <c r="P210" t="n">
        <v>0</v>
      </c>
      <c r="Q210" t="n">
        <v>2</v>
      </c>
      <c r="R210" s="2" t="inlineStr">
        <is>
          <t>Plattlummer
Nattviol</t>
        </is>
      </c>
      <c r="S210">
        <f>HYPERLINK("https://klasma.github.io/Logging_2161/artfynd/A 28727-2021 artfynd.xlsx", "A 28727-2021")</f>
        <v/>
      </c>
      <c r="T210">
        <f>HYPERLINK("https://klasma.github.io/Logging_2161/kartor/A 28727-2021 karta.png", "A 28727-2021")</f>
        <v/>
      </c>
      <c r="V210">
        <f>HYPERLINK("https://klasma.github.io/Logging_2161/klagomål/A 28727-2021 FSC-klagomål.docx", "A 28727-2021")</f>
        <v/>
      </c>
      <c r="W210">
        <f>HYPERLINK("https://klasma.github.io/Logging_2161/klagomålsmail/A 28727-2021 FSC-klagomål mail.docx", "A 28727-2021")</f>
        <v/>
      </c>
      <c r="X210">
        <f>HYPERLINK("https://klasma.github.io/Logging_2161/tillsyn/A 28727-2021 tillsynsbegäran.docx", "A 28727-2021")</f>
        <v/>
      </c>
      <c r="Y210">
        <f>HYPERLINK("https://klasma.github.io/Logging_2161/tillsynsmail/A 28727-2021 tillsynsbegäran mail.docx", "A 28727-2021")</f>
        <v/>
      </c>
    </row>
    <row r="211" ht="15" customHeight="1">
      <c r="A211" t="inlineStr">
        <is>
          <t>A 39528-2021</t>
        </is>
      </c>
      <c r="B211" s="1" t="n">
        <v>44415</v>
      </c>
      <c r="C211" s="1" t="n">
        <v>45357</v>
      </c>
      <c r="D211" t="inlineStr">
        <is>
          <t>GÄVLEBORGS LÄN</t>
        </is>
      </c>
      <c r="E211" t="inlineStr">
        <is>
          <t>HUDIKSVALL</t>
        </is>
      </c>
      <c r="G211" t="n">
        <v>5.2</v>
      </c>
      <c r="H211" t="n">
        <v>1</v>
      </c>
      <c r="I211" t="n">
        <v>1</v>
      </c>
      <c r="J211" t="n">
        <v>0</v>
      </c>
      <c r="K211" t="n">
        <v>1</v>
      </c>
      <c r="L211" t="n">
        <v>0</v>
      </c>
      <c r="M211" t="n">
        <v>0</v>
      </c>
      <c r="N211" t="n">
        <v>0</v>
      </c>
      <c r="O211" t="n">
        <v>1</v>
      </c>
      <c r="P211" t="n">
        <v>1</v>
      </c>
      <c r="Q211" t="n">
        <v>2</v>
      </c>
      <c r="R211" s="2" t="inlineStr">
        <is>
          <t>Knärot
Stuplav</t>
        </is>
      </c>
      <c r="S211">
        <f>HYPERLINK("https://klasma.github.io/Logging_2184/artfynd/A 39528-2021 artfynd.xlsx", "A 39528-2021")</f>
        <v/>
      </c>
      <c r="T211">
        <f>HYPERLINK("https://klasma.github.io/Logging_2184/kartor/A 39528-2021 karta.png", "A 39528-2021")</f>
        <v/>
      </c>
      <c r="U211">
        <f>HYPERLINK("https://klasma.github.io/Logging_2184/knärot/A 39528-2021 karta knärot.png", "A 39528-2021")</f>
        <v/>
      </c>
      <c r="V211">
        <f>HYPERLINK("https://klasma.github.io/Logging_2184/klagomål/A 39528-2021 FSC-klagomål.docx", "A 39528-2021")</f>
        <v/>
      </c>
      <c r="W211">
        <f>HYPERLINK("https://klasma.github.io/Logging_2184/klagomålsmail/A 39528-2021 FSC-klagomål mail.docx", "A 39528-2021")</f>
        <v/>
      </c>
      <c r="X211">
        <f>HYPERLINK("https://klasma.github.io/Logging_2184/tillsyn/A 39528-2021 tillsynsbegäran.docx", "A 39528-2021")</f>
        <v/>
      </c>
      <c r="Y211">
        <f>HYPERLINK("https://klasma.github.io/Logging_2184/tillsynsmail/A 39528-2021 tillsynsbegäran mail.docx", "A 39528-2021")</f>
        <v/>
      </c>
    </row>
    <row r="212" ht="15" customHeight="1">
      <c r="A212" t="inlineStr">
        <is>
          <t>A 43259-2021</t>
        </is>
      </c>
      <c r="B212" s="1" t="n">
        <v>44432</v>
      </c>
      <c r="C212" s="1" t="n">
        <v>45357</v>
      </c>
      <c r="D212" t="inlineStr">
        <is>
          <t>GÄVLEBORGS LÄN</t>
        </is>
      </c>
      <c r="E212" t="inlineStr">
        <is>
          <t>BOLLNÄS</t>
        </is>
      </c>
      <c r="G212" t="n">
        <v>3.8</v>
      </c>
      <c r="H212" t="n">
        <v>1</v>
      </c>
      <c r="I212" t="n">
        <v>1</v>
      </c>
      <c r="J212" t="n">
        <v>0</v>
      </c>
      <c r="K212" t="n">
        <v>1</v>
      </c>
      <c r="L212" t="n">
        <v>0</v>
      </c>
      <c r="M212" t="n">
        <v>0</v>
      </c>
      <c r="N212" t="n">
        <v>0</v>
      </c>
      <c r="O212" t="n">
        <v>1</v>
      </c>
      <c r="P212" t="n">
        <v>1</v>
      </c>
      <c r="Q212" t="n">
        <v>2</v>
      </c>
      <c r="R212" s="2" t="inlineStr">
        <is>
          <t>Knärot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44692-2021</t>
        </is>
      </c>
      <c r="B213" s="1" t="n">
        <v>44438</v>
      </c>
      <c r="C213" s="1" t="n">
        <v>45357</v>
      </c>
      <c r="D213" t="inlineStr">
        <is>
          <t>GÄVLEBORGS LÄN</t>
        </is>
      </c>
      <c r="E213" t="inlineStr">
        <is>
          <t>LJUSDAL</t>
        </is>
      </c>
      <c r="F213" t="inlineStr">
        <is>
          <t>Sveaskog</t>
        </is>
      </c>
      <c r="G213" t="n">
        <v>2.5</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44692-2021 artfynd.xlsx", "A 44692-2021")</f>
        <v/>
      </c>
      <c r="T213">
        <f>HYPERLINK("https://klasma.github.io/Logging_2161/kartor/A 44692-2021 karta.png", "A 44692-2021")</f>
        <v/>
      </c>
      <c r="V213">
        <f>HYPERLINK("https://klasma.github.io/Logging_2161/klagomål/A 44692-2021 FSC-klagomål.docx", "A 44692-2021")</f>
        <v/>
      </c>
      <c r="W213">
        <f>HYPERLINK("https://klasma.github.io/Logging_2161/klagomålsmail/A 44692-2021 FSC-klagomål mail.docx", "A 44692-2021")</f>
        <v/>
      </c>
      <c r="X213">
        <f>HYPERLINK("https://klasma.github.io/Logging_2161/tillsyn/A 44692-2021 tillsynsbegäran.docx", "A 44692-2021")</f>
        <v/>
      </c>
      <c r="Y213">
        <f>HYPERLINK("https://klasma.github.io/Logging_2161/tillsynsmail/A 44692-2021 tillsynsbegäran mail.docx", "A 44692-2021")</f>
        <v/>
      </c>
    </row>
    <row r="214" ht="15" customHeight="1">
      <c r="A214" t="inlineStr">
        <is>
          <t>A 47483-2021</t>
        </is>
      </c>
      <c r="B214" s="1" t="n">
        <v>44447</v>
      </c>
      <c r="C214" s="1" t="n">
        <v>45357</v>
      </c>
      <c r="D214" t="inlineStr">
        <is>
          <t>GÄVLEBORGS LÄN</t>
        </is>
      </c>
      <c r="E214" t="inlineStr">
        <is>
          <t>HOFORS</t>
        </is>
      </c>
      <c r="G214" t="n">
        <v>6.9</v>
      </c>
      <c r="H214" t="n">
        <v>1</v>
      </c>
      <c r="I214" t="n">
        <v>1</v>
      </c>
      <c r="J214" t="n">
        <v>0</v>
      </c>
      <c r="K214" t="n">
        <v>1</v>
      </c>
      <c r="L214" t="n">
        <v>0</v>
      </c>
      <c r="M214" t="n">
        <v>0</v>
      </c>
      <c r="N214" t="n">
        <v>0</v>
      </c>
      <c r="O214" t="n">
        <v>1</v>
      </c>
      <c r="P214" t="n">
        <v>1</v>
      </c>
      <c r="Q214" t="n">
        <v>2</v>
      </c>
      <c r="R214" s="2" t="inlineStr">
        <is>
          <t>Knärot
Mindre märgborre</t>
        </is>
      </c>
      <c r="S214">
        <f>HYPERLINK("https://klasma.github.io/Logging_2104/artfynd/A 47483-2021 artfynd.xlsx", "A 47483-2021")</f>
        <v/>
      </c>
      <c r="T214">
        <f>HYPERLINK("https://klasma.github.io/Logging_2104/kartor/A 47483-2021 karta.png", "A 47483-2021")</f>
        <v/>
      </c>
      <c r="U214">
        <f>HYPERLINK("https://klasma.github.io/Logging_2104/knärot/A 47483-2021 karta knärot.png", "A 47483-2021")</f>
        <v/>
      </c>
      <c r="V214">
        <f>HYPERLINK("https://klasma.github.io/Logging_2104/klagomål/A 47483-2021 FSC-klagomål.docx", "A 47483-2021")</f>
        <v/>
      </c>
      <c r="W214">
        <f>HYPERLINK("https://klasma.github.io/Logging_2104/klagomålsmail/A 47483-2021 FSC-klagomål mail.docx", "A 47483-2021")</f>
        <v/>
      </c>
      <c r="X214">
        <f>HYPERLINK("https://klasma.github.io/Logging_2104/tillsyn/A 47483-2021 tillsynsbegäran.docx", "A 47483-2021")</f>
        <v/>
      </c>
      <c r="Y214">
        <f>HYPERLINK("https://klasma.github.io/Logging_2104/tillsynsmail/A 47483-2021 tillsynsbegäran mail.docx", "A 47483-2021")</f>
        <v/>
      </c>
    </row>
    <row r="215" ht="15" customHeight="1">
      <c r="A215" t="inlineStr">
        <is>
          <t>A 13026-2022</t>
        </is>
      </c>
      <c r="B215" s="1" t="n">
        <v>44643</v>
      </c>
      <c r="C215" s="1" t="n">
        <v>45357</v>
      </c>
      <c r="D215" t="inlineStr">
        <is>
          <t>GÄVLEBORGS LÄN</t>
        </is>
      </c>
      <c r="E215" t="inlineStr">
        <is>
          <t>NORDANSTIG</t>
        </is>
      </c>
      <c r="G215" t="n">
        <v>17.3</v>
      </c>
      <c r="H215" t="n">
        <v>1</v>
      </c>
      <c r="I215" t="n">
        <v>0</v>
      </c>
      <c r="J215" t="n">
        <v>2</v>
      </c>
      <c r="K215" t="n">
        <v>0</v>
      </c>
      <c r="L215" t="n">
        <v>0</v>
      </c>
      <c r="M215" t="n">
        <v>0</v>
      </c>
      <c r="N215" t="n">
        <v>0</v>
      </c>
      <c r="O215" t="n">
        <v>2</v>
      </c>
      <c r="P215" t="n">
        <v>0</v>
      </c>
      <c r="Q215" t="n">
        <v>2</v>
      </c>
      <c r="R215" s="2" t="inlineStr">
        <is>
          <t>Garnlav
Talltita</t>
        </is>
      </c>
      <c r="S215">
        <f>HYPERLINK("https://klasma.github.io/Logging_2132/artfynd/A 13026-2022 artfynd.xlsx", "A 13026-2022")</f>
        <v/>
      </c>
      <c r="T215">
        <f>HYPERLINK("https://klasma.github.io/Logging_2132/kartor/A 13026-2022 karta.png", "A 13026-2022")</f>
        <v/>
      </c>
      <c r="V215">
        <f>HYPERLINK("https://klasma.github.io/Logging_2132/klagomål/A 13026-2022 FSC-klagomål.docx", "A 13026-2022")</f>
        <v/>
      </c>
      <c r="W215">
        <f>HYPERLINK("https://klasma.github.io/Logging_2132/klagomålsmail/A 13026-2022 FSC-klagomål mail.docx", "A 13026-2022")</f>
        <v/>
      </c>
      <c r="X215">
        <f>HYPERLINK("https://klasma.github.io/Logging_2132/tillsyn/A 13026-2022 tillsynsbegäran.docx", "A 13026-2022")</f>
        <v/>
      </c>
      <c r="Y215">
        <f>HYPERLINK("https://klasma.github.io/Logging_2132/tillsynsmail/A 13026-2022 tillsynsbegäran mail.docx", "A 13026-2022")</f>
        <v/>
      </c>
      <c r="Z215">
        <f>HYPERLINK("https://klasma.github.io/Logging_2132/fåglar/A 13026-2022 prioriterade fågelarter.docx", "A 13026-2022")</f>
        <v/>
      </c>
    </row>
    <row r="216" ht="15" customHeight="1">
      <c r="A216" t="inlineStr">
        <is>
          <t>A 21488-2022</t>
        </is>
      </c>
      <c r="B216" s="1" t="n">
        <v>44706</v>
      </c>
      <c r="C216" s="1" t="n">
        <v>45357</v>
      </c>
      <c r="D216" t="inlineStr">
        <is>
          <t>GÄVLEBORGS LÄN</t>
        </is>
      </c>
      <c r="E216" t="inlineStr">
        <is>
          <t>SÖDERHAMN</t>
        </is>
      </c>
      <c r="F216" t="inlineStr">
        <is>
          <t>Bergvik skog väst AB</t>
        </is>
      </c>
      <c r="G216" t="n">
        <v>6</v>
      </c>
      <c r="H216" t="n">
        <v>2</v>
      </c>
      <c r="I216" t="n">
        <v>0</v>
      </c>
      <c r="J216" t="n">
        <v>1</v>
      </c>
      <c r="K216" t="n">
        <v>0</v>
      </c>
      <c r="L216" t="n">
        <v>0</v>
      </c>
      <c r="M216" t="n">
        <v>0</v>
      </c>
      <c r="N216" t="n">
        <v>0</v>
      </c>
      <c r="O216" t="n">
        <v>1</v>
      </c>
      <c r="P216" t="n">
        <v>0</v>
      </c>
      <c r="Q216" t="n">
        <v>2</v>
      </c>
      <c r="R216" s="2" t="inlineStr">
        <is>
          <t>Talltita
Fläcknycklar</t>
        </is>
      </c>
      <c r="S216">
        <f>HYPERLINK("https://klasma.github.io/Logging_2182/artfynd/A 21488-2022 artfynd.xlsx", "A 21488-2022")</f>
        <v/>
      </c>
      <c r="T216">
        <f>HYPERLINK("https://klasma.github.io/Logging_2182/kartor/A 21488-2022 karta.png", "A 21488-2022")</f>
        <v/>
      </c>
      <c r="V216">
        <f>HYPERLINK("https://klasma.github.io/Logging_2182/klagomål/A 21488-2022 FSC-klagomål.docx", "A 21488-2022")</f>
        <v/>
      </c>
      <c r="W216">
        <f>HYPERLINK("https://klasma.github.io/Logging_2182/klagomålsmail/A 21488-2022 FSC-klagomål mail.docx", "A 21488-2022")</f>
        <v/>
      </c>
      <c r="X216">
        <f>HYPERLINK("https://klasma.github.io/Logging_2182/tillsyn/A 21488-2022 tillsynsbegäran.docx", "A 21488-2022")</f>
        <v/>
      </c>
      <c r="Y216">
        <f>HYPERLINK("https://klasma.github.io/Logging_2182/tillsynsmail/A 21488-2022 tillsynsbegäran mail.docx", "A 21488-2022")</f>
        <v/>
      </c>
      <c r="Z216">
        <f>HYPERLINK("https://klasma.github.io/Logging_2182/fåglar/A 21488-2022 prioriterade fågelarter.docx", "A 21488-2022")</f>
        <v/>
      </c>
    </row>
    <row r="217" ht="15" customHeight="1">
      <c r="A217" t="inlineStr">
        <is>
          <t>A 23866-2022</t>
        </is>
      </c>
      <c r="B217" s="1" t="n">
        <v>44722</v>
      </c>
      <c r="C217" s="1" t="n">
        <v>45357</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45357</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45357</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45357</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45357</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45357</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45357</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45357</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45357</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45357</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45357</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45357</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45357</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45357</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45357</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45357</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45357</v>
      </c>
      <c r="D233" t="inlineStr">
        <is>
          <t>GÄVLEBORGS LÄN</t>
        </is>
      </c>
      <c r="E233" t="inlineStr">
        <is>
          <t>GÄVLE</t>
        </is>
      </c>
      <c r="F233" t="inlineStr">
        <is>
          <t>Bergvik skog öst AB</t>
        </is>
      </c>
      <c r="G233" t="n">
        <v>41.8</v>
      </c>
      <c r="H233" t="n">
        <v>0</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45357</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45357</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45357</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45357</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45357</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45357</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45357</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45357</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45357</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45357</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45357</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45357</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45357</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45357</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45357</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45357</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45357</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45357</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45357</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45357</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45357</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45357</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45357</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45357</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45357</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45357</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45357</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45357</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45357</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45357</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45357</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45357</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45357</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45357</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45357</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45357</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45357</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45357</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45357</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45357</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45357</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45357</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45357</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45357</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45357</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45357</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45357</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45357</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45357</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45357</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45357</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45357</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45357</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45357</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45357</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45357</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45357</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45357</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45357</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45357</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45357</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45357</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45357</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45357</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45357</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45357</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45357</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45357</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45357</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45357</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45357</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45357</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45357</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45357</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45357</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45357</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45357</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45357</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45357</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45357</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45357</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45357</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45357</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45357</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45357</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45357</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45357</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45357</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45357</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45357</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45357</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45357</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45357</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45357</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45357</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45357</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45357</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45357</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45357</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45357</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45357</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45357</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row>
    <row r="336" ht="15" customHeight="1">
      <c r="A336" t="inlineStr">
        <is>
          <t>A 34192-2021</t>
        </is>
      </c>
      <c r="B336" s="1" t="n">
        <v>44379</v>
      </c>
      <c r="C336" s="1" t="n">
        <v>45357</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45357</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45357</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45357</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45357</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45357</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45357</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45357</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45357</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45357</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45357</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45357</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45357</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45357</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45357</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45357</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45357</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45357</v>
      </c>
      <c r="D353" t="inlineStr">
        <is>
          <t>GÄVLEBORGS LÄN</t>
        </is>
      </c>
      <c r="E353" t="inlineStr">
        <is>
          <t>BOLLNÄS</t>
        </is>
      </c>
      <c r="F353" t="inlineStr">
        <is>
          <t>Bergvik skog väst AB</t>
        </is>
      </c>
      <c r="G353" t="n">
        <v>14.4</v>
      </c>
      <c r="H353" t="n">
        <v>0</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45357</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45357</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45357</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45357</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45357</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45357</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45357</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45357</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45357</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45357</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45357</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45357</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45357</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45357</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45357</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45357</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45357</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45357</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45357</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45357</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45357</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45357</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45357</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45357</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45357</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45357</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45357</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45357</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45357</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45357</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45357</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45357</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45357</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45357</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45357</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45357</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45357</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45357</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45357</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45357</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45357</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45357</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45357</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58333-2022</t>
        </is>
      </c>
      <c r="B397" s="1" t="n">
        <v>44901</v>
      </c>
      <c r="C397" s="1" t="n">
        <v>45357</v>
      </c>
      <c r="D397" t="inlineStr">
        <is>
          <t>GÄVLEBORGS LÄN</t>
        </is>
      </c>
      <c r="E397" t="inlineStr">
        <is>
          <t>BOLLNÄS</t>
        </is>
      </c>
      <c r="G397" t="n">
        <v>1.8</v>
      </c>
      <c r="H397" t="n">
        <v>0</v>
      </c>
      <c r="I397" t="n">
        <v>0</v>
      </c>
      <c r="J397" t="n">
        <v>1</v>
      </c>
      <c r="K397" t="n">
        <v>0</v>
      </c>
      <c r="L397" t="n">
        <v>0</v>
      </c>
      <c r="M397" t="n">
        <v>0</v>
      </c>
      <c r="N397" t="n">
        <v>0</v>
      </c>
      <c r="O397" t="n">
        <v>1</v>
      </c>
      <c r="P397" t="n">
        <v>0</v>
      </c>
      <c r="Q397" t="n">
        <v>1</v>
      </c>
      <c r="R397" s="2" t="inlineStr">
        <is>
          <t>Granticka</t>
        </is>
      </c>
      <c r="S397">
        <f>HYPERLINK("https://klasma.github.io/Logging_2183/artfynd/A 58333-2022 artfynd.xlsx", "A 58333-2022")</f>
        <v/>
      </c>
      <c r="T397">
        <f>HYPERLINK("https://klasma.github.io/Logging_2183/kartor/A 58333-2022 karta.png", "A 58333-2022")</f>
        <v/>
      </c>
      <c r="V397">
        <f>HYPERLINK("https://klasma.github.io/Logging_2183/klagomål/A 58333-2022 FSC-klagomål.docx", "A 58333-2022")</f>
        <v/>
      </c>
      <c r="W397">
        <f>HYPERLINK("https://klasma.github.io/Logging_2183/klagomålsmail/A 58333-2022 FSC-klagomål mail.docx", "A 58333-2022")</f>
        <v/>
      </c>
      <c r="X397">
        <f>HYPERLINK("https://klasma.github.io/Logging_2183/tillsyn/A 58333-2022 tillsynsbegäran.docx", "A 58333-2022")</f>
        <v/>
      </c>
      <c r="Y397">
        <f>HYPERLINK("https://klasma.github.io/Logging_2183/tillsynsmail/A 58333-2022 tillsynsbegäran mail.docx", "A 58333-2022")</f>
        <v/>
      </c>
    </row>
    <row r="398" ht="15" customHeight="1">
      <c r="A398" t="inlineStr">
        <is>
          <t>A 58774-2022</t>
        </is>
      </c>
      <c r="B398" s="1" t="n">
        <v>44903</v>
      </c>
      <c r="C398" s="1" t="n">
        <v>45357</v>
      </c>
      <c r="D398" t="inlineStr">
        <is>
          <t>GÄVLEBORGS LÄN</t>
        </is>
      </c>
      <c r="E398" t="inlineStr">
        <is>
          <t>SANDVIKEN</t>
        </is>
      </c>
      <c r="F398" t="inlineStr">
        <is>
          <t>Bergvik skog öst AB</t>
        </is>
      </c>
      <c r="G398" t="n">
        <v>7.2</v>
      </c>
      <c r="H398" t="n">
        <v>0</v>
      </c>
      <c r="I398" t="n">
        <v>0</v>
      </c>
      <c r="J398" t="n">
        <v>1</v>
      </c>
      <c r="K398" t="n">
        <v>0</v>
      </c>
      <c r="L398" t="n">
        <v>0</v>
      </c>
      <c r="M398" t="n">
        <v>0</v>
      </c>
      <c r="N398" t="n">
        <v>0</v>
      </c>
      <c r="O398" t="n">
        <v>1</v>
      </c>
      <c r="P398" t="n">
        <v>0</v>
      </c>
      <c r="Q398" t="n">
        <v>1</v>
      </c>
      <c r="R398" s="2" t="inlineStr">
        <is>
          <t>Slåtterfibbla</t>
        </is>
      </c>
      <c r="S398">
        <f>HYPERLINK("https://klasma.github.io/Logging_2181/artfynd/A 58774-2022 artfynd.xlsx", "A 58774-2022")</f>
        <v/>
      </c>
      <c r="T398">
        <f>HYPERLINK("https://klasma.github.io/Logging_2181/kartor/A 58774-2022 karta.png", "A 58774-2022")</f>
        <v/>
      </c>
      <c r="V398">
        <f>HYPERLINK("https://klasma.github.io/Logging_2181/klagomål/A 58774-2022 FSC-klagomål.docx", "A 58774-2022")</f>
        <v/>
      </c>
      <c r="W398">
        <f>HYPERLINK("https://klasma.github.io/Logging_2181/klagomålsmail/A 58774-2022 FSC-klagomål mail.docx", "A 58774-2022")</f>
        <v/>
      </c>
      <c r="X398">
        <f>HYPERLINK("https://klasma.github.io/Logging_2181/tillsyn/A 58774-2022 tillsynsbegäran.docx", "A 58774-2022")</f>
        <v/>
      </c>
      <c r="Y398">
        <f>HYPERLINK("https://klasma.github.io/Logging_2181/tillsynsmail/A 58774-2022 tillsynsbegäran mail.docx", "A 58774-2022")</f>
        <v/>
      </c>
    </row>
    <row r="399" ht="15" customHeight="1">
      <c r="A399" t="inlineStr">
        <is>
          <t>A 3755-2023</t>
        </is>
      </c>
      <c r="B399" s="1" t="n">
        <v>44951</v>
      </c>
      <c r="C399" s="1" t="n">
        <v>45357</v>
      </c>
      <c r="D399" t="inlineStr">
        <is>
          <t>GÄVLEBORGS LÄN</t>
        </is>
      </c>
      <c r="E399" t="inlineStr">
        <is>
          <t>NORDANSTIG</t>
        </is>
      </c>
      <c r="G399" t="n">
        <v>8.199999999999999</v>
      </c>
      <c r="H399" t="n">
        <v>0</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5015-2023</t>
        </is>
      </c>
      <c r="B400" s="1" t="n">
        <v>44958</v>
      </c>
      <c r="C400" s="1" t="n">
        <v>45357</v>
      </c>
      <c r="D400" t="inlineStr">
        <is>
          <t>GÄVLEBORGS LÄN</t>
        </is>
      </c>
      <c r="E400" t="inlineStr">
        <is>
          <t>SANDVIKEN</t>
        </is>
      </c>
      <c r="G400" t="n">
        <v>7.8</v>
      </c>
      <c r="H400" t="n">
        <v>0</v>
      </c>
      <c r="I400" t="n">
        <v>0</v>
      </c>
      <c r="J400" t="n">
        <v>1</v>
      </c>
      <c r="K400" t="n">
        <v>0</v>
      </c>
      <c r="L400" t="n">
        <v>0</v>
      </c>
      <c r="M400" t="n">
        <v>0</v>
      </c>
      <c r="N400" t="n">
        <v>0</v>
      </c>
      <c r="O400" t="n">
        <v>1</v>
      </c>
      <c r="P400" t="n">
        <v>0</v>
      </c>
      <c r="Q400" t="n">
        <v>1</v>
      </c>
      <c r="R400" s="2" t="inlineStr">
        <is>
          <t>Slåtterfibbla</t>
        </is>
      </c>
      <c r="S400">
        <f>HYPERLINK("https://klasma.github.io/Logging_2181/artfynd/A 5015-2023 artfynd.xlsx", "A 5015-2023")</f>
        <v/>
      </c>
      <c r="T400">
        <f>HYPERLINK("https://klasma.github.io/Logging_2181/kartor/A 5015-2023 karta.png", "A 5015-2023")</f>
        <v/>
      </c>
      <c r="V400">
        <f>HYPERLINK("https://klasma.github.io/Logging_2181/klagomål/A 5015-2023 FSC-klagomål.docx", "A 5015-2023")</f>
        <v/>
      </c>
      <c r="W400">
        <f>HYPERLINK("https://klasma.github.io/Logging_2181/klagomålsmail/A 5015-2023 FSC-klagomål mail.docx", "A 5015-2023")</f>
        <v/>
      </c>
      <c r="X400">
        <f>HYPERLINK("https://klasma.github.io/Logging_2181/tillsyn/A 5015-2023 tillsynsbegäran.docx", "A 5015-2023")</f>
        <v/>
      </c>
      <c r="Y400">
        <f>HYPERLINK("https://klasma.github.io/Logging_2181/tillsynsmail/A 5015-2023 tillsynsbegäran mail.docx", "A 5015-2023")</f>
        <v/>
      </c>
    </row>
    <row r="401" ht="15" customHeight="1">
      <c r="A401" t="inlineStr">
        <is>
          <t>A 6378-2023</t>
        </is>
      </c>
      <c r="B401" s="1" t="n">
        <v>44965</v>
      </c>
      <c r="C401" s="1" t="n">
        <v>45357</v>
      </c>
      <c r="D401" t="inlineStr">
        <is>
          <t>GÄVLEBORGS LÄN</t>
        </is>
      </c>
      <c r="E401" t="inlineStr">
        <is>
          <t>SANDVIKEN</t>
        </is>
      </c>
      <c r="G401" t="n">
        <v>4</v>
      </c>
      <c r="H401" t="n">
        <v>1</v>
      </c>
      <c r="I401" t="n">
        <v>0</v>
      </c>
      <c r="J401" t="n">
        <v>1</v>
      </c>
      <c r="K401" t="n">
        <v>0</v>
      </c>
      <c r="L401" t="n">
        <v>0</v>
      </c>
      <c r="M401" t="n">
        <v>0</v>
      </c>
      <c r="N401" t="n">
        <v>0</v>
      </c>
      <c r="O401" t="n">
        <v>1</v>
      </c>
      <c r="P401" t="n">
        <v>0</v>
      </c>
      <c r="Q401" t="n">
        <v>1</v>
      </c>
      <c r="R401" s="2" t="inlineStr">
        <is>
          <t>Rödvingetrast</t>
        </is>
      </c>
      <c r="S401">
        <f>HYPERLINK("https://klasma.github.io/Logging_2181/artfynd/A 6378-2023 artfynd.xlsx", "A 6378-2023")</f>
        <v/>
      </c>
      <c r="T401">
        <f>HYPERLINK("https://klasma.github.io/Logging_2181/kartor/A 6378-2023 karta.png", "A 6378-2023")</f>
        <v/>
      </c>
      <c r="V401">
        <f>HYPERLINK("https://klasma.github.io/Logging_2181/klagomål/A 6378-2023 FSC-klagomål.docx", "A 6378-2023")</f>
        <v/>
      </c>
      <c r="W401">
        <f>HYPERLINK("https://klasma.github.io/Logging_2181/klagomålsmail/A 6378-2023 FSC-klagomål mail.docx", "A 6378-2023")</f>
        <v/>
      </c>
      <c r="X401">
        <f>HYPERLINK("https://klasma.github.io/Logging_2181/tillsyn/A 6378-2023 tillsynsbegäran.docx", "A 6378-2023")</f>
        <v/>
      </c>
      <c r="Y401">
        <f>HYPERLINK("https://klasma.github.io/Logging_2181/tillsynsmail/A 6378-2023 tillsynsbegäran mail.docx", "A 6378-2023")</f>
        <v/>
      </c>
    </row>
    <row r="402" ht="15" customHeight="1">
      <c r="A402" t="inlineStr">
        <is>
          <t>A 8078-2023</t>
        </is>
      </c>
      <c r="B402" s="1" t="n">
        <v>44974</v>
      </c>
      <c r="C402" s="1" t="n">
        <v>45357</v>
      </c>
      <c r="D402" t="inlineStr">
        <is>
          <t>GÄVLEBORGS LÄN</t>
        </is>
      </c>
      <c r="E402" t="inlineStr">
        <is>
          <t>LJUSDAL</t>
        </is>
      </c>
      <c r="G402" t="n">
        <v>19.1</v>
      </c>
      <c r="H402" t="n">
        <v>0</v>
      </c>
      <c r="I402" t="n">
        <v>0</v>
      </c>
      <c r="J402" t="n">
        <v>0</v>
      </c>
      <c r="K402" t="n">
        <v>1</v>
      </c>
      <c r="L402" t="n">
        <v>0</v>
      </c>
      <c r="M402" t="n">
        <v>0</v>
      </c>
      <c r="N402" t="n">
        <v>0</v>
      </c>
      <c r="O402" t="n">
        <v>1</v>
      </c>
      <c r="P402" t="n">
        <v>1</v>
      </c>
      <c r="Q402" t="n">
        <v>1</v>
      </c>
      <c r="R402" s="2" t="inlineStr">
        <is>
          <t>Gräddporing</t>
        </is>
      </c>
      <c r="S402">
        <f>HYPERLINK("https://klasma.github.io/Logging_2161/artfynd/A 8078-2023 artfynd.xlsx", "A 8078-2023")</f>
        <v/>
      </c>
      <c r="T402">
        <f>HYPERLINK("https://klasma.github.io/Logging_2161/kartor/A 8078-2023 karta.png", "A 8078-2023")</f>
        <v/>
      </c>
      <c r="V402">
        <f>HYPERLINK("https://klasma.github.io/Logging_2161/klagomål/A 8078-2023 FSC-klagomål.docx", "A 8078-2023")</f>
        <v/>
      </c>
      <c r="W402">
        <f>HYPERLINK("https://klasma.github.io/Logging_2161/klagomålsmail/A 8078-2023 FSC-klagomål mail.docx", "A 8078-2023")</f>
        <v/>
      </c>
      <c r="X402">
        <f>HYPERLINK("https://klasma.github.io/Logging_2161/tillsyn/A 8078-2023 tillsynsbegäran.docx", "A 8078-2023")</f>
        <v/>
      </c>
      <c r="Y402">
        <f>HYPERLINK("https://klasma.github.io/Logging_2161/tillsynsmail/A 8078-2023 tillsynsbegäran mail.docx", "A 8078-2023")</f>
        <v/>
      </c>
    </row>
    <row r="403" ht="15" customHeight="1">
      <c r="A403" t="inlineStr">
        <is>
          <t>A 8622-2023</t>
        </is>
      </c>
      <c r="B403" s="1" t="n">
        <v>44977</v>
      </c>
      <c r="C403" s="1" t="n">
        <v>45357</v>
      </c>
      <c r="D403" t="inlineStr">
        <is>
          <t>GÄVLEBORGS LÄN</t>
        </is>
      </c>
      <c r="E403" t="inlineStr">
        <is>
          <t>GÄVLE</t>
        </is>
      </c>
      <c r="G403" t="n">
        <v>9.199999999999999</v>
      </c>
      <c r="H403" t="n">
        <v>1</v>
      </c>
      <c r="I403" t="n">
        <v>0</v>
      </c>
      <c r="J403" t="n">
        <v>0</v>
      </c>
      <c r="K403" t="n">
        <v>1</v>
      </c>
      <c r="L403" t="n">
        <v>0</v>
      </c>
      <c r="M403" t="n">
        <v>0</v>
      </c>
      <c r="N403" t="n">
        <v>0</v>
      </c>
      <c r="O403" t="n">
        <v>1</v>
      </c>
      <c r="P403" t="n">
        <v>1</v>
      </c>
      <c r="Q403" t="n">
        <v>1</v>
      </c>
      <c r="R403" s="2" t="inlineStr">
        <is>
          <t>Knärot</t>
        </is>
      </c>
      <c r="S403">
        <f>HYPERLINK("https://klasma.github.io/Logging_2180/artfynd/A 8622-2023 artfynd.xlsx", "A 8622-2023")</f>
        <v/>
      </c>
      <c r="T403">
        <f>HYPERLINK("https://klasma.github.io/Logging_2180/kartor/A 8622-2023 karta.png", "A 8622-2023")</f>
        <v/>
      </c>
      <c r="U403">
        <f>HYPERLINK("https://klasma.github.io/Logging_2180/knärot/A 8622-2023 karta knärot.png", "A 8622-2023")</f>
        <v/>
      </c>
      <c r="V403">
        <f>HYPERLINK("https://klasma.github.io/Logging_2180/klagomål/A 8622-2023 FSC-klagomål.docx", "A 8622-2023")</f>
        <v/>
      </c>
      <c r="W403">
        <f>HYPERLINK("https://klasma.github.io/Logging_2180/klagomålsmail/A 8622-2023 FSC-klagomål mail.docx", "A 8622-2023")</f>
        <v/>
      </c>
      <c r="X403">
        <f>HYPERLINK("https://klasma.github.io/Logging_2180/tillsyn/A 8622-2023 tillsynsbegäran.docx", "A 8622-2023")</f>
        <v/>
      </c>
      <c r="Y403">
        <f>HYPERLINK("https://klasma.github.io/Logging_2180/tillsynsmail/A 8622-2023 tillsynsbegäran mail.docx", "A 8622-2023")</f>
        <v/>
      </c>
    </row>
    <row r="404" ht="15" customHeight="1">
      <c r="A404" t="inlineStr">
        <is>
          <t>A 8636-2023</t>
        </is>
      </c>
      <c r="B404" s="1" t="n">
        <v>44977</v>
      </c>
      <c r="C404" s="1" t="n">
        <v>45357</v>
      </c>
      <c r="D404" t="inlineStr">
        <is>
          <t>GÄVLEBORGS LÄN</t>
        </is>
      </c>
      <c r="E404" t="inlineStr">
        <is>
          <t>HUDIKSVALL</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HYPERLINK("https://klasma.github.io/Logging_2184/artfynd/A 8636-2023 artfynd.xlsx", "A 8636-2023")</f>
        <v/>
      </c>
      <c r="T404">
        <f>HYPERLINK("https://klasma.github.io/Logging_2184/kartor/A 8636-2023 karta.png", "A 8636-2023")</f>
        <v/>
      </c>
      <c r="V404">
        <f>HYPERLINK("https://klasma.github.io/Logging_2184/klagomål/A 8636-2023 FSC-klagomål.docx", "A 8636-2023")</f>
        <v/>
      </c>
      <c r="W404">
        <f>HYPERLINK("https://klasma.github.io/Logging_2184/klagomålsmail/A 8636-2023 FSC-klagomål mail.docx", "A 8636-2023")</f>
        <v/>
      </c>
      <c r="X404">
        <f>HYPERLINK("https://klasma.github.io/Logging_2184/tillsyn/A 8636-2023 tillsynsbegäran.docx", "A 8636-2023")</f>
        <v/>
      </c>
      <c r="Y404">
        <f>HYPERLINK("https://klasma.github.io/Logging_2184/tillsynsmail/A 8636-2023 tillsynsbegäran mail.docx", "A 8636-2023")</f>
        <v/>
      </c>
    </row>
    <row r="405" ht="15" customHeight="1">
      <c r="A405" t="inlineStr">
        <is>
          <t>A 9312-2023</t>
        </is>
      </c>
      <c r="B405" s="1" t="n">
        <v>44980</v>
      </c>
      <c r="C405" s="1" t="n">
        <v>45357</v>
      </c>
      <c r="D405" t="inlineStr">
        <is>
          <t>GÄVLEBORGS LÄN</t>
        </is>
      </c>
      <c r="E405" t="inlineStr">
        <is>
          <t>NORDANSTIG</t>
        </is>
      </c>
      <c r="F405" t="inlineStr">
        <is>
          <t>Holmen skog AB</t>
        </is>
      </c>
      <c r="G405" t="n">
        <v>11.7</v>
      </c>
      <c r="H405" t="n">
        <v>0</v>
      </c>
      <c r="I405" t="n">
        <v>0</v>
      </c>
      <c r="J405" t="n">
        <v>1</v>
      </c>
      <c r="K405" t="n">
        <v>0</v>
      </c>
      <c r="L405" t="n">
        <v>0</v>
      </c>
      <c r="M405" t="n">
        <v>0</v>
      </c>
      <c r="N405" t="n">
        <v>0</v>
      </c>
      <c r="O405" t="n">
        <v>1</v>
      </c>
      <c r="P405" t="n">
        <v>0</v>
      </c>
      <c r="Q405" t="n">
        <v>1</v>
      </c>
      <c r="R405" s="2" t="inlineStr">
        <is>
          <t>Vedtrappmossa</t>
        </is>
      </c>
      <c r="S405">
        <f>HYPERLINK("https://klasma.github.io/Logging_2132/artfynd/A 9312-2023 artfynd.xlsx", "A 9312-2023")</f>
        <v/>
      </c>
      <c r="T405">
        <f>HYPERLINK("https://klasma.github.io/Logging_2132/kartor/A 9312-2023 karta.png", "A 9312-2023")</f>
        <v/>
      </c>
      <c r="V405">
        <f>HYPERLINK("https://klasma.github.io/Logging_2132/klagomål/A 9312-2023 FSC-klagomål.docx", "A 9312-2023")</f>
        <v/>
      </c>
      <c r="W405">
        <f>HYPERLINK("https://klasma.github.io/Logging_2132/klagomålsmail/A 9312-2023 FSC-klagomål mail.docx", "A 9312-2023")</f>
        <v/>
      </c>
      <c r="X405">
        <f>HYPERLINK("https://klasma.github.io/Logging_2132/tillsyn/A 9312-2023 tillsynsbegäran.docx", "A 9312-2023")</f>
        <v/>
      </c>
      <c r="Y405">
        <f>HYPERLINK("https://klasma.github.io/Logging_2132/tillsynsmail/A 9312-2023 tillsynsbegäran mail.docx", "A 9312-2023")</f>
        <v/>
      </c>
    </row>
    <row r="406" ht="15" customHeight="1">
      <c r="A406" t="inlineStr">
        <is>
          <t>A 10646-2023</t>
        </is>
      </c>
      <c r="B406" s="1" t="n">
        <v>44988</v>
      </c>
      <c r="C406" s="1" t="n">
        <v>45357</v>
      </c>
      <c r="D406" t="inlineStr">
        <is>
          <t>GÄVLEBORGS LÄN</t>
        </is>
      </c>
      <c r="E406" t="inlineStr">
        <is>
          <t>LJUSDAL</t>
        </is>
      </c>
      <c r="G406" t="n">
        <v>3.5</v>
      </c>
      <c r="H406" t="n">
        <v>0</v>
      </c>
      <c r="I406" t="n">
        <v>0</v>
      </c>
      <c r="J406" t="n">
        <v>1</v>
      </c>
      <c r="K406" t="n">
        <v>0</v>
      </c>
      <c r="L406" t="n">
        <v>0</v>
      </c>
      <c r="M406" t="n">
        <v>0</v>
      </c>
      <c r="N406" t="n">
        <v>0</v>
      </c>
      <c r="O406" t="n">
        <v>1</v>
      </c>
      <c r="P406" t="n">
        <v>0</v>
      </c>
      <c r="Q406" t="n">
        <v>1</v>
      </c>
      <c r="R406" s="2" t="inlineStr">
        <is>
          <t>Garnlav</t>
        </is>
      </c>
      <c r="S406">
        <f>HYPERLINK("https://klasma.github.io/Logging_2161/artfynd/A 10646-2023 artfynd.xlsx", "A 10646-2023")</f>
        <v/>
      </c>
      <c r="T406">
        <f>HYPERLINK("https://klasma.github.io/Logging_2161/kartor/A 10646-2023 karta.png", "A 10646-2023")</f>
        <v/>
      </c>
      <c r="V406">
        <f>HYPERLINK("https://klasma.github.io/Logging_2161/klagomål/A 10646-2023 FSC-klagomål.docx", "A 10646-2023")</f>
        <v/>
      </c>
      <c r="W406">
        <f>HYPERLINK("https://klasma.github.io/Logging_2161/klagomålsmail/A 10646-2023 FSC-klagomål mail.docx", "A 10646-2023")</f>
        <v/>
      </c>
      <c r="X406">
        <f>HYPERLINK("https://klasma.github.io/Logging_2161/tillsyn/A 10646-2023 tillsynsbegäran.docx", "A 10646-2023")</f>
        <v/>
      </c>
      <c r="Y406">
        <f>HYPERLINK("https://klasma.github.io/Logging_2161/tillsynsmail/A 10646-2023 tillsynsbegäran mail.docx", "A 10646-2023")</f>
        <v/>
      </c>
    </row>
    <row r="407" ht="15" customHeight="1">
      <c r="A407" t="inlineStr">
        <is>
          <t>A 13741-2023</t>
        </is>
      </c>
      <c r="B407" s="1" t="n">
        <v>45007</v>
      </c>
      <c r="C407" s="1" t="n">
        <v>45357</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13741-2023 artfynd.xlsx", "A 13741-2023")</f>
        <v/>
      </c>
      <c r="T407">
        <f>HYPERLINK("https://klasma.github.io/Logging_2104/kartor/A 13741-2023 karta.png", "A 13741-2023")</f>
        <v/>
      </c>
      <c r="V407">
        <f>HYPERLINK("https://klasma.github.io/Logging_2104/klagomål/A 13741-2023 FSC-klagomål.docx", "A 13741-2023")</f>
        <v/>
      </c>
      <c r="W407">
        <f>HYPERLINK("https://klasma.github.io/Logging_2104/klagomålsmail/A 13741-2023 FSC-klagomål mail.docx", "A 13741-2023")</f>
        <v/>
      </c>
      <c r="X407">
        <f>HYPERLINK("https://klasma.github.io/Logging_2104/tillsyn/A 13741-2023 tillsynsbegäran.docx", "A 13741-2023")</f>
        <v/>
      </c>
      <c r="Y407">
        <f>HYPERLINK("https://klasma.github.io/Logging_2104/tillsynsmail/A 13741-2023 tillsynsbegäran mail.docx", "A 13741-2023")</f>
        <v/>
      </c>
    </row>
    <row r="408" ht="15" customHeight="1">
      <c r="A408" t="inlineStr">
        <is>
          <t>A 14449-2023</t>
        </is>
      </c>
      <c r="B408" s="1" t="n">
        <v>45012</v>
      </c>
      <c r="C408" s="1" t="n">
        <v>45357</v>
      </c>
      <c r="D408" t="inlineStr">
        <is>
          <t>GÄVLEBORGS LÄN</t>
        </is>
      </c>
      <c r="E408" t="inlineStr">
        <is>
          <t>HUDIKSVALL</t>
        </is>
      </c>
      <c r="G408" t="n">
        <v>1.5</v>
      </c>
      <c r="H408" t="n">
        <v>1</v>
      </c>
      <c r="I408" t="n">
        <v>0</v>
      </c>
      <c r="J408" t="n">
        <v>0</v>
      </c>
      <c r="K408" t="n">
        <v>1</v>
      </c>
      <c r="L408" t="n">
        <v>0</v>
      </c>
      <c r="M408" t="n">
        <v>0</v>
      </c>
      <c r="N408" t="n">
        <v>0</v>
      </c>
      <c r="O408" t="n">
        <v>1</v>
      </c>
      <c r="P408" t="n">
        <v>1</v>
      </c>
      <c r="Q408" t="n">
        <v>1</v>
      </c>
      <c r="R408" s="2" t="inlineStr">
        <is>
          <t>Knärot</t>
        </is>
      </c>
      <c r="S408">
        <f>HYPERLINK("https://klasma.github.io/Logging_2184/artfynd/A 14449-2023 artfynd.xlsx", "A 14449-2023")</f>
        <v/>
      </c>
      <c r="T408">
        <f>HYPERLINK("https://klasma.github.io/Logging_2184/kartor/A 14449-2023 karta.png", "A 14449-2023")</f>
        <v/>
      </c>
      <c r="U408">
        <f>HYPERLINK("https://klasma.github.io/Logging_2184/knärot/A 14449-2023 karta knärot.png", "A 14449-2023")</f>
        <v/>
      </c>
      <c r="V408">
        <f>HYPERLINK("https://klasma.github.io/Logging_2184/klagomål/A 14449-2023 FSC-klagomål.docx", "A 14449-2023")</f>
        <v/>
      </c>
      <c r="W408">
        <f>HYPERLINK("https://klasma.github.io/Logging_2184/klagomålsmail/A 14449-2023 FSC-klagomål mail.docx", "A 14449-2023")</f>
        <v/>
      </c>
      <c r="X408">
        <f>HYPERLINK("https://klasma.github.io/Logging_2184/tillsyn/A 14449-2023 tillsynsbegäran.docx", "A 14449-2023")</f>
        <v/>
      </c>
      <c r="Y408">
        <f>HYPERLINK("https://klasma.github.io/Logging_2184/tillsynsmail/A 14449-2023 tillsynsbegäran mail.docx", "A 14449-2023")</f>
        <v/>
      </c>
    </row>
    <row r="409" ht="15" customHeight="1">
      <c r="A409" t="inlineStr">
        <is>
          <t>A 14358-2023</t>
        </is>
      </c>
      <c r="B409" s="1" t="n">
        <v>45012</v>
      </c>
      <c r="C409" s="1" t="n">
        <v>45357</v>
      </c>
      <c r="D409" t="inlineStr">
        <is>
          <t>GÄVLEBORGS LÄN</t>
        </is>
      </c>
      <c r="E409" t="inlineStr">
        <is>
          <t>HOFORS</t>
        </is>
      </c>
      <c r="F409" t="inlineStr">
        <is>
          <t>Övriga statliga verk och myndigheter</t>
        </is>
      </c>
      <c r="G409" t="n">
        <v>1.2</v>
      </c>
      <c r="H409" t="n">
        <v>0</v>
      </c>
      <c r="I409" t="n">
        <v>1</v>
      </c>
      <c r="J409" t="n">
        <v>0</v>
      </c>
      <c r="K409" t="n">
        <v>0</v>
      </c>
      <c r="L409" t="n">
        <v>0</v>
      </c>
      <c r="M409" t="n">
        <v>0</v>
      </c>
      <c r="N409" t="n">
        <v>0</v>
      </c>
      <c r="O409" t="n">
        <v>0</v>
      </c>
      <c r="P409" t="n">
        <v>0</v>
      </c>
      <c r="Q409" t="n">
        <v>1</v>
      </c>
      <c r="R409" s="2" t="inlineStr">
        <is>
          <t>Bronshjon</t>
        </is>
      </c>
      <c r="S409">
        <f>HYPERLINK("https://klasma.github.io/Logging_2104/artfynd/A 14358-2023 artfynd.xlsx", "A 14358-2023")</f>
        <v/>
      </c>
      <c r="T409">
        <f>HYPERLINK("https://klasma.github.io/Logging_2104/kartor/A 14358-2023 karta.png", "A 14358-2023")</f>
        <v/>
      </c>
      <c r="V409">
        <f>HYPERLINK("https://klasma.github.io/Logging_2104/klagomål/A 14358-2023 FSC-klagomål.docx", "A 14358-2023")</f>
        <v/>
      </c>
      <c r="W409">
        <f>HYPERLINK("https://klasma.github.io/Logging_2104/klagomålsmail/A 14358-2023 FSC-klagomål mail.docx", "A 14358-2023")</f>
        <v/>
      </c>
      <c r="X409">
        <f>HYPERLINK("https://klasma.github.io/Logging_2104/tillsyn/A 14358-2023 tillsynsbegäran.docx", "A 14358-2023")</f>
        <v/>
      </c>
      <c r="Y409">
        <f>HYPERLINK("https://klasma.github.io/Logging_2104/tillsynsmail/A 14358-2023 tillsynsbegäran mail.docx", "A 14358-2023")</f>
        <v/>
      </c>
    </row>
    <row r="410" ht="15" customHeight="1">
      <c r="A410" t="inlineStr">
        <is>
          <t>A 15841-2023</t>
        </is>
      </c>
      <c r="B410" s="1" t="n">
        <v>45022</v>
      </c>
      <c r="C410" s="1" t="n">
        <v>45357</v>
      </c>
      <c r="D410" t="inlineStr">
        <is>
          <t>GÄVLEBORGS LÄN</t>
        </is>
      </c>
      <c r="E410" t="inlineStr">
        <is>
          <t>OCKELBO</t>
        </is>
      </c>
      <c r="F410" t="inlineStr">
        <is>
          <t>Bergvik skog väst AB</t>
        </is>
      </c>
      <c r="G410" t="n">
        <v>2.1</v>
      </c>
      <c r="H410" t="n">
        <v>1</v>
      </c>
      <c r="I410" t="n">
        <v>0</v>
      </c>
      <c r="J410" t="n">
        <v>1</v>
      </c>
      <c r="K410" t="n">
        <v>0</v>
      </c>
      <c r="L410" t="n">
        <v>0</v>
      </c>
      <c r="M410" t="n">
        <v>0</v>
      </c>
      <c r="N410" t="n">
        <v>0</v>
      </c>
      <c r="O410" t="n">
        <v>1</v>
      </c>
      <c r="P410" t="n">
        <v>0</v>
      </c>
      <c r="Q410" t="n">
        <v>1</v>
      </c>
      <c r="R410" s="2" t="inlineStr">
        <is>
          <t>Havsörn</t>
        </is>
      </c>
      <c r="S410">
        <f>HYPERLINK("https://klasma.github.io/Logging_2101/artfynd/A 15841-2023 artfynd.xlsx", "A 15841-2023")</f>
        <v/>
      </c>
      <c r="T410">
        <f>HYPERLINK("https://klasma.github.io/Logging_2101/kartor/A 15841-2023 karta.png", "A 15841-2023")</f>
        <v/>
      </c>
      <c r="V410">
        <f>HYPERLINK("https://klasma.github.io/Logging_2101/klagomål/A 15841-2023 FSC-klagomål.docx", "A 15841-2023")</f>
        <v/>
      </c>
      <c r="W410">
        <f>HYPERLINK("https://klasma.github.io/Logging_2101/klagomålsmail/A 15841-2023 FSC-klagomål mail.docx", "A 15841-2023")</f>
        <v/>
      </c>
      <c r="X410">
        <f>HYPERLINK("https://klasma.github.io/Logging_2101/tillsyn/A 15841-2023 tillsynsbegäran.docx", "A 15841-2023")</f>
        <v/>
      </c>
      <c r="Y410">
        <f>HYPERLINK("https://klasma.github.io/Logging_2101/tillsynsmail/A 15841-2023 tillsynsbegäran mail.docx", "A 15841-2023")</f>
        <v/>
      </c>
      <c r="Z410">
        <f>HYPERLINK("https://klasma.github.io/Logging_2101/fåglar/A 15841-2023 prioriterade fågelarter.docx", "A 15841-2023")</f>
        <v/>
      </c>
    </row>
    <row r="411" ht="15" customHeight="1">
      <c r="A411" t="inlineStr">
        <is>
          <t>A 18683-2023</t>
        </is>
      </c>
      <c r="B411" s="1" t="n">
        <v>45043</v>
      </c>
      <c r="C411" s="1" t="n">
        <v>45357</v>
      </c>
      <c r="D411" t="inlineStr">
        <is>
          <t>GÄVLEBORGS LÄN</t>
        </is>
      </c>
      <c r="E411" t="inlineStr">
        <is>
          <t>HOFORS</t>
        </is>
      </c>
      <c r="G411" t="n">
        <v>32.2</v>
      </c>
      <c r="H411" t="n">
        <v>1</v>
      </c>
      <c r="I411" t="n">
        <v>0</v>
      </c>
      <c r="J411" t="n">
        <v>0</v>
      </c>
      <c r="K411" t="n">
        <v>0</v>
      </c>
      <c r="L411" t="n">
        <v>0</v>
      </c>
      <c r="M411" t="n">
        <v>0</v>
      </c>
      <c r="N411" t="n">
        <v>0</v>
      </c>
      <c r="O411" t="n">
        <v>0</v>
      </c>
      <c r="P411" t="n">
        <v>0</v>
      </c>
      <c r="Q411" t="n">
        <v>1</v>
      </c>
      <c r="R411" s="2" t="inlineStr">
        <is>
          <t>Blåsippa</t>
        </is>
      </c>
      <c r="S411">
        <f>HYPERLINK("https://klasma.github.io/Logging_2104/artfynd/A 18683-2023 artfynd.xlsx", "A 18683-2023")</f>
        <v/>
      </c>
      <c r="T411">
        <f>HYPERLINK("https://klasma.github.io/Logging_2104/kartor/A 18683-2023 karta.png", "A 18683-2023")</f>
        <v/>
      </c>
      <c r="V411">
        <f>HYPERLINK("https://klasma.github.io/Logging_2104/klagomål/A 18683-2023 FSC-klagomål.docx", "A 18683-2023")</f>
        <v/>
      </c>
      <c r="W411">
        <f>HYPERLINK("https://klasma.github.io/Logging_2104/klagomålsmail/A 18683-2023 FSC-klagomål mail.docx", "A 18683-2023")</f>
        <v/>
      </c>
      <c r="X411">
        <f>HYPERLINK("https://klasma.github.io/Logging_2104/tillsyn/A 18683-2023 tillsynsbegäran.docx", "A 18683-2023")</f>
        <v/>
      </c>
      <c r="Y411">
        <f>HYPERLINK("https://klasma.github.io/Logging_2104/tillsynsmail/A 18683-2023 tillsynsbegäran mail.docx", "A 18683-2023")</f>
        <v/>
      </c>
    </row>
    <row r="412" ht="15" customHeight="1">
      <c r="A412" t="inlineStr">
        <is>
          <t>A 20661-2023</t>
        </is>
      </c>
      <c r="B412" s="1" t="n">
        <v>45058</v>
      </c>
      <c r="C412" s="1" t="n">
        <v>45357</v>
      </c>
      <c r="D412" t="inlineStr">
        <is>
          <t>GÄVLEBORGS LÄN</t>
        </is>
      </c>
      <c r="E412" t="inlineStr">
        <is>
          <t>OVANÅKER</t>
        </is>
      </c>
      <c r="F412" t="inlineStr">
        <is>
          <t>Sveaskog</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HYPERLINK("https://klasma.github.io/Logging_2121/artfynd/A 20661-2023 artfynd.xlsx", "A 20661-2023")</f>
        <v/>
      </c>
      <c r="T412">
        <f>HYPERLINK("https://klasma.github.io/Logging_2121/kartor/A 20661-2023 karta.png", "A 20661-2023")</f>
        <v/>
      </c>
      <c r="V412">
        <f>HYPERLINK("https://klasma.github.io/Logging_2121/klagomål/A 20661-2023 FSC-klagomål.docx", "A 20661-2023")</f>
        <v/>
      </c>
      <c r="W412">
        <f>HYPERLINK("https://klasma.github.io/Logging_2121/klagomålsmail/A 20661-2023 FSC-klagomål mail.docx", "A 20661-2023")</f>
        <v/>
      </c>
      <c r="X412">
        <f>HYPERLINK("https://klasma.github.io/Logging_2121/tillsyn/A 20661-2023 tillsynsbegäran.docx", "A 20661-2023")</f>
        <v/>
      </c>
      <c r="Y412">
        <f>HYPERLINK("https://klasma.github.io/Logging_2121/tillsynsmail/A 20661-2023 tillsynsbegäran mail.docx", "A 20661-2023")</f>
        <v/>
      </c>
    </row>
    <row r="413" ht="15" customHeight="1">
      <c r="A413" t="inlineStr">
        <is>
          <t>A 21030-2023</t>
        </is>
      </c>
      <c r="B413" s="1" t="n">
        <v>45061</v>
      </c>
      <c r="C413" s="1" t="n">
        <v>45357</v>
      </c>
      <c r="D413" t="inlineStr">
        <is>
          <t>GÄVLEBORGS LÄN</t>
        </is>
      </c>
      <c r="E413" t="inlineStr">
        <is>
          <t>HOFORS</t>
        </is>
      </c>
      <c r="G413" t="n">
        <v>6.8</v>
      </c>
      <c r="H413" t="n">
        <v>1</v>
      </c>
      <c r="I413" t="n">
        <v>0</v>
      </c>
      <c r="J413" t="n">
        <v>0</v>
      </c>
      <c r="K413" t="n">
        <v>1</v>
      </c>
      <c r="L413" t="n">
        <v>0</v>
      </c>
      <c r="M413" t="n">
        <v>0</v>
      </c>
      <c r="N413" t="n">
        <v>0</v>
      </c>
      <c r="O413" t="n">
        <v>1</v>
      </c>
      <c r="P413" t="n">
        <v>1</v>
      </c>
      <c r="Q413" t="n">
        <v>1</v>
      </c>
      <c r="R413" s="2" t="inlineStr">
        <is>
          <t>Havstrut</t>
        </is>
      </c>
      <c r="S413">
        <f>HYPERLINK("https://klasma.github.io/Logging_2104/artfynd/A 21030-2023 artfynd.xlsx", "A 21030-2023")</f>
        <v/>
      </c>
      <c r="T413">
        <f>HYPERLINK("https://klasma.github.io/Logging_2104/kartor/A 21030-2023 karta.png", "A 21030-2023")</f>
        <v/>
      </c>
      <c r="V413">
        <f>HYPERLINK("https://klasma.github.io/Logging_2104/klagomål/A 21030-2023 FSC-klagomål.docx", "A 21030-2023")</f>
        <v/>
      </c>
      <c r="W413">
        <f>HYPERLINK("https://klasma.github.io/Logging_2104/klagomålsmail/A 21030-2023 FSC-klagomål mail.docx", "A 21030-2023")</f>
        <v/>
      </c>
      <c r="X413">
        <f>HYPERLINK("https://klasma.github.io/Logging_2104/tillsyn/A 21030-2023 tillsynsbegäran.docx", "A 21030-2023")</f>
        <v/>
      </c>
      <c r="Y413">
        <f>HYPERLINK("https://klasma.github.io/Logging_2104/tillsynsmail/A 21030-2023 tillsynsbegäran mail.docx", "A 21030-2023")</f>
        <v/>
      </c>
    </row>
    <row r="414" ht="15" customHeight="1">
      <c r="A414" t="inlineStr">
        <is>
          <t>A 21889-2023</t>
        </is>
      </c>
      <c r="B414" s="1" t="n">
        <v>45068</v>
      </c>
      <c r="C414" s="1" t="n">
        <v>45357</v>
      </c>
      <c r="D414" t="inlineStr">
        <is>
          <t>GÄVLEBORGS LÄN</t>
        </is>
      </c>
      <c r="E414" t="inlineStr">
        <is>
          <t>OCKELBO</t>
        </is>
      </c>
      <c r="F414" t="inlineStr">
        <is>
          <t>Bergvik skog väst AB</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HYPERLINK("https://klasma.github.io/Logging_2101/artfynd/A 21889-2023 artfynd.xlsx", "A 21889-2023")</f>
        <v/>
      </c>
      <c r="T414">
        <f>HYPERLINK("https://klasma.github.io/Logging_2101/kartor/A 21889-2023 karta.png", "A 21889-2023")</f>
        <v/>
      </c>
      <c r="V414">
        <f>HYPERLINK("https://klasma.github.io/Logging_2101/klagomål/A 21889-2023 FSC-klagomål.docx", "A 21889-2023")</f>
        <v/>
      </c>
      <c r="W414">
        <f>HYPERLINK("https://klasma.github.io/Logging_2101/klagomålsmail/A 21889-2023 FSC-klagomål mail.docx", "A 21889-2023")</f>
        <v/>
      </c>
      <c r="X414">
        <f>HYPERLINK("https://klasma.github.io/Logging_2101/tillsyn/A 21889-2023 tillsynsbegäran.docx", "A 21889-2023")</f>
        <v/>
      </c>
      <c r="Y414">
        <f>HYPERLINK("https://klasma.github.io/Logging_2101/tillsynsmail/A 21889-2023 tillsynsbegäran mail.docx", "A 21889-2023")</f>
        <v/>
      </c>
    </row>
    <row r="415" ht="15" customHeight="1">
      <c r="A415" t="inlineStr">
        <is>
          <t>A 21887-2023</t>
        </is>
      </c>
      <c r="B415" s="1" t="n">
        <v>45068</v>
      </c>
      <c r="C415" s="1" t="n">
        <v>45357</v>
      </c>
      <c r="D415" t="inlineStr">
        <is>
          <t>GÄVLEBORGS LÄN</t>
        </is>
      </c>
      <c r="E415" t="inlineStr">
        <is>
          <t>OCKELBO</t>
        </is>
      </c>
      <c r="F415" t="inlineStr">
        <is>
          <t>Bergvik skog väst AB</t>
        </is>
      </c>
      <c r="G415" t="n">
        <v>1.6</v>
      </c>
      <c r="H415" t="n">
        <v>0</v>
      </c>
      <c r="I415" t="n">
        <v>0</v>
      </c>
      <c r="J415" t="n">
        <v>0</v>
      </c>
      <c r="K415" t="n">
        <v>0</v>
      </c>
      <c r="L415" t="n">
        <v>0</v>
      </c>
      <c r="M415" t="n">
        <v>1</v>
      </c>
      <c r="N415" t="n">
        <v>0</v>
      </c>
      <c r="O415" t="n">
        <v>1</v>
      </c>
      <c r="P415" t="n">
        <v>1</v>
      </c>
      <c r="Q415" t="n">
        <v>1</v>
      </c>
      <c r="R415" s="2" t="inlineStr">
        <is>
          <t>Skogsalm</t>
        </is>
      </c>
      <c r="S415">
        <f>HYPERLINK("https://klasma.github.io/Logging_2101/artfynd/A 21887-2023 artfynd.xlsx", "A 21887-2023")</f>
        <v/>
      </c>
      <c r="T415">
        <f>HYPERLINK("https://klasma.github.io/Logging_2101/kartor/A 21887-2023 karta.png", "A 21887-2023")</f>
        <v/>
      </c>
      <c r="V415">
        <f>HYPERLINK("https://klasma.github.io/Logging_2101/klagomål/A 21887-2023 FSC-klagomål.docx", "A 21887-2023")</f>
        <v/>
      </c>
      <c r="W415">
        <f>HYPERLINK("https://klasma.github.io/Logging_2101/klagomålsmail/A 21887-2023 FSC-klagomål mail.docx", "A 21887-2023")</f>
        <v/>
      </c>
      <c r="X415">
        <f>HYPERLINK("https://klasma.github.io/Logging_2101/tillsyn/A 21887-2023 tillsynsbegäran.docx", "A 21887-2023")</f>
        <v/>
      </c>
      <c r="Y415">
        <f>HYPERLINK("https://klasma.github.io/Logging_2101/tillsynsmail/A 21887-2023 tillsynsbegäran mail.docx", "A 21887-2023")</f>
        <v/>
      </c>
    </row>
    <row r="416" ht="15" customHeight="1">
      <c r="A416" t="inlineStr">
        <is>
          <t>A 22973-2023</t>
        </is>
      </c>
      <c r="B416" s="1" t="n">
        <v>45072</v>
      </c>
      <c r="C416" s="1" t="n">
        <v>45357</v>
      </c>
      <c r="D416" t="inlineStr">
        <is>
          <t>GÄVLEBORGS LÄN</t>
        </is>
      </c>
      <c r="E416" t="inlineStr">
        <is>
          <t>LJUSDAL</t>
        </is>
      </c>
      <c r="F416" t="inlineStr">
        <is>
          <t>Sveaskog</t>
        </is>
      </c>
      <c r="G416" t="n">
        <v>20.4</v>
      </c>
      <c r="H416" t="n">
        <v>0</v>
      </c>
      <c r="I416" t="n">
        <v>0</v>
      </c>
      <c r="J416" t="n">
        <v>1</v>
      </c>
      <c r="K416" t="n">
        <v>0</v>
      </c>
      <c r="L416" t="n">
        <v>0</v>
      </c>
      <c r="M416" t="n">
        <v>0</v>
      </c>
      <c r="N416" t="n">
        <v>0</v>
      </c>
      <c r="O416" t="n">
        <v>1</v>
      </c>
      <c r="P416" t="n">
        <v>0</v>
      </c>
      <c r="Q416" t="n">
        <v>1</v>
      </c>
      <c r="R416" s="2" t="inlineStr">
        <is>
          <t>Kolflarnlav</t>
        </is>
      </c>
      <c r="S416">
        <f>HYPERLINK("https://klasma.github.io/Logging_2161/artfynd/A 22973-2023 artfynd.xlsx", "A 22973-2023")</f>
        <v/>
      </c>
      <c r="T416">
        <f>HYPERLINK("https://klasma.github.io/Logging_2161/kartor/A 22973-2023 karta.png", "A 22973-2023")</f>
        <v/>
      </c>
      <c r="V416">
        <f>HYPERLINK("https://klasma.github.io/Logging_2161/klagomål/A 22973-2023 FSC-klagomål.docx", "A 22973-2023")</f>
        <v/>
      </c>
      <c r="W416">
        <f>HYPERLINK("https://klasma.github.io/Logging_2161/klagomålsmail/A 22973-2023 FSC-klagomål mail.docx", "A 22973-2023")</f>
        <v/>
      </c>
      <c r="X416">
        <f>HYPERLINK("https://klasma.github.io/Logging_2161/tillsyn/A 22973-2023 tillsynsbegäran.docx", "A 22973-2023")</f>
        <v/>
      </c>
      <c r="Y416">
        <f>HYPERLINK("https://klasma.github.io/Logging_2161/tillsynsmail/A 22973-2023 tillsynsbegäran mail.docx", "A 22973-2023")</f>
        <v/>
      </c>
    </row>
    <row r="417" ht="15" customHeight="1">
      <c r="A417" t="inlineStr">
        <is>
          <t>A 23161-2023</t>
        </is>
      </c>
      <c r="B417" s="1" t="n">
        <v>45075</v>
      </c>
      <c r="C417" s="1" t="n">
        <v>45357</v>
      </c>
      <c r="D417" t="inlineStr">
        <is>
          <t>GÄVLEBORGS LÄN</t>
        </is>
      </c>
      <c r="E417" t="inlineStr">
        <is>
          <t>SANDVIKEN</t>
        </is>
      </c>
      <c r="F417" t="inlineStr">
        <is>
          <t>Bergvik skog öst AB</t>
        </is>
      </c>
      <c r="G417" t="n">
        <v>6.1</v>
      </c>
      <c r="H417" t="n">
        <v>0</v>
      </c>
      <c r="I417" t="n">
        <v>1</v>
      </c>
      <c r="J417" t="n">
        <v>0</v>
      </c>
      <c r="K417" t="n">
        <v>0</v>
      </c>
      <c r="L417" t="n">
        <v>0</v>
      </c>
      <c r="M417" t="n">
        <v>0</v>
      </c>
      <c r="N417" t="n">
        <v>0</v>
      </c>
      <c r="O417" t="n">
        <v>0</v>
      </c>
      <c r="P417" t="n">
        <v>0</v>
      </c>
      <c r="Q417" t="n">
        <v>1</v>
      </c>
      <c r="R417" s="2" t="inlineStr">
        <is>
          <t>Stubbspretmossa</t>
        </is>
      </c>
      <c r="S417">
        <f>HYPERLINK("https://klasma.github.io/Logging_2181/artfynd/A 23161-2023 artfynd.xlsx", "A 23161-2023")</f>
        <v/>
      </c>
      <c r="T417">
        <f>HYPERLINK("https://klasma.github.io/Logging_2181/kartor/A 23161-2023 karta.png", "A 23161-2023")</f>
        <v/>
      </c>
      <c r="V417">
        <f>HYPERLINK("https://klasma.github.io/Logging_2181/klagomål/A 23161-2023 FSC-klagomål.docx", "A 23161-2023")</f>
        <v/>
      </c>
      <c r="W417">
        <f>HYPERLINK("https://klasma.github.io/Logging_2181/klagomålsmail/A 23161-2023 FSC-klagomål mail.docx", "A 23161-2023")</f>
        <v/>
      </c>
      <c r="X417">
        <f>HYPERLINK("https://klasma.github.io/Logging_2181/tillsyn/A 23161-2023 tillsynsbegäran.docx", "A 23161-2023")</f>
        <v/>
      </c>
      <c r="Y417">
        <f>HYPERLINK("https://klasma.github.io/Logging_2181/tillsynsmail/A 23161-2023 tillsynsbegäran mail.docx", "A 23161-2023")</f>
        <v/>
      </c>
    </row>
    <row r="418" ht="15" customHeight="1">
      <c r="A418" t="inlineStr">
        <is>
          <t>A 25114-2023</t>
        </is>
      </c>
      <c r="B418" s="1" t="n">
        <v>45086</v>
      </c>
      <c r="C418" s="1" t="n">
        <v>45357</v>
      </c>
      <c r="D418" t="inlineStr">
        <is>
          <t>GÄVLEBORGS LÄN</t>
        </is>
      </c>
      <c r="E418" t="inlineStr">
        <is>
          <t>LJUSDAL</t>
        </is>
      </c>
      <c r="G418" t="n">
        <v>0.9</v>
      </c>
      <c r="H418" t="n">
        <v>0</v>
      </c>
      <c r="I418" t="n">
        <v>1</v>
      </c>
      <c r="J418" t="n">
        <v>0</v>
      </c>
      <c r="K418" t="n">
        <v>0</v>
      </c>
      <c r="L418" t="n">
        <v>0</v>
      </c>
      <c r="M418" t="n">
        <v>0</v>
      </c>
      <c r="N418" t="n">
        <v>0</v>
      </c>
      <c r="O418" t="n">
        <v>0</v>
      </c>
      <c r="P418" t="n">
        <v>0</v>
      </c>
      <c r="Q418" t="n">
        <v>1</v>
      </c>
      <c r="R418" s="2" t="inlineStr">
        <is>
          <t>Vedticka</t>
        </is>
      </c>
      <c r="S418">
        <f>HYPERLINK("https://klasma.github.io/Logging_2161/artfynd/A 25114-2023 artfynd.xlsx", "A 25114-2023")</f>
        <v/>
      </c>
      <c r="T418">
        <f>HYPERLINK("https://klasma.github.io/Logging_2161/kartor/A 25114-2023 karta.png", "A 25114-2023")</f>
        <v/>
      </c>
      <c r="U418">
        <f>HYPERLINK("https://klasma.github.io/Logging_2161/knärot/A 25114-2023 karta knärot.png", "A 25114-2023")</f>
        <v/>
      </c>
      <c r="V418">
        <f>HYPERLINK("https://klasma.github.io/Logging_2161/klagomål/A 25114-2023 FSC-klagomål.docx", "A 25114-2023")</f>
        <v/>
      </c>
      <c r="W418">
        <f>HYPERLINK("https://klasma.github.io/Logging_2161/klagomålsmail/A 25114-2023 FSC-klagomål mail.docx", "A 25114-2023")</f>
        <v/>
      </c>
      <c r="X418">
        <f>HYPERLINK("https://klasma.github.io/Logging_2161/tillsyn/A 25114-2023 tillsynsbegäran.docx", "A 25114-2023")</f>
        <v/>
      </c>
      <c r="Y418">
        <f>HYPERLINK("https://klasma.github.io/Logging_2161/tillsynsmail/A 25114-2023 tillsynsbegäran mail.docx", "A 25114-2023")</f>
        <v/>
      </c>
    </row>
    <row r="419" ht="15" customHeight="1">
      <c r="A419" t="inlineStr">
        <is>
          <t>A 26003-2023</t>
        </is>
      </c>
      <c r="B419" s="1" t="n">
        <v>45090</v>
      </c>
      <c r="C419" s="1" t="n">
        <v>45357</v>
      </c>
      <c r="D419" t="inlineStr">
        <is>
          <t>GÄVLEBORGS LÄN</t>
        </is>
      </c>
      <c r="E419" t="inlineStr">
        <is>
          <t>LJUSDAL</t>
        </is>
      </c>
      <c r="F419" t="inlineStr">
        <is>
          <t>SCA</t>
        </is>
      </c>
      <c r="G419" t="n">
        <v>19.8</v>
      </c>
      <c r="H419" t="n">
        <v>0</v>
      </c>
      <c r="I419" t="n">
        <v>0</v>
      </c>
      <c r="J419" t="n">
        <v>1</v>
      </c>
      <c r="K419" t="n">
        <v>0</v>
      </c>
      <c r="L419" t="n">
        <v>0</v>
      </c>
      <c r="M419" t="n">
        <v>0</v>
      </c>
      <c r="N419" t="n">
        <v>0</v>
      </c>
      <c r="O419" t="n">
        <v>1</v>
      </c>
      <c r="P419" t="n">
        <v>0</v>
      </c>
      <c r="Q419" t="n">
        <v>1</v>
      </c>
      <c r="R419" s="2" t="inlineStr">
        <is>
          <t>Lunglav</t>
        </is>
      </c>
      <c r="S419">
        <f>HYPERLINK("https://klasma.github.io/Logging_2161/artfynd/A 26003-2023 artfynd.xlsx", "A 26003-2023")</f>
        <v/>
      </c>
      <c r="T419">
        <f>HYPERLINK("https://klasma.github.io/Logging_2161/kartor/A 26003-2023 karta.png", "A 26003-2023")</f>
        <v/>
      </c>
      <c r="V419">
        <f>HYPERLINK("https://klasma.github.io/Logging_2161/klagomål/A 26003-2023 FSC-klagomål.docx", "A 26003-2023")</f>
        <v/>
      </c>
      <c r="W419">
        <f>HYPERLINK("https://klasma.github.io/Logging_2161/klagomålsmail/A 26003-2023 FSC-klagomål mail.docx", "A 26003-2023")</f>
        <v/>
      </c>
      <c r="X419">
        <f>HYPERLINK("https://klasma.github.io/Logging_2161/tillsyn/A 26003-2023 tillsynsbegäran.docx", "A 26003-2023")</f>
        <v/>
      </c>
      <c r="Y419">
        <f>HYPERLINK("https://klasma.github.io/Logging_2161/tillsynsmail/A 26003-2023 tillsynsbegäran mail.docx", "A 26003-2023")</f>
        <v/>
      </c>
    </row>
    <row r="420" ht="15" customHeight="1">
      <c r="A420" t="inlineStr">
        <is>
          <t>A 25802-2023</t>
        </is>
      </c>
      <c r="B420" s="1" t="n">
        <v>45090</v>
      </c>
      <c r="C420" s="1" t="n">
        <v>45357</v>
      </c>
      <c r="D420" t="inlineStr">
        <is>
          <t>GÄVLEBORGS LÄN</t>
        </is>
      </c>
      <c r="E420" t="inlineStr">
        <is>
          <t>BOLLNÄS</t>
        </is>
      </c>
      <c r="G420" t="n">
        <v>12.1</v>
      </c>
      <c r="H420" t="n">
        <v>1</v>
      </c>
      <c r="I420" t="n">
        <v>0</v>
      </c>
      <c r="J420" t="n">
        <v>0</v>
      </c>
      <c r="K420" t="n">
        <v>0</v>
      </c>
      <c r="L420" t="n">
        <v>0</v>
      </c>
      <c r="M420" t="n">
        <v>0</v>
      </c>
      <c r="N420" t="n">
        <v>0</v>
      </c>
      <c r="O420" t="n">
        <v>0</v>
      </c>
      <c r="P420" t="n">
        <v>0</v>
      </c>
      <c r="Q420" t="n">
        <v>1</v>
      </c>
      <c r="R420" s="2" t="inlineStr">
        <is>
          <t>Fläcknycklar</t>
        </is>
      </c>
      <c r="S420">
        <f>HYPERLINK("https://klasma.github.io/Logging_2183/artfynd/A 25802-2023 artfynd.xlsx", "A 25802-2023")</f>
        <v/>
      </c>
      <c r="T420">
        <f>HYPERLINK("https://klasma.github.io/Logging_2183/kartor/A 25802-2023 karta.png", "A 25802-2023")</f>
        <v/>
      </c>
      <c r="V420">
        <f>HYPERLINK("https://klasma.github.io/Logging_2183/klagomål/A 25802-2023 FSC-klagomål.docx", "A 25802-2023")</f>
        <v/>
      </c>
      <c r="W420">
        <f>HYPERLINK("https://klasma.github.io/Logging_2183/klagomålsmail/A 25802-2023 FSC-klagomål mail.docx", "A 25802-2023")</f>
        <v/>
      </c>
      <c r="X420">
        <f>HYPERLINK("https://klasma.github.io/Logging_2183/tillsyn/A 25802-2023 tillsynsbegäran.docx", "A 25802-2023")</f>
        <v/>
      </c>
      <c r="Y420">
        <f>HYPERLINK("https://klasma.github.io/Logging_2183/tillsynsmail/A 25802-2023 tillsynsbegäran mail.docx", "A 25802-2023")</f>
        <v/>
      </c>
    </row>
    <row r="421" ht="15" customHeight="1">
      <c r="A421" t="inlineStr">
        <is>
          <t>A 26526-2023</t>
        </is>
      </c>
      <c r="B421" s="1" t="n">
        <v>45092</v>
      </c>
      <c r="C421" s="1" t="n">
        <v>45357</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Kolflarnlav</t>
        </is>
      </c>
      <c r="S421">
        <f>HYPERLINK("https://klasma.github.io/Logging_2161/artfynd/A 26526-2023 artfynd.xlsx", "A 26526-2023")</f>
        <v/>
      </c>
      <c r="T421">
        <f>HYPERLINK("https://klasma.github.io/Logging_2161/kartor/A 26526-2023 karta.png", "A 26526-2023")</f>
        <v/>
      </c>
      <c r="V421">
        <f>HYPERLINK("https://klasma.github.io/Logging_2161/klagomål/A 26526-2023 FSC-klagomål.docx", "A 26526-2023")</f>
        <v/>
      </c>
      <c r="W421">
        <f>HYPERLINK("https://klasma.github.io/Logging_2161/klagomålsmail/A 26526-2023 FSC-klagomål mail.docx", "A 26526-2023")</f>
        <v/>
      </c>
      <c r="X421">
        <f>HYPERLINK("https://klasma.github.io/Logging_2161/tillsyn/A 26526-2023 tillsynsbegäran.docx", "A 26526-2023")</f>
        <v/>
      </c>
      <c r="Y421">
        <f>HYPERLINK("https://klasma.github.io/Logging_2161/tillsynsmail/A 26526-2023 tillsynsbegäran mail.docx", "A 26526-2023")</f>
        <v/>
      </c>
    </row>
    <row r="422" ht="15" customHeight="1">
      <c r="A422" t="inlineStr">
        <is>
          <t>A 26538-2023</t>
        </is>
      </c>
      <c r="B422" s="1" t="n">
        <v>45092</v>
      </c>
      <c r="C422" s="1" t="n">
        <v>45357</v>
      </c>
      <c r="D422" t="inlineStr">
        <is>
          <t>GÄVLEBORGS LÄN</t>
        </is>
      </c>
      <c r="E422" t="inlineStr">
        <is>
          <t>LJUSDAL</t>
        </is>
      </c>
      <c r="F422" t="inlineStr">
        <is>
          <t>Sveaskog</t>
        </is>
      </c>
      <c r="G422" t="n">
        <v>22.1</v>
      </c>
      <c r="H422" t="n">
        <v>0</v>
      </c>
      <c r="I422" t="n">
        <v>0</v>
      </c>
      <c r="J422" t="n">
        <v>1</v>
      </c>
      <c r="K422" t="n">
        <v>0</v>
      </c>
      <c r="L422" t="n">
        <v>0</v>
      </c>
      <c r="M422" t="n">
        <v>0</v>
      </c>
      <c r="N422" t="n">
        <v>0</v>
      </c>
      <c r="O422" t="n">
        <v>1</v>
      </c>
      <c r="P422" t="n">
        <v>0</v>
      </c>
      <c r="Q422" t="n">
        <v>1</v>
      </c>
      <c r="R422" s="2" t="inlineStr">
        <is>
          <t>Lunglav</t>
        </is>
      </c>
      <c r="S422">
        <f>HYPERLINK("https://klasma.github.io/Logging_2161/artfynd/A 26538-2023 artfynd.xlsx", "A 26538-2023")</f>
        <v/>
      </c>
      <c r="T422">
        <f>HYPERLINK("https://klasma.github.io/Logging_2161/kartor/A 26538-2023 karta.png", "A 26538-2023")</f>
        <v/>
      </c>
      <c r="V422">
        <f>HYPERLINK("https://klasma.github.io/Logging_2161/klagomål/A 26538-2023 FSC-klagomål.docx", "A 26538-2023")</f>
        <v/>
      </c>
      <c r="W422">
        <f>HYPERLINK("https://klasma.github.io/Logging_2161/klagomålsmail/A 26538-2023 FSC-klagomål mail.docx", "A 26538-2023")</f>
        <v/>
      </c>
      <c r="X422">
        <f>HYPERLINK("https://klasma.github.io/Logging_2161/tillsyn/A 26538-2023 tillsynsbegäran.docx", "A 26538-2023")</f>
        <v/>
      </c>
      <c r="Y422">
        <f>HYPERLINK("https://klasma.github.io/Logging_2161/tillsynsmail/A 26538-2023 tillsynsbegäran mail.docx", "A 26538-2023")</f>
        <v/>
      </c>
    </row>
    <row r="423" ht="15" customHeight="1">
      <c r="A423" t="inlineStr">
        <is>
          <t>A 26929-2023</t>
        </is>
      </c>
      <c r="B423" s="1" t="n">
        <v>45093</v>
      </c>
      <c r="C423" s="1" t="n">
        <v>45357</v>
      </c>
      <c r="D423" t="inlineStr">
        <is>
          <t>GÄVLEBORGS LÄN</t>
        </is>
      </c>
      <c r="E423" t="inlineStr">
        <is>
          <t>BOLLNÄS</t>
        </is>
      </c>
      <c r="F423" t="inlineStr">
        <is>
          <t>Sveaskog</t>
        </is>
      </c>
      <c r="G423" t="n">
        <v>7.6</v>
      </c>
      <c r="H423" t="n">
        <v>1</v>
      </c>
      <c r="I423" t="n">
        <v>0</v>
      </c>
      <c r="J423" t="n">
        <v>0</v>
      </c>
      <c r="K423" t="n">
        <v>1</v>
      </c>
      <c r="L423" t="n">
        <v>0</v>
      </c>
      <c r="M423" t="n">
        <v>0</v>
      </c>
      <c r="N423" t="n">
        <v>0</v>
      </c>
      <c r="O423" t="n">
        <v>1</v>
      </c>
      <c r="P423" t="n">
        <v>1</v>
      </c>
      <c r="Q423" t="n">
        <v>1</v>
      </c>
      <c r="R423" s="2" t="inlineStr">
        <is>
          <t>Knärot</t>
        </is>
      </c>
      <c r="S423">
        <f>HYPERLINK("https://klasma.github.io/Logging_2183/artfynd/A 26929-2023 artfynd.xlsx", "A 26929-2023")</f>
        <v/>
      </c>
      <c r="T423">
        <f>HYPERLINK("https://klasma.github.io/Logging_2183/kartor/A 26929-2023 karta.png", "A 26929-2023")</f>
        <v/>
      </c>
      <c r="U423">
        <f>HYPERLINK("https://klasma.github.io/Logging_2183/knärot/A 26929-2023 karta knärot.png", "A 26929-2023")</f>
        <v/>
      </c>
      <c r="V423">
        <f>HYPERLINK("https://klasma.github.io/Logging_2183/klagomål/A 26929-2023 FSC-klagomål.docx", "A 26929-2023")</f>
        <v/>
      </c>
      <c r="W423">
        <f>HYPERLINK("https://klasma.github.io/Logging_2183/klagomålsmail/A 26929-2023 FSC-klagomål mail.docx", "A 26929-2023")</f>
        <v/>
      </c>
      <c r="X423">
        <f>HYPERLINK("https://klasma.github.io/Logging_2183/tillsyn/A 26929-2023 tillsynsbegäran.docx", "A 26929-2023")</f>
        <v/>
      </c>
      <c r="Y423">
        <f>HYPERLINK("https://klasma.github.io/Logging_2183/tillsynsmail/A 26929-2023 tillsynsbegäran mail.docx", "A 26929-2023")</f>
        <v/>
      </c>
    </row>
    <row r="424" ht="15" customHeight="1">
      <c r="A424" t="inlineStr">
        <is>
          <t>A 27148-2023</t>
        </is>
      </c>
      <c r="B424" s="1" t="n">
        <v>45096</v>
      </c>
      <c r="C424" s="1" t="n">
        <v>45357</v>
      </c>
      <c r="D424" t="inlineStr">
        <is>
          <t>GÄVLEBORGS LÄN</t>
        </is>
      </c>
      <c r="E424" t="inlineStr">
        <is>
          <t>SÖDERHAMN</t>
        </is>
      </c>
      <c r="G424" t="n">
        <v>3.8</v>
      </c>
      <c r="H424" t="n">
        <v>0</v>
      </c>
      <c r="I424" t="n">
        <v>1</v>
      </c>
      <c r="J424" t="n">
        <v>0</v>
      </c>
      <c r="K424" t="n">
        <v>0</v>
      </c>
      <c r="L424" t="n">
        <v>0</v>
      </c>
      <c r="M424" t="n">
        <v>0</v>
      </c>
      <c r="N424" t="n">
        <v>0</v>
      </c>
      <c r="O424" t="n">
        <v>0</v>
      </c>
      <c r="P424" t="n">
        <v>0</v>
      </c>
      <c r="Q424" t="n">
        <v>1</v>
      </c>
      <c r="R424" s="2" t="inlineStr">
        <is>
          <t>Gulskölding</t>
        </is>
      </c>
      <c r="S424">
        <f>HYPERLINK("https://klasma.github.io/Logging_2182/artfynd/A 27148-2023 artfynd.xlsx", "A 27148-2023")</f>
        <v/>
      </c>
      <c r="T424">
        <f>HYPERLINK("https://klasma.github.io/Logging_2182/kartor/A 27148-2023 karta.png", "A 27148-2023")</f>
        <v/>
      </c>
      <c r="V424">
        <f>HYPERLINK("https://klasma.github.io/Logging_2182/klagomål/A 27148-2023 FSC-klagomål.docx", "A 27148-2023")</f>
        <v/>
      </c>
      <c r="W424">
        <f>HYPERLINK("https://klasma.github.io/Logging_2182/klagomålsmail/A 27148-2023 FSC-klagomål mail.docx", "A 27148-2023")</f>
        <v/>
      </c>
      <c r="X424">
        <f>HYPERLINK("https://klasma.github.io/Logging_2182/tillsyn/A 27148-2023 tillsynsbegäran.docx", "A 27148-2023")</f>
        <v/>
      </c>
      <c r="Y424">
        <f>HYPERLINK("https://klasma.github.io/Logging_2182/tillsynsmail/A 27148-2023 tillsynsbegäran mail.docx", "A 27148-2023")</f>
        <v/>
      </c>
    </row>
    <row r="425" ht="15" customHeight="1">
      <c r="A425" t="inlineStr">
        <is>
          <t>A 27637-2023</t>
        </is>
      </c>
      <c r="B425" s="1" t="n">
        <v>45097</v>
      </c>
      <c r="C425" s="1" t="n">
        <v>45357</v>
      </c>
      <c r="D425" t="inlineStr">
        <is>
          <t>GÄVLEBORGS LÄN</t>
        </is>
      </c>
      <c r="E425" t="inlineStr">
        <is>
          <t>NORDANSTIG</t>
        </is>
      </c>
      <c r="F425" t="inlineStr">
        <is>
          <t>Holmen skog AB</t>
        </is>
      </c>
      <c r="G425" t="n">
        <v>1.8</v>
      </c>
      <c r="H425" t="n">
        <v>0</v>
      </c>
      <c r="I425" t="n">
        <v>1</v>
      </c>
      <c r="J425" t="n">
        <v>0</v>
      </c>
      <c r="K425" t="n">
        <v>0</v>
      </c>
      <c r="L425" t="n">
        <v>0</v>
      </c>
      <c r="M425" t="n">
        <v>0</v>
      </c>
      <c r="N425" t="n">
        <v>0</v>
      </c>
      <c r="O425" t="n">
        <v>0</v>
      </c>
      <c r="P425" t="n">
        <v>0</v>
      </c>
      <c r="Q425" t="n">
        <v>1</v>
      </c>
      <c r="R425" s="2" t="inlineStr">
        <is>
          <t>Skogshakmossa</t>
        </is>
      </c>
      <c r="S425">
        <f>HYPERLINK("https://klasma.github.io/Logging_2132/artfynd/A 27637-2023 artfynd.xlsx", "A 27637-2023")</f>
        <v/>
      </c>
      <c r="T425">
        <f>HYPERLINK("https://klasma.github.io/Logging_2132/kartor/A 27637-2023 karta.png", "A 27637-2023")</f>
        <v/>
      </c>
      <c r="V425">
        <f>HYPERLINK("https://klasma.github.io/Logging_2132/klagomål/A 27637-2023 FSC-klagomål.docx", "A 27637-2023")</f>
        <v/>
      </c>
      <c r="W425">
        <f>HYPERLINK("https://klasma.github.io/Logging_2132/klagomålsmail/A 27637-2023 FSC-klagomål mail.docx", "A 27637-2023")</f>
        <v/>
      </c>
      <c r="X425">
        <f>HYPERLINK("https://klasma.github.io/Logging_2132/tillsyn/A 27637-2023 tillsynsbegäran.docx", "A 27637-2023")</f>
        <v/>
      </c>
      <c r="Y425">
        <f>HYPERLINK("https://klasma.github.io/Logging_2132/tillsynsmail/A 27637-2023 tillsynsbegäran mail.docx", "A 27637-2023")</f>
        <v/>
      </c>
    </row>
    <row r="426" ht="15" customHeight="1">
      <c r="A426" t="inlineStr">
        <is>
          <t>A 29400-2023</t>
        </is>
      </c>
      <c r="B426" s="1" t="n">
        <v>45106</v>
      </c>
      <c r="C426" s="1" t="n">
        <v>45357</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HYPERLINK("https://klasma.github.io/Logging_2104/artfynd/A 29400-2023 artfynd.xlsx", "A 29400-2023")</f>
        <v/>
      </c>
      <c r="T426">
        <f>HYPERLINK("https://klasma.github.io/Logging_2104/kartor/A 29400-2023 karta.png", "A 29400-2023")</f>
        <v/>
      </c>
      <c r="U426">
        <f>HYPERLINK("https://klasma.github.io/Logging_2104/knärot/A 29400-2023 karta knärot.png", "A 29400-2023")</f>
        <v/>
      </c>
      <c r="V426">
        <f>HYPERLINK("https://klasma.github.io/Logging_2104/klagomål/A 29400-2023 FSC-klagomål.docx", "A 29400-2023")</f>
        <v/>
      </c>
      <c r="W426">
        <f>HYPERLINK("https://klasma.github.io/Logging_2104/klagomålsmail/A 29400-2023 FSC-klagomål mail.docx", "A 29400-2023")</f>
        <v/>
      </c>
      <c r="X426">
        <f>HYPERLINK("https://klasma.github.io/Logging_2104/tillsyn/A 29400-2023 tillsynsbegäran.docx", "A 29400-2023")</f>
        <v/>
      </c>
      <c r="Y426">
        <f>HYPERLINK("https://klasma.github.io/Logging_2104/tillsynsmail/A 29400-2023 tillsynsbegäran mail.docx", "A 29400-2023")</f>
        <v/>
      </c>
    </row>
    <row r="427" ht="15" customHeight="1">
      <c r="A427" t="inlineStr">
        <is>
          <t>A 29578-2023</t>
        </is>
      </c>
      <c r="B427" s="1" t="n">
        <v>45106</v>
      </c>
      <c r="C427" s="1" t="n">
        <v>45357</v>
      </c>
      <c r="D427" t="inlineStr">
        <is>
          <t>GÄVLEBORGS LÄN</t>
        </is>
      </c>
      <c r="E427" t="inlineStr">
        <is>
          <t>NORDANSTIG</t>
        </is>
      </c>
      <c r="F427" t="inlineStr">
        <is>
          <t>Holmen skog AB</t>
        </is>
      </c>
      <c r="G427" t="n">
        <v>5.3</v>
      </c>
      <c r="H427" t="n">
        <v>1</v>
      </c>
      <c r="I427" t="n">
        <v>0</v>
      </c>
      <c r="J427" t="n">
        <v>0</v>
      </c>
      <c r="K427" t="n">
        <v>0</v>
      </c>
      <c r="L427" t="n">
        <v>0</v>
      </c>
      <c r="M427" t="n">
        <v>0</v>
      </c>
      <c r="N427" t="n">
        <v>0</v>
      </c>
      <c r="O427" t="n">
        <v>0</v>
      </c>
      <c r="P427" t="n">
        <v>0</v>
      </c>
      <c r="Q427" t="n">
        <v>1</v>
      </c>
      <c r="R427" s="2" t="inlineStr">
        <is>
          <t>Blåsippa</t>
        </is>
      </c>
      <c r="S427">
        <f>HYPERLINK("https://klasma.github.io/Logging_2132/artfynd/A 29578-2023 artfynd.xlsx", "A 29578-2023")</f>
        <v/>
      </c>
      <c r="T427">
        <f>HYPERLINK("https://klasma.github.io/Logging_2132/kartor/A 29578-2023 karta.png", "A 29578-2023")</f>
        <v/>
      </c>
      <c r="V427">
        <f>HYPERLINK("https://klasma.github.io/Logging_2132/klagomål/A 29578-2023 FSC-klagomål.docx", "A 29578-2023")</f>
        <v/>
      </c>
      <c r="W427">
        <f>HYPERLINK("https://klasma.github.io/Logging_2132/klagomålsmail/A 29578-2023 FSC-klagomål mail.docx", "A 29578-2023")</f>
        <v/>
      </c>
      <c r="X427">
        <f>HYPERLINK("https://klasma.github.io/Logging_2132/tillsyn/A 29578-2023 tillsynsbegäran.docx", "A 29578-2023")</f>
        <v/>
      </c>
      <c r="Y427">
        <f>HYPERLINK("https://klasma.github.io/Logging_2132/tillsynsmail/A 29578-2023 tillsynsbegäran mail.docx", "A 29578-2023")</f>
        <v/>
      </c>
    </row>
    <row r="428" ht="15" customHeight="1">
      <c r="A428" t="inlineStr">
        <is>
          <t>A 29784-2023</t>
        </is>
      </c>
      <c r="B428" s="1" t="n">
        <v>45107</v>
      </c>
      <c r="C428" s="1" t="n">
        <v>45357</v>
      </c>
      <c r="D428" t="inlineStr">
        <is>
          <t>GÄVLEBORGS LÄN</t>
        </is>
      </c>
      <c r="E428" t="inlineStr">
        <is>
          <t>LJUSDAL</t>
        </is>
      </c>
      <c r="F428" t="inlineStr">
        <is>
          <t>Sveaskog</t>
        </is>
      </c>
      <c r="G428" t="n">
        <v>17.1</v>
      </c>
      <c r="H428" t="n">
        <v>1</v>
      </c>
      <c r="I428" t="n">
        <v>0</v>
      </c>
      <c r="J428" t="n">
        <v>0</v>
      </c>
      <c r="K428" t="n">
        <v>0</v>
      </c>
      <c r="L428" t="n">
        <v>0</v>
      </c>
      <c r="M428" t="n">
        <v>0</v>
      </c>
      <c r="N428" t="n">
        <v>0</v>
      </c>
      <c r="O428" t="n">
        <v>0</v>
      </c>
      <c r="P428" t="n">
        <v>0</v>
      </c>
      <c r="Q428" t="n">
        <v>1</v>
      </c>
      <c r="R428" s="2" t="inlineStr">
        <is>
          <t>Nattviol</t>
        </is>
      </c>
      <c r="S428">
        <f>HYPERLINK("https://klasma.github.io/Logging_2161/artfynd/A 29784-2023 artfynd.xlsx", "A 29784-2023")</f>
        <v/>
      </c>
      <c r="T428">
        <f>HYPERLINK("https://klasma.github.io/Logging_2161/kartor/A 29784-2023 karta.png", "A 29784-2023")</f>
        <v/>
      </c>
      <c r="V428">
        <f>HYPERLINK("https://klasma.github.io/Logging_2161/klagomål/A 29784-2023 FSC-klagomål.docx", "A 29784-2023")</f>
        <v/>
      </c>
      <c r="W428">
        <f>HYPERLINK("https://klasma.github.io/Logging_2161/klagomålsmail/A 29784-2023 FSC-klagomål mail.docx", "A 29784-2023")</f>
        <v/>
      </c>
      <c r="X428">
        <f>HYPERLINK("https://klasma.github.io/Logging_2161/tillsyn/A 29784-2023 tillsynsbegäran.docx", "A 29784-2023")</f>
        <v/>
      </c>
      <c r="Y428">
        <f>HYPERLINK("https://klasma.github.io/Logging_2161/tillsynsmail/A 29784-2023 tillsynsbegäran mail.docx", "A 29784-2023")</f>
        <v/>
      </c>
    </row>
    <row r="429" ht="15" customHeight="1">
      <c r="A429" t="inlineStr">
        <is>
          <t>A 32171-2023</t>
        </is>
      </c>
      <c r="B429" s="1" t="n">
        <v>45107</v>
      </c>
      <c r="C429" s="1" t="n">
        <v>45357</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30245-2023</t>
        </is>
      </c>
      <c r="B430" s="1" t="n">
        <v>45110</v>
      </c>
      <c r="C430" s="1" t="n">
        <v>45357</v>
      </c>
      <c r="D430" t="inlineStr">
        <is>
          <t>GÄVLEBORGS LÄN</t>
        </is>
      </c>
      <c r="E430" t="inlineStr">
        <is>
          <t>LJUSDAL</t>
        </is>
      </c>
      <c r="F430" t="inlineStr">
        <is>
          <t>Sveaskog</t>
        </is>
      </c>
      <c r="G430" t="n">
        <v>32.1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30245-2023 artfynd.xlsx", "A 30245-2023")</f>
        <v/>
      </c>
      <c r="T430">
        <f>HYPERLINK("https://klasma.github.io/Logging_2161/kartor/A 30245-2023 karta.png", "A 30245-2023")</f>
        <v/>
      </c>
      <c r="V430">
        <f>HYPERLINK("https://klasma.github.io/Logging_2161/klagomål/A 30245-2023 FSC-klagomål.docx", "A 30245-2023")</f>
        <v/>
      </c>
      <c r="W430">
        <f>HYPERLINK("https://klasma.github.io/Logging_2161/klagomålsmail/A 30245-2023 FSC-klagomål mail.docx", "A 30245-2023")</f>
        <v/>
      </c>
      <c r="X430">
        <f>HYPERLINK("https://klasma.github.io/Logging_2161/tillsyn/A 30245-2023 tillsynsbegäran.docx", "A 30245-2023")</f>
        <v/>
      </c>
      <c r="Y430">
        <f>HYPERLINK("https://klasma.github.io/Logging_2161/tillsynsmail/A 30245-2023 tillsynsbegäran mail.docx", "A 30245-2023")</f>
        <v/>
      </c>
    </row>
    <row r="431" ht="15" customHeight="1">
      <c r="A431" t="inlineStr">
        <is>
          <t>A 30610-2023</t>
        </is>
      </c>
      <c r="B431" s="1" t="n">
        <v>45112</v>
      </c>
      <c r="C431" s="1" t="n">
        <v>45357</v>
      </c>
      <c r="D431" t="inlineStr">
        <is>
          <t>GÄVLEBORGS LÄN</t>
        </is>
      </c>
      <c r="E431" t="inlineStr">
        <is>
          <t>LJUSDAL</t>
        </is>
      </c>
      <c r="F431" t="inlineStr">
        <is>
          <t>Sveaskog</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HYPERLINK("https://klasma.github.io/Logging_2161/artfynd/A 30610-2023 artfynd.xlsx", "A 30610-2023")</f>
        <v/>
      </c>
      <c r="T431">
        <f>HYPERLINK("https://klasma.github.io/Logging_2161/kartor/A 30610-2023 karta.png", "A 30610-2023")</f>
        <v/>
      </c>
      <c r="U431">
        <f>HYPERLINK("https://klasma.github.io/Logging_2161/knärot/A 30610-2023 karta knärot.png", "A 30610-2023")</f>
        <v/>
      </c>
      <c r="V431">
        <f>HYPERLINK("https://klasma.github.io/Logging_2161/klagomål/A 30610-2023 FSC-klagomål.docx", "A 30610-2023")</f>
        <v/>
      </c>
      <c r="W431">
        <f>HYPERLINK("https://klasma.github.io/Logging_2161/klagomålsmail/A 30610-2023 FSC-klagomål mail.docx", "A 30610-2023")</f>
        <v/>
      </c>
      <c r="X431">
        <f>HYPERLINK("https://klasma.github.io/Logging_2161/tillsyn/A 30610-2023 tillsynsbegäran.docx", "A 30610-2023")</f>
        <v/>
      </c>
      <c r="Y431">
        <f>HYPERLINK("https://klasma.github.io/Logging_2161/tillsynsmail/A 30610-2023 tillsynsbegäran mail.docx", "A 30610-2023")</f>
        <v/>
      </c>
    </row>
    <row r="432" ht="15" customHeight="1">
      <c r="A432" t="inlineStr">
        <is>
          <t>A 31125-2023</t>
        </is>
      </c>
      <c r="B432" s="1" t="n">
        <v>45113</v>
      </c>
      <c r="C432" s="1" t="n">
        <v>45357</v>
      </c>
      <c r="D432" t="inlineStr">
        <is>
          <t>GÄVLEBORGS LÄN</t>
        </is>
      </c>
      <c r="E432" t="inlineStr">
        <is>
          <t>LJUSDAL</t>
        </is>
      </c>
      <c r="F432" t="inlineStr">
        <is>
          <t>Sveaskog</t>
        </is>
      </c>
      <c r="G432" t="n">
        <v>1.8</v>
      </c>
      <c r="H432" t="n">
        <v>0</v>
      </c>
      <c r="I432" t="n">
        <v>1</v>
      </c>
      <c r="J432" t="n">
        <v>0</v>
      </c>
      <c r="K432" t="n">
        <v>0</v>
      </c>
      <c r="L432" t="n">
        <v>0</v>
      </c>
      <c r="M432" t="n">
        <v>0</v>
      </c>
      <c r="N432" t="n">
        <v>0</v>
      </c>
      <c r="O432" t="n">
        <v>0</v>
      </c>
      <c r="P432" t="n">
        <v>0</v>
      </c>
      <c r="Q432" t="n">
        <v>1</v>
      </c>
      <c r="R432" s="2" t="inlineStr">
        <is>
          <t>Stuplav</t>
        </is>
      </c>
      <c r="S432">
        <f>HYPERLINK("https://klasma.github.io/Logging_2161/artfynd/A 31125-2023 artfynd.xlsx", "A 31125-2023")</f>
        <v/>
      </c>
      <c r="T432">
        <f>HYPERLINK("https://klasma.github.io/Logging_2161/kartor/A 31125-2023 karta.png", "A 31125-2023")</f>
        <v/>
      </c>
      <c r="V432">
        <f>HYPERLINK("https://klasma.github.io/Logging_2161/klagomål/A 31125-2023 FSC-klagomål.docx", "A 31125-2023")</f>
        <v/>
      </c>
      <c r="W432">
        <f>HYPERLINK("https://klasma.github.io/Logging_2161/klagomålsmail/A 31125-2023 FSC-klagomål mail.docx", "A 31125-2023")</f>
        <v/>
      </c>
      <c r="X432">
        <f>HYPERLINK("https://klasma.github.io/Logging_2161/tillsyn/A 31125-2023 tillsynsbegäran.docx", "A 31125-2023")</f>
        <v/>
      </c>
      <c r="Y432">
        <f>HYPERLINK("https://klasma.github.io/Logging_2161/tillsynsmail/A 31125-2023 tillsynsbegäran mail.docx", "A 31125-2023")</f>
        <v/>
      </c>
    </row>
    <row r="433" ht="15" customHeight="1">
      <c r="A433" t="inlineStr">
        <is>
          <t>A 31127-2023</t>
        </is>
      </c>
      <c r="B433" s="1" t="n">
        <v>45113</v>
      </c>
      <c r="C433" s="1" t="n">
        <v>45357</v>
      </c>
      <c r="D433" t="inlineStr">
        <is>
          <t>GÄVLEBORGS LÄN</t>
        </is>
      </c>
      <c r="E433" t="inlineStr">
        <is>
          <t>LJUSDAL</t>
        </is>
      </c>
      <c r="F433" t="inlineStr">
        <is>
          <t>Sveaskog</t>
        </is>
      </c>
      <c r="G433" t="n">
        <v>6.8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31127-2023 artfynd.xlsx", "A 31127-2023")</f>
        <v/>
      </c>
      <c r="T433">
        <f>HYPERLINK("https://klasma.github.io/Logging_2161/kartor/A 31127-2023 karta.png", "A 31127-2023")</f>
        <v/>
      </c>
      <c r="V433">
        <f>HYPERLINK("https://klasma.github.io/Logging_2161/klagomål/A 31127-2023 FSC-klagomål.docx", "A 31127-2023")</f>
        <v/>
      </c>
      <c r="W433">
        <f>HYPERLINK("https://klasma.github.io/Logging_2161/klagomålsmail/A 31127-2023 FSC-klagomål mail.docx", "A 31127-2023")</f>
        <v/>
      </c>
      <c r="X433">
        <f>HYPERLINK("https://klasma.github.io/Logging_2161/tillsyn/A 31127-2023 tillsynsbegäran.docx", "A 31127-2023")</f>
        <v/>
      </c>
      <c r="Y433">
        <f>HYPERLINK("https://klasma.github.io/Logging_2161/tillsynsmail/A 31127-2023 tillsynsbegäran mail.docx", "A 31127-2023")</f>
        <v/>
      </c>
    </row>
    <row r="434" ht="15" customHeight="1">
      <c r="A434" t="inlineStr">
        <is>
          <t>A 33491-2023</t>
        </is>
      </c>
      <c r="B434" s="1" t="n">
        <v>45118</v>
      </c>
      <c r="C434" s="1" t="n">
        <v>45357</v>
      </c>
      <c r="D434" t="inlineStr">
        <is>
          <t>GÄVLEBORGS LÄN</t>
        </is>
      </c>
      <c r="E434" t="inlineStr">
        <is>
          <t>HOFORS</t>
        </is>
      </c>
      <c r="F434" t="inlineStr">
        <is>
          <t>Bergvik skog väst AB</t>
        </is>
      </c>
      <c r="G434" t="n">
        <v>32.3</v>
      </c>
      <c r="H434" t="n">
        <v>1</v>
      </c>
      <c r="I434" t="n">
        <v>0</v>
      </c>
      <c r="J434" t="n">
        <v>0</v>
      </c>
      <c r="K434" t="n">
        <v>0</v>
      </c>
      <c r="L434" t="n">
        <v>0</v>
      </c>
      <c r="M434" t="n">
        <v>0</v>
      </c>
      <c r="N434" t="n">
        <v>0</v>
      </c>
      <c r="O434" t="n">
        <v>0</v>
      </c>
      <c r="P434" t="n">
        <v>0</v>
      </c>
      <c r="Q434" t="n">
        <v>1</v>
      </c>
      <c r="R434" s="2" t="inlineStr">
        <is>
          <t>Revlummer</t>
        </is>
      </c>
      <c r="S434">
        <f>HYPERLINK("https://klasma.github.io/Logging_2104/artfynd/A 33491-2023 artfynd.xlsx", "A 33491-2023")</f>
        <v/>
      </c>
      <c r="T434">
        <f>HYPERLINK("https://klasma.github.io/Logging_2104/kartor/A 33491-2023 karta.png", "A 33491-2023")</f>
        <v/>
      </c>
      <c r="V434">
        <f>HYPERLINK("https://klasma.github.io/Logging_2104/klagomål/A 33491-2023 FSC-klagomål.docx", "A 33491-2023")</f>
        <v/>
      </c>
      <c r="W434">
        <f>HYPERLINK("https://klasma.github.io/Logging_2104/klagomålsmail/A 33491-2023 FSC-klagomål mail.docx", "A 33491-2023")</f>
        <v/>
      </c>
      <c r="X434">
        <f>HYPERLINK("https://klasma.github.io/Logging_2104/tillsyn/A 33491-2023 tillsynsbegäran.docx", "A 33491-2023")</f>
        <v/>
      </c>
      <c r="Y434">
        <f>HYPERLINK("https://klasma.github.io/Logging_2104/tillsynsmail/A 33491-2023 tillsynsbegäran mail.docx", "A 33491-2023")</f>
        <v/>
      </c>
    </row>
    <row r="435" ht="15" customHeight="1">
      <c r="A435" t="inlineStr">
        <is>
          <t>A 32254-2023</t>
        </is>
      </c>
      <c r="B435" s="1" t="n">
        <v>45120</v>
      </c>
      <c r="C435" s="1" t="n">
        <v>45357</v>
      </c>
      <c r="D435" t="inlineStr">
        <is>
          <t>GÄVLEBORGS LÄN</t>
        </is>
      </c>
      <c r="E435" t="inlineStr">
        <is>
          <t>GÄVLE</t>
        </is>
      </c>
      <c r="G435" t="n">
        <v>2.5</v>
      </c>
      <c r="H435" t="n">
        <v>0</v>
      </c>
      <c r="I435" t="n">
        <v>0</v>
      </c>
      <c r="J435" t="n">
        <v>1</v>
      </c>
      <c r="K435" t="n">
        <v>0</v>
      </c>
      <c r="L435" t="n">
        <v>0</v>
      </c>
      <c r="M435" t="n">
        <v>0</v>
      </c>
      <c r="N435" t="n">
        <v>0</v>
      </c>
      <c r="O435" t="n">
        <v>1</v>
      </c>
      <c r="P435" t="n">
        <v>0</v>
      </c>
      <c r="Q435" t="n">
        <v>1</v>
      </c>
      <c r="R435" s="2" t="inlineStr">
        <is>
          <t>Slåtterfibbla</t>
        </is>
      </c>
      <c r="S435">
        <f>HYPERLINK("https://klasma.github.io/Logging_2180/artfynd/A 32254-2023 artfynd.xlsx", "A 32254-2023")</f>
        <v/>
      </c>
      <c r="T435">
        <f>HYPERLINK("https://klasma.github.io/Logging_2180/kartor/A 32254-2023 karta.png", "A 32254-2023")</f>
        <v/>
      </c>
      <c r="V435">
        <f>HYPERLINK("https://klasma.github.io/Logging_2180/klagomål/A 32254-2023 FSC-klagomål.docx", "A 32254-2023")</f>
        <v/>
      </c>
      <c r="W435">
        <f>HYPERLINK("https://klasma.github.io/Logging_2180/klagomålsmail/A 32254-2023 FSC-klagomål mail.docx", "A 32254-2023")</f>
        <v/>
      </c>
      <c r="X435">
        <f>HYPERLINK("https://klasma.github.io/Logging_2180/tillsyn/A 32254-2023 tillsynsbegäran.docx", "A 32254-2023")</f>
        <v/>
      </c>
      <c r="Y435">
        <f>HYPERLINK("https://klasma.github.io/Logging_2180/tillsynsmail/A 32254-2023 tillsynsbegäran mail.docx", "A 32254-2023")</f>
        <v/>
      </c>
    </row>
    <row r="436" ht="15" customHeight="1">
      <c r="A436" t="inlineStr">
        <is>
          <t>A 32499-2023</t>
        </is>
      </c>
      <c r="B436" s="1" t="n">
        <v>45121</v>
      </c>
      <c r="C436" s="1" t="n">
        <v>45357</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32497-2023</t>
        </is>
      </c>
      <c r="B437" s="1" t="n">
        <v>45121</v>
      </c>
      <c r="C437" s="1" t="n">
        <v>45357</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32497-2023 artfynd.xlsx", "A 32497-2023")</f>
        <v/>
      </c>
      <c r="T437">
        <f>HYPERLINK("https://klasma.github.io/Logging_2161/kartor/A 32497-2023 karta.png", "A 32497-2023")</f>
        <v/>
      </c>
      <c r="U437">
        <f>HYPERLINK("https://klasma.github.io/Logging_2161/knärot/A 32497-2023 karta knärot.png", "A 32497-2023")</f>
        <v/>
      </c>
      <c r="V437">
        <f>HYPERLINK("https://klasma.github.io/Logging_2161/klagomål/A 32497-2023 FSC-klagomål.docx", "A 32497-2023")</f>
        <v/>
      </c>
      <c r="W437">
        <f>HYPERLINK("https://klasma.github.io/Logging_2161/klagomålsmail/A 32497-2023 FSC-klagomål mail.docx", "A 32497-2023")</f>
        <v/>
      </c>
      <c r="X437">
        <f>HYPERLINK("https://klasma.github.io/Logging_2161/tillsyn/A 32497-2023 tillsynsbegäran.docx", "A 32497-2023")</f>
        <v/>
      </c>
      <c r="Y437">
        <f>HYPERLINK("https://klasma.github.io/Logging_2161/tillsynsmail/A 32497-2023 tillsynsbegäran mail.docx", "A 32497-2023")</f>
        <v/>
      </c>
    </row>
    <row r="438" ht="15" customHeight="1">
      <c r="A438" t="inlineStr">
        <is>
          <t>A 33298-2023</t>
        </is>
      </c>
      <c r="B438" s="1" t="n">
        <v>45127</v>
      </c>
      <c r="C438" s="1" t="n">
        <v>45357</v>
      </c>
      <c r="D438" t="inlineStr">
        <is>
          <t>GÄVLEBORGS LÄN</t>
        </is>
      </c>
      <c r="E438" t="inlineStr">
        <is>
          <t>HOFORS</t>
        </is>
      </c>
      <c r="F438" t="inlineStr">
        <is>
          <t>Sveaskog</t>
        </is>
      </c>
      <c r="G438" t="n">
        <v>5.6</v>
      </c>
      <c r="H438" t="n">
        <v>0</v>
      </c>
      <c r="I438" t="n">
        <v>1</v>
      </c>
      <c r="J438" t="n">
        <v>0</v>
      </c>
      <c r="K438" t="n">
        <v>0</v>
      </c>
      <c r="L438" t="n">
        <v>0</v>
      </c>
      <c r="M438" t="n">
        <v>0</v>
      </c>
      <c r="N438" t="n">
        <v>0</v>
      </c>
      <c r="O438" t="n">
        <v>0</v>
      </c>
      <c r="P438" t="n">
        <v>0</v>
      </c>
      <c r="Q438" t="n">
        <v>1</v>
      </c>
      <c r="R438" s="2" t="inlineStr">
        <is>
          <t>Vedticka</t>
        </is>
      </c>
      <c r="S438">
        <f>HYPERLINK("https://klasma.github.io/Logging_2104/artfynd/A 33298-2023 artfynd.xlsx", "A 33298-2023")</f>
        <v/>
      </c>
      <c r="T438">
        <f>HYPERLINK("https://klasma.github.io/Logging_2104/kartor/A 33298-2023 karta.png", "A 33298-2023")</f>
        <v/>
      </c>
      <c r="V438">
        <f>HYPERLINK("https://klasma.github.io/Logging_2104/klagomål/A 33298-2023 FSC-klagomål.docx", "A 33298-2023")</f>
        <v/>
      </c>
      <c r="W438">
        <f>HYPERLINK("https://klasma.github.io/Logging_2104/klagomålsmail/A 33298-2023 FSC-klagomål mail.docx", "A 33298-2023")</f>
        <v/>
      </c>
      <c r="X438">
        <f>HYPERLINK("https://klasma.github.io/Logging_2104/tillsyn/A 33298-2023 tillsynsbegäran.docx", "A 33298-2023")</f>
        <v/>
      </c>
      <c r="Y438">
        <f>HYPERLINK("https://klasma.github.io/Logging_2104/tillsynsmail/A 33298-2023 tillsynsbegäran mail.docx", "A 33298-2023")</f>
        <v/>
      </c>
    </row>
    <row r="439" ht="15" customHeight="1">
      <c r="A439" t="inlineStr">
        <is>
          <t>A 34244-2023</t>
        </is>
      </c>
      <c r="B439" s="1" t="n">
        <v>45138</v>
      </c>
      <c r="C439" s="1" t="n">
        <v>45357</v>
      </c>
      <c r="D439" t="inlineStr">
        <is>
          <t>GÄVLEBORGS LÄN</t>
        </is>
      </c>
      <c r="E439" t="inlineStr">
        <is>
          <t>HOFORS</t>
        </is>
      </c>
      <c r="F439" t="inlineStr">
        <is>
          <t>Sveaskog</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HYPERLINK("https://klasma.github.io/Logging_2104/artfynd/A 34244-2023 artfynd.xlsx", "A 34244-2023")</f>
        <v/>
      </c>
      <c r="T439">
        <f>HYPERLINK("https://klasma.github.io/Logging_2104/kartor/A 34244-2023 karta.png", "A 34244-2023")</f>
        <v/>
      </c>
      <c r="V439">
        <f>HYPERLINK("https://klasma.github.io/Logging_2104/klagomål/A 34244-2023 FSC-klagomål.docx", "A 34244-2023")</f>
        <v/>
      </c>
      <c r="W439">
        <f>HYPERLINK("https://klasma.github.io/Logging_2104/klagomålsmail/A 34244-2023 FSC-klagomål mail.docx", "A 34244-2023")</f>
        <v/>
      </c>
      <c r="X439">
        <f>HYPERLINK("https://klasma.github.io/Logging_2104/tillsyn/A 34244-2023 tillsynsbegäran.docx", "A 34244-2023")</f>
        <v/>
      </c>
      <c r="Y439">
        <f>HYPERLINK("https://klasma.github.io/Logging_2104/tillsynsmail/A 34244-2023 tillsynsbegäran mail.docx", "A 34244-2023")</f>
        <v/>
      </c>
    </row>
    <row r="440" ht="15" customHeight="1">
      <c r="A440" t="inlineStr">
        <is>
          <t>A 35086-2023</t>
        </is>
      </c>
      <c r="B440" s="1" t="n">
        <v>45145</v>
      </c>
      <c r="C440" s="1" t="n">
        <v>45357</v>
      </c>
      <c r="D440" t="inlineStr">
        <is>
          <t>GÄVLEBORGS LÄN</t>
        </is>
      </c>
      <c r="E440" t="inlineStr">
        <is>
          <t>LJUSDAL</t>
        </is>
      </c>
      <c r="F440" t="inlineStr">
        <is>
          <t>Sveaskog</t>
        </is>
      </c>
      <c r="G440" t="n">
        <v>5</v>
      </c>
      <c r="H440" t="n">
        <v>0</v>
      </c>
      <c r="I440" t="n">
        <v>0</v>
      </c>
      <c r="J440" t="n">
        <v>1</v>
      </c>
      <c r="K440" t="n">
        <v>0</v>
      </c>
      <c r="L440" t="n">
        <v>0</v>
      </c>
      <c r="M440" t="n">
        <v>0</v>
      </c>
      <c r="N440" t="n">
        <v>0</v>
      </c>
      <c r="O440" t="n">
        <v>1</v>
      </c>
      <c r="P440" t="n">
        <v>0</v>
      </c>
      <c r="Q440" t="n">
        <v>1</v>
      </c>
      <c r="R440" s="2" t="inlineStr">
        <is>
          <t>Kolflarnlav</t>
        </is>
      </c>
      <c r="S440">
        <f>HYPERLINK("https://klasma.github.io/Logging_2161/artfynd/A 35086-2023 artfynd.xlsx", "A 35086-2023")</f>
        <v/>
      </c>
      <c r="T440">
        <f>HYPERLINK("https://klasma.github.io/Logging_2161/kartor/A 35086-2023 karta.png", "A 35086-2023")</f>
        <v/>
      </c>
      <c r="V440">
        <f>HYPERLINK("https://klasma.github.io/Logging_2161/klagomål/A 35086-2023 FSC-klagomål.docx", "A 35086-2023")</f>
        <v/>
      </c>
      <c r="W440">
        <f>HYPERLINK("https://klasma.github.io/Logging_2161/klagomålsmail/A 35086-2023 FSC-klagomål mail.docx", "A 35086-2023")</f>
        <v/>
      </c>
      <c r="X440">
        <f>HYPERLINK("https://klasma.github.io/Logging_2161/tillsyn/A 35086-2023 tillsynsbegäran.docx", "A 35086-2023")</f>
        <v/>
      </c>
      <c r="Y440">
        <f>HYPERLINK("https://klasma.github.io/Logging_2161/tillsynsmail/A 35086-2023 tillsynsbegäran mail.docx", "A 35086-2023")</f>
        <v/>
      </c>
    </row>
    <row r="441" ht="15" customHeight="1">
      <c r="A441" t="inlineStr">
        <is>
          <t>A 35080-2023</t>
        </is>
      </c>
      <c r="B441" s="1" t="n">
        <v>45145</v>
      </c>
      <c r="C441" s="1" t="n">
        <v>45357</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35614-2023</t>
        </is>
      </c>
      <c r="B442" s="1" t="n">
        <v>45147</v>
      </c>
      <c r="C442" s="1" t="n">
        <v>45357</v>
      </c>
      <c r="D442" t="inlineStr">
        <is>
          <t>GÄVLEBORGS LÄN</t>
        </is>
      </c>
      <c r="E442" t="inlineStr">
        <is>
          <t>HOFORS</t>
        </is>
      </c>
      <c r="G442" t="n">
        <v>0.9</v>
      </c>
      <c r="H442" t="n">
        <v>0</v>
      </c>
      <c r="I442" t="n">
        <v>0</v>
      </c>
      <c r="J442" t="n">
        <v>1</v>
      </c>
      <c r="K442" t="n">
        <v>0</v>
      </c>
      <c r="L442" t="n">
        <v>0</v>
      </c>
      <c r="M442" t="n">
        <v>0</v>
      </c>
      <c r="N442" t="n">
        <v>0</v>
      </c>
      <c r="O442" t="n">
        <v>1</v>
      </c>
      <c r="P442" t="n">
        <v>0</v>
      </c>
      <c r="Q442" t="n">
        <v>1</v>
      </c>
      <c r="R442" s="2" t="inlineStr">
        <is>
          <t>Slät tallkapuschongbagge</t>
        </is>
      </c>
      <c r="S442">
        <f>HYPERLINK("https://klasma.github.io/Logging_2104/artfynd/A 35614-2023 artfynd.xlsx", "A 35614-2023")</f>
        <v/>
      </c>
      <c r="T442">
        <f>HYPERLINK("https://klasma.github.io/Logging_2104/kartor/A 35614-2023 karta.png", "A 35614-2023")</f>
        <v/>
      </c>
      <c r="V442">
        <f>HYPERLINK("https://klasma.github.io/Logging_2104/klagomål/A 35614-2023 FSC-klagomål.docx", "A 35614-2023")</f>
        <v/>
      </c>
      <c r="W442">
        <f>HYPERLINK("https://klasma.github.io/Logging_2104/klagomålsmail/A 35614-2023 FSC-klagomål mail.docx", "A 35614-2023")</f>
        <v/>
      </c>
      <c r="X442">
        <f>HYPERLINK("https://klasma.github.io/Logging_2104/tillsyn/A 35614-2023 tillsynsbegäran.docx", "A 35614-2023")</f>
        <v/>
      </c>
      <c r="Y442">
        <f>HYPERLINK("https://klasma.github.io/Logging_2104/tillsynsmail/A 35614-2023 tillsynsbegäran mail.docx", "A 35614-2023")</f>
        <v/>
      </c>
    </row>
    <row r="443" ht="15" customHeight="1">
      <c r="A443" t="inlineStr">
        <is>
          <t>A 36101-2023</t>
        </is>
      </c>
      <c r="B443" s="1" t="n">
        <v>45149</v>
      </c>
      <c r="C443" s="1" t="n">
        <v>45357</v>
      </c>
      <c r="D443" t="inlineStr">
        <is>
          <t>GÄVLEBORGS LÄN</t>
        </is>
      </c>
      <c r="E443" t="inlineStr">
        <is>
          <t>LJUSDAL</t>
        </is>
      </c>
      <c r="F443" t="inlineStr">
        <is>
          <t>Sveaskog</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HYPERLINK("https://klasma.github.io/Logging_2161/artfynd/A 36101-2023 artfynd.xlsx", "A 36101-2023")</f>
        <v/>
      </c>
      <c r="T443">
        <f>HYPERLINK("https://klasma.github.io/Logging_2161/kartor/A 36101-2023 karta.png", "A 36101-2023")</f>
        <v/>
      </c>
      <c r="V443">
        <f>HYPERLINK("https://klasma.github.io/Logging_2161/klagomål/A 36101-2023 FSC-klagomål.docx", "A 36101-2023")</f>
        <v/>
      </c>
      <c r="W443">
        <f>HYPERLINK("https://klasma.github.io/Logging_2161/klagomålsmail/A 36101-2023 FSC-klagomål mail.docx", "A 36101-2023")</f>
        <v/>
      </c>
      <c r="X443">
        <f>HYPERLINK("https://klasma.github.io/Logging_2161/tillsyn/A 36101-2023 tillsynsbegäran.docx", "A 36101-2023")</f>
        <v/>
      </c>
      <c r="Y443">
        <f>HYPERLINK("https://klasma.github.io/Logging_2161/tillsynsmail/A 36101-2023 tillsynsbegäran mail.docx", "A 36101-2023")</f>
        <v/>
      </c>
    </row>
    <row r="444" ht="15" customHeight="1">
      <c r="A444" t="inlineStr">
        <is>
          <t>A 36184-2023</t>
        </is>
      </c>
      <c r="B444" s="1" t="n">
        <v>45149</v>
      </c>
      <c r="C444" s="1" t="n">
        <v>45357</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36184-2023 artfynd.xlsx", "A 36184-2023")</f>
        <v/>
      </c>
      <c r="T444">
        <f>HYPERLINK("https://klasma.github.io/Logging_2161/kartor/A 36184-2023 karta.png", "A 36184-2023")</f>
        <v/>
      </c>
      <c r="V444">
        <f>HYPERLINK("https://klasma.github.io/Logging_2161/klagomål/A 36184-2023 FSC-klagomål.docx", "A 36184-2023")</f>
        <v/>
      </c>
      <c r="W444">
        <f>HYPERLINK("https://klasma.github.io/Logging_2161/klagomålsmail/A 36184-2023 FSC-klagomål mail.docx", "A 36184-2023")</f>
        <v/>
      </c>
      <c r="X444">
        <f>HYPERLINK("https://klasma.github.io/Logging_2161/tillsyn/A 36184-2023 tillsynsbegäran.docx", "A 36184-2023")</f>
        <v/>
      </c>
      <c r="Y444">
        <f>HYPERLINK("https://klasma.github.io/Logging_2161/tillsynsmail/A 36184-2023 tillsynsbegäran mail.docx", "A 36184-2023")</f>
        <v/>
      </c>
    </row>
    <row r="445" ht="15" customHeight="1">
      <c r="A445" t="inlineStr">
        <is>
          <t>A 36809-2023</t>
        </is>
      </c>
      <c r="B445" s="1" t="n">
        <v>45154</v>
      </c>
      <c r="C445" s="1" t="n">
        <v>45357</v>
      </c>
      <c r="D445" t="inlineStr">
        <is>
          <t>GÄVLEBORGS LÄN</t>
        </is>
      </c>
      <c r="E445" t="inlineStr">
        <is>
          <t>OVANÅKER</t>
        </is>
      </c>
      <c r="F445" t="inlineStr">
        <is>
          <t>Bergvik skog väst AB</t>
        </is>
      </c>
      <c r="G445" t="n">
        <v>1.7</v>
      </c>
      <c r="H445" t="n">
        <v>0</v>
      </c>
      <c r="I445" t="n">
        <v>0</v>
      </c>
      <c r="J445" t="n">
        <v>1</v>
      </c>
      <c r="K445" t="n">
        <v>0</v>
      </c>
      <c r="L445" t="n">
        <v>0</v>
      </c>
      <c r="M445" t="n">
        <v>0</v>
      </c>
      <c r="N445" t="n">
        <v>0</v>
      </c>
      <c r="O445" t="n">
        <v>1</v>
      </c>
      <c r="P445" t="n">
        <v>0</v>
      </c>
      <c r="Q445" t="n">
        <v>1</v>
      </c>
      <c r="R445" s="2" t="inlineStr">
        <is>
          <t>Garnlav</t>
        </is>
      </c>
      <c r="S445">
        <f>HYPERLINK("https://klasma.github.io/Logging_2121/artfynd/A 36809-2023 artfynd.xlsx", "A 36809-2023")</f>
        <v/>
      </c>
      <c r="T445">
        <f>HYPERLINK("https://klasma.github.io/Logging_2121/kartor/A 36809-2023 karta.png", "A 36809-2023")</f>
        <v/>
      </c>
      <c r="V445">
        <f>HYPERLINK("https://klasma.github.io/Logging_2121/klagomål/A 36809-2023 FSC-klagomål.docx", "A 36809-2023")</f>
        <v/>
      </c>
      <c r="W445">
        <f>HYPERLINK("https://klasma.github.io/Logging_2121/klagomålsmail/A 36809-2023 FSC-klagomål mail.docx", "A 36809-2023")</f>
        <v/>
      </c>
      <c r="X445">
        <f>HYPERLINK("https://klasma.github.io/Logging_2121/tillsyn/A 36809-2023 tillsynsbegäran.docx", "A 36809-2023")</f>
        <v/>
      </c>
      <c r="Y445">
        <f>HYPERLINK("https://klasma.github.io/Logging_2121/tillsynsmail/A 36809-2023 tillsynsbegäran mail.docx", "A 36809-2023")</f>
        <v/>
      </c>
    </row>
    <row r="446" ht="15" customHeight="1">
      <c r="A446" t="inlineStr">
        <is>
          <t>A 37610-2023</t>
        </is>
      </c>
      <c r="B446" s="1" t="n">
        <v>45159</v>
      </c>
      <c r="C446" s="1" t="n">
        <v>45357</v>
      </c>
      <c r="D446" t="inlineStr">
        <is>
          <t>GÄVLEBORGS LÄN</t>
        </is>
      </c>
      <c r="E446" t="inlineStr">
        <is>
          <t>LJUSDAL</t>
        </is>
      </c>
      <c r="F446" t="inlineStr">
        <is>
          <t>Sveaskog</t>
        </is>
      </c>
      <c r="G446" t="n">
        <v>1.2</v>
      </c>
      <c r="H446" t="n">
        <v>0</v>
      </c>
      <c r="I446" t="n">
        <v>0</v>
      </c>
      <c r="J446" t="n">
        <v>1</v>
      </c>
      <c r="K446" t="n">
        <v>0</v>
      </c>
      <c r="L446" t="n">
        <v>0</v>
      </c>
      <c r="M446" t="n">
        <v>0</v>
      </c>
      <c r="N446" t="n">
        <v>0</v>
      </c>
      <c r="O446" t="n">
        <v>1</v>
      </c>
      <c r="P446" t="n">
        <v>0</v>
      </c>
      <c r="Q446" t="n">
        <v>1</v>
      </c>
      <c r="R446" s="2" t="inlineStr">
        <is>
          <t>Kolflarnlav</t>
        </is>
      </c>
      <c r="S446">
        <f>HYPERLINK("https://klasma.github.io/Logging_2161/artfynd/A 37610-2023 artfynd.xlsx", "A 37610-2023")</f>
        <v/>
      </c>
      <c r="T446">
        <f>HYPERLINK("https://klasma.github.io/Logging_2161/kartor/A 37610-2023 karta.png", "A 37610-2023")</f>
        <v/>
      </c>
      <c r="V446">
        <f>HYPERLINK("https://klasma.github.io/Logging_2161/klagomål/A 37610-2023 FSC-klagomål.docx", "A 37610-2023")</f>
        <v/>
      </c>
      <c r="W446">
        <f>HYPERLINK("https://klasma.github.io/Logging_2161/klagomålsmail/A 37610-2023 FSC-klagomål mail.docx", "A 37610-2023")</f>
        <v/>
      </c>
      <c r="X446">
        <f>HYPERLINK("https://klasma.github.io/Logging_2161/tillsyn/A 37610-2023 tillsynsbegäran.docx", "A 37610-2023")</f>
        <v/>
      </c>
      <c r="Y446">
        <f>HYPERLINK("https://klasma.github.io/Logging_2161/tillsynsmail/A 37610-2023 tillsynsbegäran mail.docx", "A 37610-2023")</f>
        <v/>
      </c>
    </row>
    <row r="447" ht="15" customHeight="1">
      <c r="A447" t="inlineStr">
        <is>
          <t>A 37660-2023</t>
        </is>
      </c>
      <c r="B447" s="1" t="n">
        <v>45159</v>
      </c>
      <c r="C447" s="1" t="n">
        <v>45357</v>
      </c>
      <c r="D447" t="inlineStr">
        <is>
          <t>GÄVLEBORGS LÄN</t>
        </is>
      </c>
      <c r="E447" t="inlineStr">
        <is>
          <t>LJUSDAL</t>
        </is>
      </c>
      <c r="F447" t="inlineStr">
        <is>
          <t>Sveaskog</t>
        </is>
      </c>
      <c r="G447" t="n">
        <v>8.300000000000001</v>
      </c>
      <c r="H447" t="n">
        <v>0</v>
      </c>
      <c r="I447" t="n">
        <v>0</v>
      </c>
      <c r="J447" t="n">
        <v>1</v>
      </c>
      <c r="K447" t="n">
        <v>0</v>
      </c>
      <c r="L447" t="n">
        <v>0</v>
      </c>
      <c r="M447" t="n">
        <v>0</v>
      </c>
      <c r="N447" t="n">
        <v>0</v>
      </c>
      <c r="O447" t="n">
        <v>1</v>
      </c>
      <c r="P447" t="n">
        <v>0</v>
      </c>
      <c r="Q447" t="n">
        <v>1</v>
      </c>
      <c r="R447" s="2" t="inlineStr">
        <is>
          <t>Lunglav</t>
        </is>
      </c>
      <c r="S447">
        <f>HYPERLINK("https://klasma.github.io/Logging_2161/artfynd/A 37660-2023 artfynd.xlsx", "A 37660-2023")</f>
        <v/>
      </c>
      <c r="T447">
        <f>HYPERLINK("https://klasma.github.io/Logging_2161/kartor/A 37660-2023 karta.png", "A 37660-2023")</f>
        <v/>
      </c>
      <c r="V447">
        <f>HYPERLINK("https://klasma.github.io/Logging_2161/klagomål/A 37660-2023 FSC-klagomål.docx", "A 37660-2023")</f>
        <v/>
      </c>
      <c r="W447">
        <f>HYPERLINK("https://klasma.github.io/Logging_2161/klagomålsmail/A 37660-2023 FSC-klagomål mail.docx", "A 37660-2023")</f>
        <v/>
      </c>
      <c r="X447">
        <f>HYPERLINK("https://klasma.github.io/Logging_2161/tillsyn/A 37660-2023 tillsynsbegäran.docx", "A 37660-2023")</f>
        <v/>
      </c>
      <c r="Y447">
        <f>HYPERLINK("https://klasma.github.io/Logging_2161/tillsynsmail/A 37660-2023 tillsynsbegäran mail.docx", "A 37660-2023")</f>
        <v/>
      </c>
    </row>
    <row r="448" ht="15" customHeight="1">
      <c r="A448" t="inlineStr">
        <is>
          <t>A 38400-2023</t>
        </is>
      </c>
      <c r="B448" s="1" t="n">
        <v>45162</v>
      </c>
      <c r="C448" s="1" t="n">
        <v>45357</v>
      </c>
      <c r="D448" t="inlineStr">
        <is>
          <t>GÄVLEBORGS LÄN</t>
        </is>
      </c>
      <c r="E448" t="inlineStr">
        <is>
          <t>LJUSDAL</t>
        </is>
      </c>
      <c r="G448" t="n">
        <v>7</v>
      </c>
      <c r="H448" t="n">
        <v>1</v>
      </c>
      <c r="I448" t="n">
        <v>0</v>
      </c>
      <c r="J448" t="n">
        <v>0</v>
      </c>
      <c r="K448" t="n">
        <v>1</v>
      </c>
      <c r="L448" t="n">
        <v>0</v>
      </c>
      <c r="M448" t="n">
        <v>0</v>
      </c>
      <c r="N448" t="n">
        <v>0</v>
      </c>
      <c r="O448" t="n">
        <v>1</v>
      </c>
      <c r="P448" t="n">
        <v>1</v>
      </c>
      <c r="Q448" t="n">
        <v>1</v>
      </c>
      <c r="R448" s="2" t="inlineStr">
        <is>
          <t>Knärot</t>
        </is>
      </c>
      <c r="S448">
        <f>HYPERLINK("https://klasma.github.io/Logging_2161/artfynd/A 38400-2023 artfynd.xlsx", "A 38400-2023")</f>
        <v/>
      </c>
      <c r="T448">
        <f>HYPERLINK("https://klasma.github.io/Logging_2161/kartor/A 38400-2023 karta.png", "A 38400-2023")</f>
        <v/>
      </c>
      <c r="U448">
        <f>HYPERLINK("https://klasma.github.io/Logging_2161/knärot/A 38400-2023 karta knärot.png", "A 38400-2023")</f>
        <v/>
      </c>
      <c r="V448">
        <f>HYPERLINK("https://klasma.github.io/Logging_2161/klagomål/A 38400-2023 FSC-klagomål.docx", "A 38400-2023")</f>
        <v/>
      </c>
      <c r="W448">
        <f>HYPERLINK("https://klasma.github.io/Logging_2161/klagomålsmail/A 38400-2023 FSC-klagomål mail.docx", "A 38400-2023")</f>
        <v/>
      </c>
      <c r="X448">
        <f>HYPERLINK("https://klasma.github.io/Logging_2161/tillsyn/A 38400-2023 tillsynsbegäran.docx", "A 38400-2023")</f>
        <v/>
      </c>
      <c r="Y448">
        <f>HYPERLINK("https://klasma.github.io/Logging_2161/tillsynsmail/A 38400-2023 tillsynsbegäran mail.docx", "A 38400-2023")</f>
        <v/>
      </c>
    </row>
    <row r="449" ht="15" customHeight="1">
      <c r="A449" t="inlineStr">
        <is>
          <t>A 39001-2023</t>
        </is>
      </c>
      <c r="B449" s="1" t="n">
        <v>45163</v>
      </c>
      <c r="C449" s="1" t="n">
        <v>45357</v>
      </c>
      <c r="D449" t="inlineStr">
        <is>
          <t>GÄVLEBORGS LÄN</t>
        </is>
      </c>
      <c r="E449" t="inlineStr">
        <is>
          <t>HOFORS</t>
        </is>
      </c>
      <c r="F449" t="inlineStr">
        <is>
          <t>Sveaskog</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HYPERLINK("https://klasma.github.io/Logging_2104/artfynd/A 39001-2023 artfynd.xlsx", "A 39001-2023")</f>
        <v/>
      </c>
      <c r="T449">
        <f>HYPERLINK("https://klasma.github.io/Logging_2104/kartor/A 39001-2023 karta.png", "A 39001-2023")</f>
        <v/>
      </c>
      <c r="V449">
        <f>HYPERLINK("https://klasma.github.io/Logging_2104/klagomål/A 39001-2023 FSC-klagomål.docx", "A 39001-2023")</f>
        <v/>
      </c>
      <c r="W449">
        <f>HYPERLINK("https://klasma.github.io/Logging_2104/klagomålsmail/A 39001-2023 FSC-klagomål mail.docx", "A 39001-2023")</f>
        <v/>
      </c>
      <c r="X449">
        <f>HYPERLINK("https://klasma.github.io/Logging_2104/tillsyn/A 39001-2023 tillsynsbegäran.docx", "A 39001-2023")</f>
        <v/>
      </c>
      <c r="Y449">
        <f>HYPERLINK("https://klasma.github.io/Logging_2104/tillsynsmail/A 39001-2023 tillsynsbegäran mail.docx", "A 39001-2023")</f>
        <v/>
      </c>
    </row>
    <row r="450" ht="15" customHeight="1">
      <c r="A450" t="inlineStr">
        <is>
          <t>A 40943-2023</t>
        </is>
      </c>
      <c r="B450" s="1" t="n">
        <v>45173</v>
      </c>
      <c r="C450" s="1" t="n">
        <v>45357</v>
      </c>
      <c r="D450" t="inlineStr">
        <is>
          <t>GÄVLEBORGS LÄN</t>
        </is>
      </c>
      <c r="E450" t="inlineStr">
        <is>
          <t>LJUSDAL</t>
        </is>
      </c>
      <c r="G450" t="n">
        <v>5.8</v>
      </c>
      <c r="H450" t="n">
        <v>0</v>
      </c>
      <c r="I450" t="n">
        <v>0</v>
      </c>
      <c r="J450" t="n">
        <v>1</v>
      </c>
      <c r="K450" t="n">
        <v>0</v>
      </c>
      <c r="L450" t="n">
        <v>0</v>
      </c>
      <c r="M450" t="n">
        <v>0</v>
      </c>
      <c r="N450" t="n">
        <v>0</v>
      </c>
      <c r="O450" t="n">
        <v>1</v>
      </c>
      <c r="P450" t="n">
        <v>0</v>
      </c>
      <c r="Q450" t="n">
        <v>1</v>
      </c>
      <c r="R450" s="2" t="inlineStr">
        <is>
          <t>Mörk kolflarnlav</t>
        </is>
      </c>
      <c r="S450">
        <f>HYPERLINK("https://klasma.github.io/Logging_2161/artfynd/A 40943-2023 artfynd.xlsx", "A 40943-2023")</f>
        <v/>
      </c>
      <c r="T450">
        <f>HYPERLINK("https://klasma.github.io/Logging_2161/kartor/A 40943-2023 karta.png", "A 40943-2023")</f>
        <v/>
      </c>
      <c r="V450">
        <f>HYPERLINK("https://klasma.github.io/Logging_2161/klagomål/A 40943-2023 FSC-klagomål.docx", "A 40943-2023")</f>
        <v/>
      </c>
      <c r="W450">
        <f>HYPERLINK("https://klasma.github.io/Logging_2161/klagomålsmail/A 40943-2023 FSC-klagomål mail.docx", "A 40943-2023")</f>
        <v/>
      </c>
      <c r="X450">
        <f>HYPERLINK("https://klasma.github.io/Logging_2161/tillsyn/A 40943-2023 tillsynsbegäran.docx", "A 40943-2023")</f>
        <v/>
      </c>
      <c r="Y450">
        <f>HYPERLINK("https://klasma.github.io/Logging_2161/tillsynsmail/A 40943-2023 tillsynsbegäran mail.docx", "A 40943-2023")</f>
        <v/>
      </c>
    </row>
    <row r="451" ht="15" customHeight="1">
      <c r="A451" t="inlineStr">
        <is>
          <t>A 42115-2023</t>
        </is>
      </c>
      <c r="B451" s="1" t="n">
        <v>45177</v>
      </c>
      <c r="C451" s="1" t="n">
        <v>45357</v>
      </c>
      <c r="D451" t="inlineStr">
        <is>
          <t>GÄVLEBORGS LÄN</t>
        </is>
      </c>
      <c r="E451" t="inlineStr">
        <is>
          <t>SANDVIKEN</t>
        </is>
      </c>
      <c r="F451" t="inlineStr">
        <is>
          <t>Sveaskog</t>
        </is>
      </c>
      <c r="G451" t="n">
        <v>2.4</v>
      </c>
      <c r="H451" t="n">
        <v>1</v>
      </c>
      <c r="I451" t="n">
        <v>0</v>
      </c>
      <c r="J451" t="n">
        <v>1</v>
      </c>
      <c r="K451" t="n">
        <v>0</v>
      </c>
      <c r="L451" t="n">
        <v>0</v>
      </c>
      <c r="M451" t="n">
        <v>0</v>
      </c>
      <c r="N451" t="n">
        <v>0</v>
      </c>
      <c r="O451" t="n">
        <v>1</v>
      </c>
      <c r="P451" t="n">
        <v>0</v>
      </c>
      <c r="Q451" t="n">
        <v>1</v>
      </c>
      <c r="R451" s="2" t="inlineStr">
        <is>
          <t>Talltita</t>
        </is>
      </c>
      <c r="S451">
        <f>HYPERLINK("https://klasma.github.io/Logging_2181/artfynd/A 42115-2023 artfynd.xlsx", "A 42115-2023")</f>
        <v/>
      </c>
      <c r="T451">
        <f>HYPERLINK("https://klasma.github.io/Logging_2181/kartor/A 42115-2023 karta.png", "A 42115-2023")</f>
        <v/>
      </c>
      <c r="V451">
        <f>HYPERLINK("https://klasma.github.io/Logging_2181/klagomål/A 42115-2023 FSC-klagomål.docx", "A 42115-2023")</f>
        <v/>
      </c>
      <c r="W451">
        <f>HYPERLINK("https://klasma.github.io/Logging_2181/klagomålsmail/A 42115-2023 FSC-klagomål mail.docx", "A 42115-2023")</f>
        <v/>
      </c>
      <c r="X451">
        <f>HYPERLINK("https://klasma.github.io/Logging_2181/tillsyn/A 42115-2023 tillsynsbegäran.docx", "A 42115-2023")</f>
        <v/>
      </c>
      <c r="Y451">
        <f>HYPERLINK("https://klasma.github.io/Logging_2181/tillsynsmail/A 42115-2023 tillsynsbegäran mail.docx", "A 42115-2023")</f>
        <v/>
      </c>
      <c r="Z451">
        <f>HYPERLINK("https://klasma.github.io/Logging_2181/fåglar/A 42115-2023 prioriterade fågelarter.docx", "A 42115-2023")</f>
        <v/>
      </c>
    </row>
    <row r="452" ht="15" customHeight="1">
      <c r="A452" t="inlineStr">
        <is>
          <t>A 44032-2023</t>
        </is>
      </c>
      <c r="B452" s="1" t="n">
        <v>45188</v>
      </c>
      <c r="C452" s="1" t="n">
        <v>45357</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45204-2023</t>
        </is>
      </c>
      <c r="B453" s="1" t="n">
        <v>45191</v>
      </c>
      <c r="C453" s="1" t="n">
        <v>45357</v>
      </c>
      <c r="D453" t="inlineStr">
        <is>
          <t>GÄVLEBORGS LÄN</t>
        </is>
      </c>
      <c r="E453" t="inlineStr">
        <is>
          <t>LJUSDAL</t>
        </is>
      </c>
      <c r="F453" t="inlineStr">
        <is>
          <t>Sveaskog</t>
        </is>
      </c>
      <c r="G453" t="n">
        <v>5.1</v>
      </c>
      <c r="H453" t="n">
        <v>0</v>
      </c>
      <c r="I453" t="n">
        <v>0</v>
      </c>
      <c r="J453" t="n">
        <v>1</v>
      </c>
      <c r="K453" t="n">
        <v>0</v>
      </c>
      <c r="L453" t="n">
        <v>0</v>
      </c>
      <c r="M453" t="n">
        <v>0</v>
      </c>
      <c r="N453" t="n">
        <v>0</v>
      </c>
      <c r="O453" t="n">
        <v>1</v>
      </c>
      <c r="P453" t="n">
        <v>0</v>
      </c>
      <c r="Q453" t="n">
        <v>1</v>
      </c>
      <c r="R453" s="2" t="inlineStr">
        <is>
          <t>Lunglav</t>
        </is>
      </c>
      <c r="S453">
        <f>HYPERLINK("https://klasma.github.io/Logging_2161/artfynd/A 45204-2023 artfynd.xlsx", "A 45204-2023")</f>
        <v/>
      </c>
      <c r="T453">
        <f>HYPERLINK("https://klasma.github.io/Logging_2161/kartor/A 45204-2023 karta.png", "A 45204-2023")</f>
        <v/>
      </c>
      <c r="V453">
        <f>HYPERLINK("https://klasma.github.io/Logging_2161/klagomål/A 45204-2023 FSC-klagomål.docx", "A 45204-2023")</f>
        <v/>
      </c>
      <c r="W453">
        <f>HYPERLINK("https://klasma.github.io/Logging_2161/klagomålsmail/A 45204-2023 FSC-klagomål mail.docx", "A 45204-2023")</f>
        <v/>
      </c>
      <c r="X453">
        <f>HYPERLINK("https://klasma.github.io/Logging_2161/tillsyn/A 45204-2023 tillsynsbegäran.docx", "A 45204-2023")</f>
        <v/>
      </c>
      <c r="Y453">
        <f>HYPERLINK("https://klasma.github.io/Logging_2161/tillsynsmail/A 45204-2023 tillsynsbegäran mail.docx", "A 45204-2023")</f>
        <v/>
      </c>
    </row>
    <row r="454" ht="15" customHeight="1">
      <c r="A454" t="inlineStr">
        <is>
          <t>A 45427-2023</t>
        </is>
      </c>
      <c r="B454" s="1" t="n">
        <v>45194</v>
      </c>
      <c r="C454" s="1" t="n">
        <v>45357</v>
      </c>
      <c r="D454" t="inlineStr">
        <is>
          <t>GÄVLEBORGS LÄN</t>
        </is>
      </c>
      <c r="E454" t="inlineStr">
        <is>
          <t>SANDVIKEN</t>
        </is>
      </c>
      <c r="F454" t="inlineStr">
        <is>
          <t>Bergvik skog öst AB</t>
        </is>
      </c>
      <c r="G454" t="n">
        <v>3.5</v>
      </c>
      <c r="H454" t="n">
        <v>1</v>
      </c>
      <c r="I454" t="n">
        <v>0</v>
      </c>
      <c r="J454" t="n">
        <v>0</v>
      </c>
      <c r="K454" t="n">
        <v>0</v>
      </c>
      <c r="L454" t="n">
        <v>0</v>
      </c>
      <c r="M454" t="n">
        <v>0</v>
      </c>
      <c r="N454" t="n">
        <v>0</v>
      </c>
      <c r="O454" t="n">
        <v>0</v>
      </c>
      <c r="P454" t="n">
        <v>0</v>
      </c>
      <c r="Q454" t="n">
        <v>1</v>
      </c>
      <c r="R454" s="2" t="inlineStr">
        <is>
          <t>Mattlummer</t>
        </is>
      </c>
      <c r="S454">
        <f>HYPERLINK("https://klasma.github.io/Logging_2181/artfynd/A 45427-2023 artfynd.xlsx", "A 45427-2023")</f>
        <v/>
      </c>
      <c r="T454">
        <f>HYPERLINK("https://klasma.github.io/Logging_2181/kartor/A 45427-2023 karta.png", "A 45427-2023")</f>
        <v/>
      </c>
      <c r="V454">
        <f>HYPERLINK("https://klasma.github.io/Logging_2181/klagomål/A 45427-2023 FSC-klagomål.docx", "A 45427-2023")</f>
        <v/>
      </c>
      <c r="W454">
        <f>HYPERLINK("https://klasma.github.io/Logging_2181/klagomålsmail/A 45427-2023 FSC-klagomål mail.docx", "A 45427-2023")</f>
        <v/>
      </c>
      <c r="X454">
        <f>HYPERLINK("https://klasma.github.io/Logging_2181/tillsyn/A 45427-2023 tillsynsbegäran.docx", "A 45427-2023")</f>
        <v/>
      </c>
      <c r="Y454">
        <f>HYPERLINK("https://klasma.github.io/Logging_2181/tillsynsmail/A 45427-2023 tillsynsbegäran mail.docx", "A 45427-2023")</f>
        <v/>
      </c>
    </row>
    <row r="455" ht="15" customHeight="1">
      <c r="A455" t="inlineStr">
        <is>
          <t>A 46903-2023</t>
        </is>
      </c>
      <c r="B455" s="1" t="n">
        <v>45201</v>
      </c>
      <c r="C455" s="1" t="n">
        <v>45357</v>
      </c>
      <c r="D455" t="inlineStr">
        <is>
          <t>GÄVLEBORGS LÄN</t>
        </is>
      </c>
      <c r="E455" t="inlineStr">
        <is>
          <t>HUDIKSVALL</t>
        </is>
      </c>
      <c r="G455" t="n">
        <v>4.9</v>
      </c>
      <c r="H455" t="n">
        <v>1</v>
      </c>
      <c r="I455" t="n">
        <v>0</v>
      </c>
      <c r="J455" t="n">
        <v>0</v>
      </c>
      <c r="K455" t="n">
        <v>1</v>
      </c>
      <c r="L455" t="n">
        <v>0</v>
      </c>
      <c r="M455" t="n">
        <v>0</v>
      </c>
      <c r="N455" t="n">
        <v>0</v>
      </c>
      <c r="O455" t="n">
        <v>1</v>
      </c>
      <c r="P455" t="n">
        <v>1</v>
      </c>
      <c r="Q455" t="n">
        <v>1</v>
      </c>
      <c r="R455" s="2" t="inlineStr">
        <is>
          <t>Knärot</t>
        </is>
      </c>
      <c r="S455">
        <f>HYPERLINK("https://klasma.github.io/Logging_2184/artfynd/A 46903-2023 artfynd.xlsx", "A 46903-2023")</f>
        <v/>
      </c>
      <c r="T455">
        <f>HYPERLINK("https://klasma.github.io/Logging_2184/kartor/A 46903-2023 karta.png", "A 46903-2023")</f>
        <v/>
      </c>
      <c r="U455">
        <f>HYPERLINK("https://klasma.github.io/Logging_2184/knärot/A 46903-2023 karta knärot.png", "A 46903-2023")</f>
        <v/>
      </c>
      <c r="V455">
        <f>HYPERLINK("https://klasma.github.io/Logging_2184/klagomål/A 46903-2023 FSC-klagomål.docx", "A 46903-2023")</f>
        <v/>
      </c>
      <c r="W455">
        <f>HYPERLINK("https://klasma.github.io/Logging_2184/klagomålsmail/A 46903-2023 FSC-klagomål mail.docx", "A 46903-2023")</f>
        <v/>
      </c>
      <c r="X455">
        <f>HYPERLINK("https://klasma.github.io/Logging_2184/tillsyn/A 46903-2023 tillsynsbegäran.docx", "A 46903-2023")</f>
        <v/>
      </c>
      <c r="Y455">
        <f>HYPERLINK("https://klasma.github.io/Logging_2184/tillsynsmail/A 46903-2023 tillsynsbegäran mail.docx", "A 46903-2023")</f>
        <v/>
      </c>
    </row>
    <row r="456" ht="15" customHeight="1">
      <c r="A456" t="inlineStr">
        <is>
          <t>A 47459-2023</t>
        </is>
      </c>
      <c r="B456" s="1" t="n">
        <v>45202</v>
      </c>
      <c r="C456" s="1" t="n">
        <v>45357</v>
      </c>
      <c r="D456" t="inlineStr">
        <is>
          <t>GÄVLEBORGS LÄN</t>
        </is>
      </c>
      <c r="E456" t="inlineStr">
        <is>
          <t>HOFORS</t>
        </is>
      </c>
      <c r="G456" t="n">
        <v>6</v>
      </c>
      <c r="H456" t="n">
        <v>0</v>
      </c>
      <c r="I456" t="n">
        <v>1</v>
      </c>
      <c r="J456" t="n">
        <v>0</v>
      </c>
      <c r="K456" t="n">
        <v>0</v>
      </c>
      <c r="L456" t="n">
        <v>0</v>
      </c>
      <c r="M456" t="n">
        <v>0</v>
      </c>
      <c r="N456" t="n">
        <v>0</v>
      </c>
      <c r="O456" t="n">
        <v>0</v>
      </c>
      <c r="P456" t="n">
        <v>0</v>
      </c>
      <c r="Q456" t="n">
        <v>1</v>
      </c>
      <c r="R456" s="2" t="inlineStr">
        <is>
          <t>Grönpyrola</t>
        </is>
      </c>
      <c r="S456">
        <f>HYPERLINK("https://klasma.github.io/Logging_2104/artfynd/A 47459-2023 artfynd.xlsx", "A 47459-2023")</f>
        <v/>
      </c>
      <c r="T456">
        <f>HYPERLINK("https://klasma.github.io/Logging_2104/kartor/A 47459-2023 karta.png", "A 47459-2023")</f>
        <v/>
      </c>
      <c r="V456">
        <f>HYPERLINK("https://klasma.github.io/Logging_2104/klagomål/A 47459-2023 FSC-klagomål.docx", "A 47459-2023")</f>
        <v/>
      </c>
      <c r="W456">
        <f>HYPERLINK("https://klasma.github.io/Logging_2104/klagomålsmail/A 47459-2023 FSC-klagomål mail.docx", "A 47459-2023")</f>
        <v/>
      </c>
      <c r="X456">
        <f>HYPERLINK("https://klasma.github.io/Logging_2104/tillsyn/A 47459-2023 tillsynsbegäran.docx", "A 47459-2023")</f>
        <v/>
      </c>
      <c r="Y456">
        <f>HYPERLINK("https://klasma.github.io/Logging_2104/tillsynsmail/A 47459-2023 tillsynsbegäran mail.docx", "A 47459-2023")</f>
        <v/>
      </c>
    </row>
    <row r="457" ht="15" customHeight="1">
      <c r="A457" t="inlineStr">
        <is>
          <t>A 47717-2023</t>
        </is>
      </c>
      <c r="B457" s="1" t="n">
        <v>45203</v>
      </c>
      <c r="C457" s="1" t="n">
        <v>45357</v>
      </c>
      <c r="D457" t="inlineStr">
        <is>
          <t>GÄVLEBORGS LÄN</t>
        </is>
      </c>
      <c r="E457" t="inlineStr">
        <is>
          <t>LJUSDAL</t>
        </is>
      </c>
      <c r="F457" t="inlineStr">
        <is>
          <t>Sveaskog</t>
        </is>
      </c>
      <c r="G457" t="n">
        <v>3.8</v>
      </c>
      <c r="H457" t="n">
        <v>0</v>
      </c>
      <c r="I457" t="n">
        <v>0</v>
      </c>
      <c r="J457" t="n">
        <v>1</v>
      </c>
      <c r="K457" t="n">
        <v>0</v>
      </c>
      <c r="L457" t="n">
        <v>0</v>
      </c>
      <c r="M457" t="n">
        <v>0</v>
      </c>
      <c r="N457" t="n">
        <v>0</v>
      </c>
      <c r="O457" t="n">
        <v>1</v>
      </c>
      <c r="P457" t="n">
        <v>0</v>
      </c>
      <c r="Q457" t="n">
        <v>1</v>
      </c>
      <c r="R457" s="2" t="inlineStr">
        <is>
          <t>Lunglav</t>
        </is>
      </c>
      <c r="S457">
        <f>HYPERLINK("https://klasma.github.io/Logging_2161/artfynd/A 47717-2023 artfynd.xlsx", "A 47717-2023")</f>
        <v/>
      </c>
      <c r="T457">
        <f>HYPERLINK("https://klasma.github.io/Logging_2161/kartor/A 47717-2023 karta.png", "A 47717-2023")</f>
        <v/>
      </c>
      <c r="V457">
        <f>HYPERLINK("https://klasma.github.io/Logging_2161/klagomål/A 47717-2023 FSC-klagomål.docx", "A 47717-2023")</f>
        <v/>
      </c>
      <c r="W457">
        <f>HYPERLINK("https://klasma.github.io/Logging_2161/klagomålsmail/A 47717-2023 FSC-klagomål mail.docx", "A 47717-2023")</f>
        <v/>
      </c>
      <c r="X457">
        <f>HYPERLINK("https://klasma.github.io/Logging_2161/tillsyn/A 47717-2023 tillsynsbegäran.docx", "A 47717-2023")</f>
        <v/>
      </c>
      <c r="Y457">
        <f>HYPERLINK("https://klasma.github.io/Logging_2161/tillsynsmail/A 47717-2023 tillsynsbegäran mail.docx", "A 47717-2023")</f>
        <v/>
      </c>
    </row>
    <row r="458" ht="15" customHeight="1">
      <c r="A458" t="inlineStr">
        <is>
          <t>A 49122-2023</t>
        </is>
      </c>
      <c r="B458" s="1" t="n">
        <v>45205</v>
      </c>
      <c r="C458" s="1" t="n">
        <v>45357</v>
      </c>
      <c r="D458" t="inlineStr">
        <is>
          <t>GÄVLEBORGS LÄN</t>
        </is>
      </c>
      <c r="E458" t="inlineStr">
        <is>
          <t>SÖDERHAMN</t>
        </is>
      </c>
      <c r="G458" t="n">
        <v>5</v>
      </c>
      <c r="H458" t="n">
        <v>0</v>
      </c>
      <c r="I458" t="n">
        <v>0</v>
      </c>
      <c r="J458" t="n">
        <v>1</v>
      </c>
      <c r="K458" t="n">
        <v>0</v>
      </c>
      <c r="L458" t="n">
        <v>0</v>
      </c>
      <c r="M458" t="n">
        <v>0</v>
      </c>
      <c r="N458" t="n">
        <v>0</v>
      </c>
      <c r="O458" t="n">
        <v>1</v>
      </c>
      <c r="P458" t="n">
        <v>0</v>
      </c>
      <c r="Q458" t="n">
        <v>1</v>
      </c>
      <c r="R458" s="2" t="inlineStr">
        <is>
          <t>Dofttaggsvamp</t>
        </is>
      </c>
      <c r="S458">
        <f>HYPERLINK("https://klasma.github.io/Logging_2182/artfynd/A 49122-2023 artfynd.xlsx", "A 49122-2023")</f>
        <v/>
      </c>
      <c r="T458">
        <f>HYPERLINK("https://klasma.github.io/Logging_2182/kartor/A 49122-2023 karta.png", "A 49122-2023")</f>
        <v/>
      </c>
      <c r="V458">
        <f>HYPERLINK("https://klasma.github.io/Logging_2182/klagomål/A 49122-2023 FSC-klagomål.docx", "A 49122-2023")</f>
        <v/>
      </c>
      <c r="W458">
        <f>HYPERLINK("https://klasma.github.io/Logging_2182/klagomålsmail/A 49122-2023 FSC-klagomål mail.docx", "A 49122-2023")</f>
        <v/>
      </c>
      <c r="X458">
        <f>HYPERLINK("https://klasma.github.io/Logging_2182/tillsyn/A 49122-2023 tillsynsbegäran.docx", "A 49122-2023")</f>
        <v/>
      </c>
      <c r="Y458">
        <f>HYPERLINK("https://klasma.github.io/Logging_2182/tillsynsmail/A 49122-2023 tillsynsbegäran mail.docx", "A 49122-2023")</f>
        <v/>
      </c>
    </row>
    <row r="459" ht="15" customHeight="1">
      <c r="A459" t="inlineStr">
        <is>
          <t>A 48983-2023</t>
        </is>
      </c>
      <c r="B459" s="1" t="n">
        <v>45209</v>
      </c>
      <c r="C459" s="1" t="n">
        <v>45357</v>
      </c>
      <c r="D459" t="inlineStr">
        <is>
          <t>GÄVLEBORGS LÄN</t>
        </is>
      </c>
      <c r="E459" t="inlineStr">
        <is>
          <t>BOLLNÄS</t>
        </is>
      </c>
      <c r="G459" t="n">
        <v>4.4</v>
      </c>
      <c r="H459" t="n">
        <v>1</v>
      </c>
      <c r="I459" t="n">
        <v>0</v>
      </c>
      <c r="J459" t="n">
        <v>1</v>
      </c>
      <c r="K459" t="n">
        <v>0</v>
      </c>
      <c r="L459" t="n">
        <v>0</v>
      </c>
      <c r="M459" t="n">
        <v>0</v>
      </c>
      <c r="N459" t="n">
        <v>0</v>
      </c>
      <c r="O459" t="n">
        <v>1</v>
      </c>
      <c r="P459" t="n">
        <v>0</v>
      </c>
      <c r="Q459" t="n">
        <v>1</v>
      </c>
      <c r="R459" s="2" t="inlineStr">
        <is>
          <t>Tretåig hackspett</t>
        </is>
      </c>
      <c r="S459">
        <f>HYPERLINK("https://klasma.github.io/Logging_2183/artfynd/A 48983-2023 artfynd.xlsx", "A 48983-2023")</f>
        <v/>
      </c>
      <c r="T459">
        <f>HYPERLINK("https://klasma.github.io/Logging_2183/kartor/A 48983-2023 karta.png", "A 48983-2023")</f>
        <v/>
      </c>
      <c r="V459">
        <f>HYPERLINK("https://klasma.github.io/Logging_2183/klagomål/A 48983-2023 FSC-klagomål.docx", "A 48983-2023")</f>
        <v/>
      </c>
      <c r="W459">
        <f>HYPERLINK("https://klasma.github.io/Logging_2183/klagomålsmail/A 48983-2023 FSC-klagomål mail.docx", "A 48983-2023")</f>
        <v/>
      </c>
      <c r="X459">
        <f>HYPERLINK("https://klasma.github.io/Logging_2183/tillsyn/A 48983-2023 tillsynsbegäran.docx", "A 48983-2023")</f>
        <v/>
      </c>
      <c r="Y459">
        <f>HYPERLINK("https://klasma.github.io/Logging_2183/tillsynsmail/A 48983-2023 tillsynsbegäran mail.docx", "A 48983-2023")</f>
        <v/>
      </c>
      <c r="Z459">
        <f>HYPERLINK("https://klasma.github.io/Logging_2183/fåglar/A 48983-2023 prioriterade fågelarter.docx", "A 48983-2023")</f>
        <v/>
      </c>
    </row>
    <row r="460" ht="15" customHeight="1">
      <c r="A460" t="inlineStr">
        <is>
          <t>A 49279-2023</t>
        </is>
      </c>
      <c r="B460" s="1" t="n">
        <v>45210</v>
      </c>
      <c r="C460" s="1" t="n">
        <v>45357</v>
      </c>
      <c r="D460" t="inlineStr">
        <is>
          <t>GÄVLEBORGS LÄN</t>
        </is>
      </c>
      <c r="E460" t="inlineStr">
        <is>
          <t>OVANÅKER</t>
        </is>
      </c>
      <c r="F460" t="inlineStr">
        <is>
          <t>Bergvik skog öst AB</t>
        </is>
      </c>
      <c r="G460" t="n">
        <v>13.6</v>
      </c>
      <c r="H460" t="n">
        <v>0</v>
      </c>
      <c r="I460" t="n">
        <v>1</v>
      </c>
      <c r="J460" t="n">
        <v>0</v>
      </c>
      <c r="K460" t="n">
        <v>0</v>
      </c>
      <c r="L460" t="n">
        <v>0</v>
      </c>
      <c r="M460" t="n">
        <v>0</v>
      </c>
      <c r="N460" t="n">
        <v>0</v>
      </c>
      <c r="O460" t="n">
        <v>0</v>
      </c>
      <c r="P460" t="n">
        <v>0</v>
      </c>
      <c r="Q460" t="n">
        <v>1</v>
      </c>
      <c r="R460" s="2" t="inlineStr">
        <is>
          <t>Smal svampklubba</t>
        </is>
      </c>
      <c r="S460">
        <f>HYPERLINK("https://klasma.github.io/Logging_2121/artfynd/A 49279-2023 artfynd.xlsx", "A 49279-2023")</f>
        <v/>
      </c>
      <c r="T460">
        <f>HYPERLINK("https://klasma.github.io/Logging_2121/kartor/A 49279-2023 karta.png", "A 49279-2023")</f>
        <v/>
      </c>
      <c r="V460">
        <f>HYPERLINK("https://klasma.github.io/Logging_2121/klagomål/A 49279-2023 FSC-klagomål.docx", "A 49279-2023")</f>
        <v/>
      </c>
      <c r="W460">
        <f>HYPERLINK("https://klasma.github.io/Logging_2121/klagomålsmail/A 49279-2023 FSC-klagomål mail.docx", "A 49279-2023")</f>
        <v/>
      </c>
      <c r="X460">
        <f>HYPERLINK("https://klasma.github.io/Logging_2121/tillsyn/A 49279-2023 tillsynsbegäran.docx", "A 49279-2023")</f>
        <v/>
      </c>
      <c r="Y460">
        <f>HYPERLINK("https://klasma.github.io/Logging_2121/tillsynsmail/A 49279-2023 tillsynsbegäran mail.docx", "A 49279-2023")</f>
        <v/>
      </c>
    </row>
    <row r="461" ht="15" customHeight="1">
      <c r="A461" t="inlineStr">
        <is>
          <t>A 50257-2023</t>
        </is>
      </c>
      <c r="B461" s="1" t="n">
        <v>45216</v>
      </c>
      <c r="C461" s="1" t="n">
        <v>45357</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50257-2023 artfynd.xlsx", "A 50257-2023")</f>
        <v/>
      </c>
      <c r="T461">
        <f>HYPERLINK("https://klasma.github.io/Logging_2161/kartor/A 50257-2023 karta.png", "A 50257-2023")</f>
        <v/>
      </c>
      <c r="V461">
        <f>HYPERLINK("https://klasma.github.io/Logging_2161/klagomål/A 50257-2023 FSC-klagomål.docx", "A 50257-2023")</f>
        <v/>
      </c>
      <c r="W461">
        <f>HYPERLINK("https://klasma.github.io/Logging_2161/klagomålsmail/A 50257-2023 FSC-klagomål mail.docx", "A 50257-2023")</f>
        <v/>
      </c>
      <c r="X461">
        <f>HYPERLINK("https://klasma.github.io/Logging_2161/tillsyn/A 50257-2023 tillsynsbegäran.docx", "A 50257-2023")</f>
        <v/>
      </c>
      <c r="Y461">
        <f>HYPERLINK("https://klasma.github.io/Logging_2161/tillsynsmail/A 50257-2023 tillsynsbegäran mail.docx", "A 50257-2023")</f>
        <v/>
      </c>
    </row>
    <row r="462" ht="15" customHeight="1">
      <c r="A462" t="inlineStr">
        <is>
          <t>A 50822-2023</t>
        </is>
      </c>
      <c r="B462" s="1" t="n">
        <v>45217</v>
      </c>
      <c r="C462" s="1" t="n">
        <v>45357</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51232-2023</t>
        </is>
      </c>
      <c r="B463" s="1" t="n">
        <v>45219</v>
      </c>
      <c r="C463" s="1" t="n">
        <v>45357</v>
      </c>
      <c r="D463" t="inlineStr">
        <is>
          <t>GÄVLEBORGS LÄN</t>
        </is>
      </c>
      <c r="E463" t="inlineStr">
        <is>
          <t>LJUSDAL</t>
        </is>
      </c>
      <c r="F463" t="inlineStr">
        <is>
          <t>Sveaskog</t>
        </is>
      </c>
      <c r="G463" t="n">
        <v>1.9</v>
      </c>
      <c r="H463" t="n">
        <v>0</v>
      </c>
      <c r="I463" t="n">
        <v>0</v>
      </c>
      <c r="J463" t="n">
        <v>1</v>
      </c>
      <c r="K463" t="n">
        <v>0</v>
      </c>
      <c r="L463" t="n">
        <v>0</v>
      </c>
      <c r="M463" t="n">
        <v>0</v>
      </c>
      <c r="N463" t="n">
        <v>0</v>
      </c>
      <c r="O463" t="n">
        <v>1</v>
      </c>
      <c r="P463" t="n">
        <v>0</v>
      </c>
      <c r="Q463" t="n">
        <v>1</v>
      </c>
      <c r="R463" s="2" t="inlineStr">
        <is>
          <t>Lunglav</t>
        </is>
      </c>
      <c r="S463">
        <f>HYPERLINK("https://klasma.github.io/Logging_2161/artfynd/A 51232-2023 artfynd.xlsx", "A 51232-2023")</f>
        <v/>
      </c>
      <c r="T463">
        <f>HYPERLINK("https://klasma.github.io/Logging_2161/kartor/A 51232-2023 karta.png", "A 51232-2023")</f>
        <v/>
      </c>
      <c r="V463">
        <f>HYPERLINK("https://klasma.github.io/Logging_2161/klagomål/A 51232-2023 FSC-klagomål.docx", "A 51232-2023")</f>
        <v/>
      </c>
      <c r="W463">
        <f>HYPERLINK("https://klasma.github.io/Logging_2161/klagomålsmail/A 51232-2023 FSC-klagomål mail.docx", "A 51232-2023")</f>
        <v/>
      </c>
      <c r="X463">
        <f>HYPERLINK("https://klasma.github.io/Logging_2161/tillsyn/A 51232-2023 tillsynsbegäran.docx", "A 51232-2023")</f>
        <v/>
      </c>
      <c r="Y463">
        <f>HYPERLINK("https://klasma.github.io/Logging_2161/tillsynsmail/A 51232-2023 tillsynsbegäran mail.docx", "A 51232-2023")</f>
        <v/>
      </c>
    </row>
    <row r="464" ht="15" customHeight="1">
      <c r="A464" t="inlineStr">
        <is>
          <t>A 51550-2023</t>
        </is>
      </c>
      <c r="B464" s="1" t="n">
        <v>45222</v>
      </c>
      <c r="C464" s="1" t="n">
        <v>45357</v>
      </c>
      <c r="D464" t="inlineStr">
        <is>
          <t>GÄVLEBORGS LÄN</t>
        </is>
      </c>
      <c r="E464" t="inlineStr">
        <is>
          <t>GÄVLE</t>
        </is>
      </c>
      <c r="F464" t="inlineStr">
        <is>
          <t>Bergvik skog öst AB</t>
        </is>
      </c>
      <c r="G464" t="n">
        <v>16.4</v>
      </c>
      <c r="H464" t="n">
        <v>1</v>
      </c>
      <c r="I464" t="n">
        <v>0</v>
      </c>
      <c r="J464" t="n">
        <v>0</v>
      </c>
      <c r="K464" t="n">
        <v>0</v>
      </c>
      <c r="L464" t="n">
        <v>0</v>
      </c>
      <c r="M464" t="n">
        <v>0</v>
      </c>
      <c r="N464" t="n">
        <v>0</v>
      </c>
      <c r="O464" t="n">
        <v>0</v>
      </c>
      <c r="P464" t="n">
        <v>0</v>
      </c>
      <c r="Q464" t="n">
        <v>1</v>
      </c>
      <c r="R464" s="2" t="inlineStr">
        <is>
          <t>Revlummer</t>
        </is>
      </c>
      <c r="S464">
        <f>HYPERLINK("https://klasma.github.io/Logging_2180/artfynd/A 51550-2023 artfynd.xlsx", "A 51550-2023")</f>
        <v/>
      </c>
      <c r="T464">
        <f>HYPERLINK("https://klasma.github.io/Logging_2180/kartor/A 51550-2023 karta.png", "A 51550-2023")</f>
        <v/>
      </c>
      <c r="V464">
        <f>HYPERLINK("https://klasma.github.io/Logging_2180/klagomål/A 51550-2023 FSC-klagomål.docx", "A 51550-2023")</f>
        <v/>
      </c>
      <c r="W464">
        <f>HYPERLINK("https://klasma.github.io/Logging_2180/klagomålsmail/A 51550-2023 FSC-klagomål mail.docx", "A 51550-2023")</f>
        <v/>
      </c>
      <c r="X464">
        <f>HYPERLINK("https://klasma.github.io/Logging_2180/tillsyn/A 51550-2023 tillsynsbegäran.docx", "A 51550-2023")</f>
        <v/>
      </c>
      <c r="Y464">
        <f>HYPERLINK("https://klasma.github.io/Logging_2180/tillsynsmail/A 51550-2023 tillsynsbegäran mail.docx", "A 51550-2023")</f>
        <v/>
      </c>
    </row>
    <row r="465" ht="15" customHeight="1">
      <c r="A465" t="inlineStr">
        <is>
          <t>A 53286-2023</t>
        </is>
      </c>
      <c r="B465" s="1" t="n">
        <v>45229</v>
      </c>
      <c r="C465" s="1" t="n">
        <v>45357</v>
      </c>
      <c r="D465" t="inlineStr">
        <is>
          <t>GÄVLEBORGS LÄN</t>
        </is>
      </c>
      <c r="E465" t="inlineStr">
        <is>
          <t>LJUSDAL</t>
        </is>
      </c>
      <c r="F465" t="inlineStr">
        <is>
          <t>Sveaskog</t>
        </is>
      </c>
      <c r="G465" t="n">
        <v>8</v>
      </c>
      <c r="H465" t="n">
        <v>0</v>
      </c>
      <c r="I465" t="n">
        <v>0</v>
      </c>
      <c r="J465" t="n">
        <v>1</v>
      </c>
      <c r="K465" t="n">
        <v>0</v>
      </c>
      <c r="L465" t="n">
        <v>0</v>
      </c>
      <c r="M465" t="n">
        <v>0</v>
      </c>
      <c r="N465" t="n">
        <v>0</v>
      </c>
      <c r="O465" t="n">
        <v>1</v>
      </c>
      <c r="P465" t="n">
        <v>0</v>
      </c>
      <c r="Q465" t="n">
        <v>1</v>
      </c>
      <c r="R465" s="2" t="inlineStr">
        <is>
          <t>Kolflarnlav</t>
        </is>
      </c>
      <c r="S465">
        <f>HYPERLINK("https://klasma.github.io/Logging_2161/artfynd/A 53286-2023 artfynd.xlsx", "A 53286-2023")</f>
        <v/>
      </c>
      <c r="T465">
        <f>HYPERLINK("https://klasma.github.io/Logging_2161/kartor/A 53286-2023 karta.png", "A 53286-2023")</f>
        <v/>
      </c>
      <c r="V465">
        <f>HYPERLINK("https://klasma.github.io/Logging_2161/klagomål/A 53286-2023 FSC-klagomål.docx", "A 53286-2023")</f>
        <v/>
      </c>
      <c r="W465">
        <f>HYPERLINK("https://klasma.github.io/Logging_2161/klagomålsmail/A 53286-2023 FSC-klagomål mail.docx", "A 53286-2023")</f>
        <v/>
      </c>
      <c r="X465">
        <f>HYPERLINK("https://klasma.github.io/Logging_2161/tillsyn/A 53286-2023 tillsynsbegäran.docx", "A 53286-2023")</f>
        <v/>
      </c>
      <c r="Y465">
        <f>HYPERLINK("https://klasma.github.io/Logging_2161/tillsynsmail/A 53286-2023 tillsynsbegäran mail.docx", "A 53286-2023")</f>
        <v/>
      </c>
    </row>
    <row r="466" ht="15" customHeight="1">
      <c r="A466" t="inlineStr">
        <is>
          <t>A 53392-2023</t>
        </is>
      </c>
      <c r="B466" s="1" t="n">
        <v>45229</v>
      </c>
      <c r="C466" s="1" t="n">
        <v>45357</v>
      </c>
      <c r="D466" t="inlineStr">
        <is>
          <t>GÄVLEBORGS LÄN</t>
        </is>
      </c>
      <c r="E466" t="inlineStr">
        <is>
          <t>NORDANSTIG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HYPERLINK("https://klasma.github.io/Logging_2132/artfynd/A 53392-2023 artfynd.xlsx", "A 53392-2023")</f>
        <v/>
      </c>
      <c r="T466">
        <f>HYPERLINK("https://klasma.github.io/Logging_2132/kartor/A 53392-2023 karta.png", "A 53392-2023")</f>
        <v/>
      </c>
      <c r="V466">
        <f>HYPERLINK("https://klasma.github.io/Logging_2132/klagomål/A 53392-2023 FSC-klagomål.docx", "A 53392-2023")</f>
        <v/>
      </c>
      <c r="W466">
        <f>HYPERLINK("https://klasma.github.io/Logging_2132/klagomålsmail/A 53392-2023 FSC-klagomål mail.docx", "A 53392-2023")</f>
        <v/>
      </c>
      <c r="X466">
        <f>HYPERLINK("https://klasma.github.io/Logging_2132/tillsyn/A 53392-2023 tillsynsbegäran.docx", "A 53392-2023")</f>
        <v/>
      </c>
      <c r="Y466">
        <f>HYPERLINK("https://klasma.github.io/Logging_2132/tillsynsmail/A 53392-2023 tillsynsbegäran mail.docx", "A 53392-2023")</f>
        <v/>
      </c>
    </row>
    <row r="467" ht="15" customHeight="1">
      <c r="A467" t="inlineStr">
        <is>
          <t>A 53460-2023</t>
        </is>
      </c>
      <c r="B467" s="1" t="n">
        <v>45230</v>
      </c>
      <c r="C467" s="1" t="n">
        <v>45357</v>
      </c>
      <c r="D467" t="inlineStr">
        <is>
          <t>GÄVLEBORGS LÄN</t>
        </is>
      </c>
      <c r="E467" t="inlineStr">
        <is>
          <t>HUDIKSVALL</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HYPERLINK("https://klasma.github.io/Logging_2184/artfynd/A 53460-2023 artfynd.xlsx", "A 53460-2023")</f>
        <v/>
      </c>
      <c r="T467">
        <f>HYPERLINK("https://klasma.github.io/Logging_2184/kartor/A 53460-2023 karta.png", "A 53460-2023")</f>
        <v/>
      </c>
      <c r="V467">
        <f>HYPERLINK("https://klasma.github.io/Logging_2184/klagomål/A 53460-2023 FSC-klagomål.docx", "A 53460-2023")</f>
        <v/>
      </c>
      <c r="W467">
        <f>HYPERLINK("https://klasma.github.io/Logging_2184/klagomålsmail/A 53460-2023 FSC-klagomål mail.docx", "A 53460-2023")</f>
        <v/>
      </c>
      <c r="X467">
        <f>HYPERLINK("https://klasma.github.io/Logging_2184/tillsyn/A 53460-2023 tillsynsbegäran.docx", "A 53460-2023")</f>
        <v/>
      </c>
      <c r="Y467">
        <f>HYPERLINK("https://klasma.github.io/Logging_2184/tillsynsmail/A 53460-2023 tillsynsbegäran mail.docx", "A 53460-2023")</f>
        <v/>
      </c>
    </row>
    <row r="468" ht="15" customHeight="1">
      <c r="A468" t="inlineStr">
        <is>
          <t>A 57279-2023</t>
        </is>
      </c>
      <c r="B468" s="1" t="n">
        <v>45239</v>
      </c>
      <c r="C468" s="1" t="n">
        <v>45357</v>
      </c>
      <c r="D468" t="inlineStr">
        <is>
          <t>GÄVLEBORGS LÄN</t>
        </is>
      </c>
      <c r="E468" t="inlineStr">
        <is>
          <t>BOLLNÄS</t>
        </is>
      </c>
      <c r="F468" t="inlineStr">
        <is>
          <t>Kommuner</t>
        </is>
      </c>
      <c r="G468" t="n">
        <v>3.2</v>
      </c>
      <c r="H468" t="n">
        <v>0</v>
      </c>
      <c r="I468" t="n">
        <v>0</v>
      </c>
      <c r="J468" t="n">
        <v>1</v>
      </c>
      <c r="K468" t="n">
        <v>0</v>
      </c>
      <c r="L468" t="n">
        <v>0</v>
      </c>
      <c r="M468" t="n">
        <v>0</v>
      </c>
      <c r="N468" t="n">
        <v>0</v>
      </c>
      <c r="O468" t="n">
        <v>1</v>
      </c>
      <c r="P468" t="n">
        <v>0</v>
      </c>
      <c r="Q468" t="n">
        <v>1</v>
      </c>
      <c r="R468" s="2" t="inlineStr">
        <is>
          <t>Rosenticka</t>
        </is>
      </c>
      <c r="S468">
        <f>HYPERLINK("https://klasma.github.io/Logging_2183/artfynd/A 57279-2023 artfynd.xlsx", "A 57279-2023")</f>
        <v/>
      </c>
      <c r="T468">
        <f>HYPERLINK("https://klasma.github.io/Logging_2183/kartor/A 57279-2023 karta.png", "A 57279-2023")</f>
        <v/>
      </c>
      <c r="V468">
        <f>HYPERLINK("https://klasma.github.io/Logging_2183/klagomål/A 57279-2023 FSC-klagomål.docx", "A 57279-2023")</f>
        <v/>
      </c>
      <c r="W468">
        <f>HYPERLINK("https://klasma.github.io/Logging_2183/klagomålsmail/A 57279-2023 FSC-klagomål mail.docx", "A 57279-2023")</f>
        <v/>
      </c>
      <c r="X468">
        <f>HYPERLINK("https://klasma.github.io/Logging_2183/tillsyn/A 57279-2023 tillsynsbegäran.docx", "A 57279-2023")</f>
        <v/>
      </c>
      <c r="Y468">
        <f>HYPERLINK("https://klasma.github.io/Logging_2183/tillsynsmail/A 57279-2023 tillsynsbegäran mail.docx", "A 57279-2023")</f>
        <v/>
      </c>
    </row>
    <row r="469" ht="15" customHeight="1">
      <c r="A469" t="inlineStr">
        <is>
          <t>A 56368-2023</t>
        </is>
      </c>
      <c r="B469" s="1" t="n">
        <v>45243</v>
      </c>
      <c r="C469" s="1" t="n">
        <v>45357</v>
      </c>
      <c r="D469" t="inlineStr">
        <is>
          <t>GÄVLEBORGS LÄN</t>
        </is>
      </c>
      <c r="E469" t="inlineStr">
        <is>
          <t>GÄVLE</t>
        </is>
      </c>
      <c r="G469" t="n">
        <v>10.8</v>
      </c>
      <c r="H469" t="n">
        <v>1</v>
      </c>
      <c r="I469" t="n">
        <v>0</v>
      </c>
      <c r="J469" t="n">
        <v>0</v>
      </c>
      <c r="K469" t="n">
        <v>1</v>
      </c>
      <c r="L469" t="n">
        <v>0</v>
      </c>
      <c r="M469" t="n">
        <v>0</v>
      </c>
      <c r="N469" t="n">
        <v>0</v>
      </c>
      <c r="O469" t="n">
        <v>1</v>
      </c>
      <c r="P469" t="n">
        <v>1</v>
      </c>
      <c r="Q469" t="n">
        <v>1</v>
      </c>
      <c r="R469" s="2" t="inlineStr">
        <is>
          <t>Knärot</t>
        </is>
      </c>
      <c r="S469">
        <f>HYPERLINK("https://klasma.github.io/Logging_2180/artfynd/A 56368-2023 artfynd.xlsx", "A 56368-2023")</f>
        <v/>
      </c>
      <c r="T469">
        <f>HYPERLINK("https://klasma.github.io/Logging_2180/kartor/A 56368-2023 karta.png", "A 56368-2023")</f>
        <v/>
      </c>
      <c r="U469">
        <f>HYPERLINK("https://klasma.github.io/Logging_2180/knärot/A 56368-2023 karta knärot.png", "A 56368-2023")</f>
        <v/>
      </c>
      <c r="V469">
        <f>HYPERLINK("https://klasma.github.io/Logging_2180/klagomål/A 56368-2023 FSC-klagomål.docx", "A 56368-2023")</f>
        <v/>
      </c>
      <c r="W469">
        <f>HYPERLINK("https://klasma.github.io/Logging_2180/klagomålsmail/A 56368-2023 FSC-klagomål mail.docx", "A 56368-2023")</f>
        <v/>
      </c>
      <c r="X469">
        <f>HYPERLINK("https://klasma.github.io/Logging_2180/tillsyn/A 56368-2023 tillsynsbegäran.docx", "A 56368-2023")</f>
        <v/>
      </c>
      <c r="Y469">
        <f>HYPERLINK("https://klasma.github.io/Logging_2180/tillsynsmail/A 56368-2023 tillsynsbegäran mail.docx", "A 56368-2023")</f>
        <v/>
      </c>
    </row>
    <row r="470" ht="15" customHeight="1">
      <c r="A470" t="inlineStr">
        <is>
          <t>A 57086-2023</t>
        </is>
      </c>
      <c r="B470" s="1" t="n">
        <v>45245</v>
      </c>
      <c r="C470" s="1" t="n">
        <v>45357</v>
      </c>
      <c r="D470" t="inlineStr">
        <is>
          <t>GÄVLEBORGS LÄN</t>
        </is>
      </c>
      <c r="E470" t="inlineStr">
        <is>
          <t>SANDVIKEN</t>
        </is>
      </c>
      <c r="F470" t="inlineStr">
        <is>
          <t>Bergvik skog öst AB</t>
        </is>
      </c>
      <c r="G470" t="n">
        <v>6.9</v>
      </c>
      <c r="H470" t="n">
        <v>1</v>
      </c>
      <c r="I470" t="n">
        <v>0</v>
      </c>
      <c r="J470" t="n">
        <v>0</v>
      </c>
      <c r="K470" t="n">
        <v>0</v>
      </c>
      <c r="L470" t="n">
        <v>0</v>
      </c>
      <c r="M470" t="n">
        <v>0</v>
      </c>
      <c r="N470" t="n">
        <v>0</v>
      </c>
      <c r="O470" t="n">
        <v>0</v>
      </c>
      <c r="P470" t="n">
        <v>0</v>
      </c>
      <c r="Q470" t="n">
        <v>1</v>
      </c>
      <c r="R470" s="2" t="inlineStr">
        <is>
          <t>Blåsippa</t>
        </is>
      </c>
      <c r="S470">
        <f>HYPERLINK("https://klasma.github.io/Logging_2181/artfynd/A 57086-2023 artfynd.xlsx", "A 57086-2023")</f>
        <v/>
      </c>
      <c r="T470">
        <f>HYPERLINK("https://klasma.github.io/Logging_2181/kartor/A 57086-2023 karta.png", "A 57086-2023")</f>
        <v/>
      </c>
      <c r="V470">
        <f>HYPERLINK("https://klasma.github.io/Logging_2181/klagomål/A 57086-2023 FSC-klagomål.docx", "A 57086-2023")</f>
        <v/>
      </c>
      <c r="W470">
        <f>HYPERLINK("https://klasma.github.io/Logging_2181/klagomålsmail/A 57086-2023 FSC-klagomål mail.docx", "A 57086-2023")</f>
        <v/>
      </c>
      <c r="X470">
        <f>HYPERLINK("https://klasma.github.io/Logging_2181/tillsyn/A 57086-2023 tillsynsbegäran.docx", "A 57086-2023")</f>
        <v/>
      </c>
      <c r="Y470">
        <f>HYPERLINK("https://klasma.github.io/Logging_2181/tillsynsmail/A 57086-2023 tillsynsbegäran mail.docx", "A 57086-2023")</f>
        <v/>
      </c>
    </row>
    <row r="471" ht="15" customHeight="1">
      <c r="A471" t="inlineStr">
        <is>
          <t>A 57946-2023</t>
        </is>
      </c>
      <c r="B471" s="1" t="n">
        <v>45247</v>
      </c>
      <c r="C471" s="1" t="n">
        <v>45357</v>
      </c>
      <c r="D471" t="inlineStr">
        <is>
          <t>GÄVLEBORGS LÄN</t>
        </is>
      </c>
      <c r="E471" t="inlineStr">
        <is>
          <t>OCKELBO</t>
        </is>
      </c>
      <c r="F471" t="inlineStr">
        <is>
          <t>Bergvik skog väst AB</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HYPERLINK("https://klasma.github.io/Logging_2101/artfynd/A 57946-2023 artfynd.xlsx", "A 57946-2023")</f>
        <v/>
      </c>
      <c r="T471">
        <f>HYPERLINK("https://klasma.github.io/Logging_2101/kartor/A 57946-2023 karta.png", "A 57946-2023")</f>
        <v/>
      </c>
      <c r="V471">
        <f>HYPERLINK("https://klasma.github.io/Logging_2101/klagomål/A 57946-2023 FSC-klagomål.docx", "A 57946-2023")</f>
        <v/>
      </c>
      <c r="W471">
        <f>HYPERLINK("https://klasma.github.io/Logging_2101/klagomålsmail/A 57946-2023 FSC-klagomål mail.docx", "A 57946-2023")</f>
        <v/>
      </c>
      <c r="X471">
        <f>HYPERLINK("https://klasma.github.io/Logging_2101/tillsyn/A 57946-2023 tillsynsbegäran.docx", "A 57946-2023")</f>
        <v/>
      </c>
      <c r="Y471">
        <f>HYPERLINK("https://klasma.github.io/Logging_2101/tillsynsmail/A 57946-2023 tillsynsbegäran mail.docx", "A 57946-2023")</f>
        <v/>
      </c>
    </row>
    <row r="472" ht="15" customHeight="1">
      <c r="A472" t="inlineStr">
        <is>
          <t>A 57901-2023</t>
        </is>
      </c>
      <c r="B472" s="1" t="n">
        <v>45247</v>
      </c>
      <c r="C472" s="1" t="n">
        <v>45357</v>
      </c>
      <c r="D472" t="inlineStr">
        <is>
          <t>GÄVLEBORGS LÄN</t>
        </is>
      </c>
      <c r="E472" t="inlineStr">
        <is>
          <t>OCKELBO</t>
        </is>
      </c>
      <c r="F472" t="inlineStr">
        <is>
          <t>Bergvik skog väst AB</t>
        </is>
      </c>
      <c r="G472" t="n">
        <v>2</v>
      </c>
      <c r="H472" t="n">
        <v>1</v>
      </c>
      <c r="I472" t="n">
        <v>0</v>
      </c>
      <c r="J472" t="n">
        <v>0</v>
      </c>
      <c r="K472" t="n">
        <v>0</v>
      </c>
      <c r="L472" t="n">
        <v>0</v>
      </c>
      <c r="M472" t="n">
        <v>0</v>
      </c>
      <c r="N472" t="n">
        <v>0</v>
      </c>
      <c r="O472" t="n">
        <v>0</v>
      </c>
      <c r="P472" t="n">
        <v>0</v>
      </c>
      <c r="Q472" t="n">
        <v>1</v>
      </c>
      <c r="R472" s="2" t="inlineStr">
        <is>
          <t>Revlummer</t>
        </is>
      </c>
      <c r="S472">
        <f>HYPERLINK("https://klasma.github.io/Logging_2101/artfynd/A 57901-2023 artfynd.xlsx", "A 57901-2023")</f>
        <v/>
      </c>
      <c r="T472">
        <f>HYPERLINK("https://klasma.github.io/Logging_2101/kartor/A 57901-2023 karta.png", "A 57901-2023")</f>
        <v/>
      </c>
      <c r="V472">
        <f>HYPERLINK("https://klasma.github.io/Logging_2101/klagomål/A 57901-2023 FSC-klagomål.docx", "A 57901-2023")</f>
        <v/>
      </c>
      <c r="W472">
        <f>HYPERLINK("https://klasma.github.io/Logging_2101/klagomålsmail/A 57901-2023 FSC-klagomål mail.docx", "A 57901-2023")</f>
        <v/>
      </c>
      <c r="X472">
        <f>HYPERLINK("https://klasma.github.io/Logging_2101/tillsyn/A 57901-2023 tillsynsbegäran.docx", "A 57901-2023")</f>
        <v/>
      </c>
      <c r="Y472">
        <f>HYPERLINK("https://klasma.github.io/Logging_2101/tillsynsmail/A 57901-2023 tillsynsbegäran mail.docx", "A 57901-2023")</f>
        <v/>
      </c>
    </row>
    <row r="473" ht="15" customHeight="1">
      <c r="A473" t="inlineStr">
        <is>
          <t>A 58785-2023</t>
        </is>
      </c>
      <c r="B473" s="1" t="n">
        <v>45252</v>
      </c>
      <c r="C473" s="1" t="n">
        <v>45357</v>
      </c>
      <c r="D473" t="inlineStr">
        <is>
          <t>GÄVLEBORGS LÄN</t>
        </is>
      </c>
      <c r="E473" t="inlineStr">
        <is>
          <t>SANDVIKEN</t>
        </is>
      </c>
      <c r="F473" t="inlineStr">
        <is>
          <t>Bergvik skog öst AB</t>
        </is>
      </c>
      <c r="G473" t="n">
        <v>6.9</v>
      </c>
      <c r="H473" t="n">
        <v>1</v>
      </c>
      <c r="I473" t="n">
        <v>0</v>
      </c>
      <c r="J473" t="n">
        <v>0</v>
      </c>
      <c r="K473" t="n">
        <v>0</v>
      </c>
      <c r="L473" t="n">
        <v>0</v>
      </c>
      <c r="M473" t="n">
        <v>0</v>
      </c>
      <c r="N473" t="n">
        <v>0</v>
      </c>
      <c r="O473" t="n">
        <v>0</v>
      </c>
      <c r="P473" t="n">
        <v>0</v>
      </c>
      <c r="Q473" t="n">
        <v>1</v>
      </c>
      <c r="R473" s="2" t="inlineStr">
        <is>
          <t>Blåsippa</t>
        </is>
      </c>
      <c r="S473">
        <f>HYPERLINK("https://klasma.github.io/Logging_2181/artfynd/A 58785-2023 artfynd.xlsx", "A 58785-2023")</f>
        <v/>
      </c>
      <c r="T473">
        <f>HYPERLINK("https://klasma.github.io/Logging_2181/kartor/A 58785-2023 karta.png", "A 58785-2023")</f>
        <v/>
      </c>
      <c r="V473">
        <f>HYPERLINK("https://klasma.github.io/Logging_2181/klagomål/A 58785-2023 FSC-klagomål.docx", "A 58785-2023")</f>
        <v/>
      </c>
      <c r="W473">
        <f>HYPERLINK("https://klasma.github.io/Logging_2181/klagomålsmail/A 58785-2023 FSC-klagomål mail.docx", "A 58785-2023")</f>
        <v/>
      </c>
      <c r="X473">
        <f>HYPERLINK("https://klasma.github.io/Logging_2181/tillsyn/A 58785-2023 tillsynsbegäran.docx", "A 58785-2023")</f>
        <v/>
      </c>
      <c r="Y473">
        <f>HYPERLINK("https://klasma.github.io/Logging_2181/tillsynsmail/A 58785-2023 tillsynsbegäran mail.docx", "A 58785-2023")</f>
        <v/>
      </c>
    </row>
    <row r="474" ht="15" customHeight="1">
      <c r="A474" t="inlineStr">
        <is>
          <t>A 58845-2023</t>
        </is>
      </c>
      <c r="B474" s="1" t="n">
        <v>45252</v>
      </c>
      <c r="C474" s="1" t="n">
        <v>45357</v>
      </c>
      <c r="D474" t="inlineStr">
        <is>
          <t>GÄVLEBORGS LÄN</t>
        </is>
      </c>
      <c r="E474" t="inlineStr">
        <is>
          <t>SANDVIKEN</t>
        </is>
      </c>
      <c r="G474" t="n">
        <v>1.5</v>
      </c>
      <c r="H474" t="n">
        <v>1</v>
      </c>
      <c r="I474" t="n">
        <v>0</v>
      </c>
      <c r="J474" t="n">
        <v>0</v>
      </c>
      <c r="K474" t="n">
        <v>0</v>
      </c>
      <c r="L474" t="n">
        <v>0</v>
      </c>
      <c r="M474" t="n">
        <v>0</v>
      </c>
      <c r="N474" t="n">
        <v>0</v>
      </c>
      <c r="O474" t="n">
        <v>0</v>
      </c>
      <c r="P474" t="n">
        <v>0</v>
      </c>
      <c r="Q474" t="n">
        <v>1</v>
      </c>
      <c r="R474" s="2" t="inlineStr">
        <is>
          <t>Vanlig padda</t>
        </is>
      </c>
      <c r="S474">
        <f>HYPERLINK("https://klasma.github.io/Logging_2181/artfynd/A 58845-2023 artfynd.xlsx", "A 58845-2023")</f>
        <v/>
      </c>
      <c r="T474">
        <f>HYPERLINK("https://klasma.github.io/Logging_2181/kartor/A 58845-2023 karta.png", "A 58845-2023")</f>
        <v/>
      </c>
      <c r="V474">
        <f>HYPERLINK("https://klasma.github.io/Logging_2181/klagomål/A 58845-2023 FSC-klagomål.docx", "A 58845-2023")</f>
        <v/>
      </c>
      <c r="W474">
        <f>HYPERLINK("https://klasma.github.io/Logging_2181/klagomålsmail/A 58845-2023 FSC-klagomål mail.docx", "A 58845-2023")</f>
        <v/>
      </c>
      <c r="X474">
        <f>HYPERLINK("https://klasma.github.io/Logging_2181/tillsyn/A 58845-2023 tillsynsbegäran.docx", "A 58845-2023")</f>
        <v/>
      </c>
      <c r="Y474">
        <f>HYPERLINK("https://klasma.github.io/Logging_2181/tillsynsmail/A 58845-2023 tillsynsbegäran mail.docx", "A 58845-2023")</f>
        <v/>
      </c>
    </row>
    <row r="475" ht="15" customHeight="1">
      <c r="A475" t="inlineStr">
        <is>
          <t>A 60157-2023</t>
        </is>
      </c>
      <c r="B475" s="1" t="n">
        <v>45258</v>
      </c>
      <c r="C475" s="1" t="n">
        <v>45357</v>
      </c>
      <c r="D475" t="inlineStr">
        <is>
          <t>GÄVLEBORGS LÄN</t>
        </is>
      </c>
      <c r="E475" t="inlineStr">
        <is>
          <t>NORDANSTIG</t>
        </is>
      </c>
      <c r="G475" t="n">
        <v>3.9</v>
      </c>
      <c r="H475" t="n">
        <v>0</v>
      </c>
      <c r="I475" t="n">
        <v>0</v>
      </c>
      <c r="J475" t="n">
        <v>0</v>
      </c>
      <c r="K475" t="n">
        <v>0</v>
      </c>
      <c r="L475" t="n">
        <v>1</v>
      </c>
      <c r="M475" t="n">
        <v>0</v>
      </c>
      <c r="N475" t="n">
        <v>0</v>
      </c>
      <c r="O475" t="n">
        <v>1</v>
      </c>
      <c r="P475" t="n">
        <v>1</v>
      </c>
      <c r="Q475" t="n">
        <v>1</v>
      </c>
      <c r="R475" s="2" t="inlineStr">
        <is>
          <t>Bredgentiana</t>
        </is>
      </c>
      <c r="S475">
        <f>HYPERLINK("https://klasma.github.io/Logging_2132/artfynd/A 60157-2023 artfynd.xlsx", "A 60157-2023")</f>
        <v/>
      </c>
      <c r="T475">
        <f>HYPERLINK("https://klasma.github.io/Logging_2132/kartor/A 60157-2023 karta.png", "A 60157-2023")</f>
        <v/>
      </c>
      <c r="V475">
        <f>HYPERLINK("https://klasma.github.io/Logging_2132/klagomål/A 60157-2023 FSC-klagomål.docx", "A 60157-2023")</f>
        <v/>
      </c>
      <c r="W475">
        <f>HYPERLINK("https://klasma.github.io/Logging_2132/klagomålsmail/A 60157-2023 FSC-klagomål mail.docx", "A 60157-2023")</f>
        <v/>
      </c>
      <c r="X475">
        <f>HYPERLINK("https://klasma.github.io/Logging_2132/tillsyn/A 60157-2023 tillsynsbegäran.docx", "A 60157-2023")</f>
        <v/>
      </c>
      <c r="Y475">
        <f>HYPERLINK("https://klasma.github.io/Logging_2132/tillsynsmail/A 60157-2023 tillsynsbegäran mail.docx", "A 60157-2023")</f>
        <v/>
      </c>
    </row>
    <row r="476" ht="15" customHeight="1">
      <c r="A476" t="inlineStr">
        <is>
          <t>A 64328-2023</t>
        </is>
      </c>
      <c r="B476" s="1" t="n">
        <v>45280</v>
      </c>
      <c r="C476" s="1" t="n">
        <v>45357</v>
      </c>
      <c r="D476" t="inlineStr">
        <is>
          <t>GÄVLEBORGS LÄN</t>
        </is>
      </c>
      <c r="E476" t="inlineStr">
        <is>
          <t>OVANÅKER</t>
        </is>
      </c>
      <c r="G476" t="n">
        <v>3.5</v>
      </c>
      <c r="H476" t="n">
        <v>1</v>
      </c>
      <c r="I476" t="n">
        <v>0</v>
      </c>
      <c r="J476" t="n">
        <v>0</v>
      </c>
      <c r="K476" t="n">
        <v>0</v>
      </c>
      <c r="L476" t="n">
        <v>0</v>
      </c>
      <c r="M476" t="n">
        <v>0</v>
      </c>
      <c r="N476" t="n">
        <v>0</v>
      </c>
      <c r="O476" t="n">
        <v>0</v>
      </c>
      <c r="P476" t="n">
        <v>0</v>
      </c>
      <c r="Q476" t="n">
        <v>1</v>
      </c>
      <c r="R476" s="2" t="inlineStr">
        <is>
          <t>Revlummer</t>
        </is>
      </c>
      <c r="S476">
        <f>HYPERLINK("https://klasma.github.io/Logging_2121/artfynd/A 64328-2023 artfynd.xlsx", "A 64328-2023")</f>
        <v/>
      </c>
      <c r="T476">
        <f>HYPERLINK("https://klasma.github.io/Logging_2121/kartor/A 64328-2023 karta.png", "A 64328-2023")</f>
        <v/>
      </c>
      <c r="V476">
        <f>HYPERLINK("https://klasma.github.io/Logging_2121/klagomål/A 64328-2023 FSC-klagomål.docx", "A 64328-2023")</f>
        <v/>
      </c>
      <c r="W476">
        <f>HYPERLINK("https://klasma.github.io/Logging_2121/klagomålsmail/A 64328-2023 FSC-klagomål mail.docx", "A 64328-2023")</f>
        <v/>
      </c>
      <c r="X476">
        <f>HYPERLINK("https://klasma.github.io/Logging_2121/tillsyn/A 64328-2023 tillsynsbegäran.docx", "A 64328-2023")</f>
        <v/>
      </c>
      <c r="Y476">
        <f>HYPERLINK("https://klasma.github.io/Logging_2121/tillsynsmail/A 64328-2023 tillsynsbegäran mail.docx", "A 64328-2023")</f>
        <v/>
      </c>
    </row>
    <row r="477" ht="15" customHeight="1">
      <c r="A477" t="inlineStr">
        <is>
          <t>A 109-2024</t>
        </is>
      </c>
      <c r="B477" s="1" t="n">
        <v>45294</v>
      </c>
      <c r="C477" s="1" t="n">
        <v>45357</v>
      </c>
      <c r="D477" t="inlineStr">
        <is>
          <t>GÄVLEBORGS LÄN</t>
        </is>
      </c>
      <c r="E477" t="inlineStr">
        <is>
          <t>HUDIKSVALL</t>
        </is>
      </c>
      <c r="F477" t="inlineStr">
        <is>
          <t>Holmen skog AB</t>
        </is>
      </c>
      <c r="G477" t="n">
        <v>5.1</v>
      </c>
      <c r="H477" t="n">
        <v>0</v>
      </c>
      <c r="I477" t="n">
        <v>0</v>
      </c>
      <c r="J477" t="n">
        <v>1</v>
      </c>
      <c r="K477" t="n">
        <v>0</v>
      </c>
      <c r="L477" t="n">
        <v>0</v>
      </c>
      <c r="M477" t="n">
        <v>0</v>
      </c>
      <c r="N477" t="n">
        <v>0</v>
      </c>
      <c r="O477" t="n">
        <v>1</v>
      </c>
      <c r="P477" t="n">
        <v>0</v>
      </c>
      <c r="Q477" t="n">
        <v>1</v>
      </c>
      <c r="R477" s="2" t="inlineStr">
        <is>
          <t>Ullticka</t>
        </is>
      </c>
      <c r="S477">
        <f>HYPERLINK("https://klasma.github.io/Logging_2184/artfynd/A 109-2024 artfynd.xlsx", "A 109-2024")</f>
        <v/>
      </c>
      <c r="T477">
        <f>HYPERLINK("https://klasma.github.io/Logging_2184/kartor/A 109-2024 karta.png", "A 109-2024")</f>
        <v/>
      </c>
      <c r="V477">
        <f>HYPERLINK("https://klasma.github.io/Logging_2184/klagomål/A 109-2024 FSC-klagomål.docx", "A 109-2024")</f>
        <v/>
      </c>
      <c r="W477">
        <f>HYPERLINK("https://klasma.github.io/Logging_2184/klagomålsmail/A 109-2024 FSC-klagomål mail.docx", "A 109-2024")</f>
        <v/>
      </c>
      <c r="X477">
        <f>HYPERLINK("https://klasma.github.io/Logging_2184/tillsyn/A 109-2024 tillsynsbegäran.docx", "A 109-2024")</f>
        <v/>
      </c>
      <c r="Y477">
        <f>HYPERLINK("https://klasma.github.io/Logging_2184/tillsynsmail/A 109-2024 tillsynsbegäran mail.docx", "A 109-2024")</f>
        <v/>
      </c>
    </row>
    <row r="478" ht="15" customHeight="1">
      <c r="A478" t="inlineStr">
        <is>
          <t>A 311-2024</t>
        </is>
      </c>
      <c r="B478" s="1" t="n">
        <v>45295</v>
      </c>
      <c r="C478" s="1" t="n">
        <v>45357</v>
      </c>
      <c r="D478" t="inlineStr">
        <is>
          <t>GÄVLEBORGS LÄN</t>
        </is>
      </c>
      <c r="E478" t="inlineStr">
        <is>
          <t>SANDVIKEN</t>
        </is>
      </c>
      <c r="G478" t="n">
        <v>1.3</v>
      </c>
      <c r="H478" t="n">
        <v>1</v>
      </c>
      <c r="I478" t="n">
        <v>1</v>
      </c>
      <c r="J478" t="n">
        <v>0</v>
      </c>
      <c r="K478" t="n">
        <v>0</v>
      </c>
      <c r="L478" t="n">
        <v>0</v>
      </c>
      <c r="M478" t="n">
        <v>0</v>
      </c>
      <c r="N478" t="n">
        <v>0</v>
      </c>
      <c r="O478" t="n">
        <v>0</v>
      </c>
      <c r="P478" t="n">
        <v>0</v>
      </c>
      <c r="Q478" t="n">
        <v>1</v>
      </c>
      <c r="R478" s="2" t="inlineStr">
        <is>
          <t>Plattlummer</t>
        </is>
      </c>
      <c r="S478">
        <f>HYPERLINK("https://klasma.github.io/Logging_2181/artfynd/A 311-2024 artfynd.xlsx", "A 311-2024")</f>
        <v/>
      </c>
      <c r="T478">
        <f>HYPERLINK("https://klasma.github.io/Logging_2181/kartor/A 311-2024 karta.png", "A 311-2024")</f>
        <v/>
      </c>
      <c r="V478">
        <f>HYPERLINK("https://klasma.github.io/Logging_2181/klagomål/A 311-2024 FSC-klagomål.docx", "A 311-2024")</f>
        <v/>
      </c>
      <c r="W478">
        <f>HYPERLINK("https://klasma.github.io/Logging_2181/klagomålsmail/A 311-2024 FSC-klagomål mail.docx", "A 311-2024")</f>
        <v/>
      </c>
      <c r="X478">
        <f>HYPERLINK("https://klasma.github.io/Logging_2181/tillsyn/A 311-2024 tillsynsbegäran.docx", "A 311-2024")</f>
        <v/>
      </c>
      <c r="Y478">
        <f>HYPERLINK("https://klasma.github.io/Logging_2181/tillsynsmail/A 311-2024 tillsynsbegäran mail.docx", "A 311-2024")</f>
        <v/>
      </c>
    </row>
    <row r="479" ht="15" customHeight="1">
      <c r="A479" t="inlineStr">
        <is>
          <t>A 470-2024</t>
        </is>
      </c>
      <c r="B479" s="1" t="n">
        <v>45297</v>
      </c>
      <c r="C479" s="1" t="n">
        <v>45357</v>
      </c>
      <c r="D479" t="inlineStr">
        <is>
          <t>GÄVLEBORGS LÄN</t>
        </is>
      </c>
      <c r="E479" t="inlineStr">
        <is>
          <t>NORDANSTIG</t>
        </is>
      </c>
      <c r="F479" t="inlineStr">
        <is>
          <t>Holmen skog AB</t>
        </is>
      </c>
      <c r="G479" t="n">
        <v>4.1</v>
      </c>
      <c r="H479" t="n">
        <v>1</v>
      </c>
      <c r="I479" t="n">
        <v>0</v>
      </c>
      <c r="J479" t="n">
        <v>1</v>
      </c>
      <c r="K479" t="n">
        <v>0</v>
      </c>
      <c r="L479" t="n">
        <v>0</v>
      </c>
      <c r="M479" t="n">
        <v>0</v>
      </c>
      <c r="N479" t="n">
        <v>0</v>
      </c>
      <c r="O479" t="n">
        <v>1</v>
      </c>
      <c r="P479" t="n">
        <v>0</v>
      </c>
      <c r="Q479" t="n">
        <v>1</v>
      </c>
      <c r="R479" s="2" t="inlineStr">
        <is>
          <t>Duvhök</t>
        </is>
      </c>
      <c r="S479">
        <f>HYPERLINK("https://klasma.github.io/Logging_2132/artfynd/A 470-2024 artfynd.xlsx", "A 470-2024")</f>
        <v/>
      </c>
      <c r="T479">
        <f>HYPERLINK("https://klasma.github.io/Logging_2132/kartor/A 470-2024 karta.png", "A 470-2024")</f>
        <v/>
      </c>
      <c r="V479">
        <f>HYPERLINK("https://klasma.github.io/Logging_2132/klagomål/A 470-2024 FSC-klagomål.docx", "A 470-2024")</f>
        <v/>
      </c>
      <c r="W479">
        <f>HYPERLINK("https://klasma.github.io/Logging_2132/klagomålsmail/A 470-2024 FSC-klagomål mail.docx", "A 470-2024")</f>
        <v/>
      </c>
      <c r="X479">
        <f>HYPERLINK("https://klasma.github.io/Logging_2132/tillsyn/A 470-2024 tillsynsbegäran.docx", "A 470-2024")</f>
        <v/>
      </c>
      <c r="Y479">
        <f>HYPERLINK("https://klasma.github.io/Logging_2132/tillsynsmail/A 470-2024 tillsynsbegäran mail.docx", "A 470-2024")</f>
        <v/>
      </c>
    </row>
    <row r="480" ht="15" customHeight="1">
      <c r="A480" t="inlineStr">
        <is>
          <t>A 684-2024</t>
        </is>
      </c>
      <c r="B480" s="1" t="n">
        <v>45300</v>
      </c>
      <c r="C480" s="1" t="n">
        <v>45357</v>
      </c>
      <c r="D480" t="inlineStr">
        <is>
          <t>GÄVLEBORGS LÄN</t>
        </is>
      </c>
      <c r="E480" t="inlineStr">
        <is>
          <t>HUDIKSVALL</t>
        </is>
      </c>
      <c r="F480" t="inlineStr">
        <is>
          <t>Holmen skog AB</t>
        </is>
      </c>
      <c r="G480" t="n">
        <v>14.7</v>
      </c>
      <c r="H480" t="n">
        <v>0</v>
      </c>
      <c r="I480" t="n">
        <v>0</v>
      </c>
      <c r="J480" t="n">
        <v>1</v>
      </c>
      <c r="K480" t="n">
        <v>0</v>
      </c>
      <c r="L480" t="n">
        <v>0</v>
      </c>
      <c r="M480" t="n">
        <v>0</v>
      </c>
      <c r="N480" t="n">
        <v>0</v>
      </c>
      <c r="O480" t="n">
        <v>1</v>
      </c>
      <c r="P480" t="n">
        <v>0</v>
      </c>
      <c r="Q480" t="n">
        <v>1</v>
      </c>
      <c r="R480" s="2" t="inlineStr">
        <is>
          <t>Brunpudrad nållav</t>
        </is>
      </c>
      <c r="S480">
        <f>HYPERLINK("https://klasma.github.io/Logging_2184/artfynd/A 684-2024 artfynd.xlsx", "A 684-2024")</f>
        <v/>
      </c>
      <c r="T480">
        <f>HYPERLINK("https://klasma.github.io/Logging_2184/kartor/A 684-2024 karta.png", "A 684-2024")</f>
        <v/>
      </c>
      <c r="V480">
        <f>HYPERLINK("https://klasma.github.io/Logging_2184/klagomål/A 684-2024 FSC-klagomål.docx", "A 684-2024")</f>
        <v/>
      </c>
      <c r="W480">
        <f>HYPERLINK("https://klasma.github.io/Logging_2184/klagomålsmail/A 684-2024 FSC-klagomål mail.docx", "A 684-2024")</f>
        <v/>
      </c>
      <c r="X480">
        <f>HYPERLINK("https://klasma.github.io/Logging_2184/tillsyn/A 684-2024 tillsynsbegäran.docx", "A 684-2024")</f>
        <v/>
      </c>
      <c r="Y480">
        <f>HYPERLINK("https://klasma.github.io/Logging_2184/tillsynsmail/A 684-2024 tillsynsbegäran mail.docx", "A 684-2024")</f>
        <v/>
      </c>
    </row>
    <row r="481" ht="15" customHeight="1">
      <c r="A481" t="inlineStr">
        <is>
          <t>A 1193-2024</t>
        </is>
      </c>
      <c r="B481" s="1" t="n">
        <v>45302</v>
      </c>
      <c r="C481" s="1" t="n">
        <v>45357</v>
      </c>
      <c r="D481" t="inlineStr">
        <is>
          <t>GÄVLEBORGS LÄN</t>
        </is>
      </c>
      <c r="E481" t="inlineStr">
        <is>
          <t>OVANÅKER</t>
        </is>
      </c>
      <c r="F481" t="inlineStr">
        <is>
          <t>Bergvik skog väst AB</t>
        </is>
      </c>
      <c r="G481" t="n">
        <v>10.5</v>
      </c>
      <c r="H481" t="n">
        <v>1</v>
      </c>
      <c r="I481" t="n">
        <v>0</v>
      </c>
      <c r="J481" t="n">
        <v>0</v>
      </c>
      <c r="K481" t="n">
        <v>0</v>
      </c>
      <c r="L481" t="n">
        <v>0</v>
      </c>
      <c r="M481" t="n">
        <v>0</v>
      </c>
      <c r="N481" t="n">
        <v>0</v>
      </c>
      <c r="O481" t="n">
        <v>0</v>
      </c>
      <c r="P481" t="n">
        <v>0</v>
      </c>
      <c r="Q481" t="n">
        <v>1</v>
      </c>
      <c r="R481" s="2" t="inlineStr">
        <is>
          <t>Blåsippa</t>
        </is>
      </c>
      <c r="S481">
        <f>HYPERLINK("https://klasma.github.io/Logging_2121/artfynd/A 1193-2024 artfynd.xlsx", "A 1193-2024")</f>
        <v/>
      </c>
      <c r="T481">
        <f>HYPERLINK("https://klasma.github.io/Logging_2121/kartor/A 1193-2024 karta.png", "A 1193-2024")</f>
        <v/>
      </c>
      <c r="V481">
        <f>HYPERLINK("https://klasma.github.io/Logging_2121/klagomål/A 1193-2024 FSC-klagomål.docx", "A 1193-2024")</f>
        <v/>
      </c>
      <c r="W481">
        <f>HYPERLINK("https://klasma.github.io/Logging_2121/klagomålsmail/A 1193-2024 FSC-klagomål mail.docx", "A 1193-2024")</f>
        <v/>
      </c>
      <c r="X481">
        <f>HYPERLINK("https://klasma.github.io/Logging_2121/tillsyn/A 1193-2024 tillsynsbegäran.docx", "A 1193-2024")</f>
        <v/>
      </c>
      <c r="Y481">
        <f>HYPERLINK("https://klasma.github.io/Logging_2121/tillsynsmail/A 1193-2024 tillsynsbegäran mail.docx", "A 1193-2024")</f>
        <v/>
      </c>
    </row>
    <row r="482" ht="15" customHeight="1">
      <c r="A482" t="inlineStr">
        <is>
          <t>A 1214-2024</t>
        </is>
      </c>
      <c r="B482" s="1" t="n">
        <v>45302</v>
      </c>
      <c r="C482" s="1" t="n">
        <v>45357</v>
      </c>
      <c r="D482" t="inlineStr">
        <is>
          <t>GÄVLEBORGS LÄN</t>
        </is>
      </c>
      <c r="E482" t="inlineStr">
        <is>
          <t>OVANÅKER</t>
        </is>
      </c>
      <c r="F482" t="inlineStr">
        <is>
          <t>Bergvik skog väst AB</t>
        </is>
      </c>
      <c r="G482" t="n">
        <v>3.2</v>
      </c>
      <c r="H482" t="n">
        <v>1</v>
      </c>
      <c r="I482" t="n">
        <v>0</v>
      </c>
      <c r="J482" t="n">
        <v>0</v>
      </c>
      <c r="K482" t="n">
        <v>0</v>
      </c>
      <c r="L482" t="n">
        <v>0</v>
      </c>
      <c r="M482" t="n">
        <v>0</v>
      </c>
      <c r="N482" t="n">
        <v>0</v>
      </c>
      <c r="O482" t="n">
        <v>0</v>
      </c>
      <c r="P482" t="n">
        <v>0</v>
      </c>
      <c r="Q482" t="n">
        <v>1</v>
      </c>
      <c r="R482" s="2" t="inlineStr">
        <is>
          <t>Fläcknycklar</t>
        </is>
      </c>
      <c r="S482">
        <f>HYPERLINK("https://klasma.github.io/Logging_2121/artfynd/A 1214-2024 artfynd.xlsx", "A 1214-2024")</f>
        <v/>
      </c>
      <c r="T482">
        <f>HYPERLINK("https://klasma.github.io/Logging_2121/kartor/A 1214-2024 karta.png", "A 1214-2024")</f>
        <v/>
      </c>
      <c r="V482">
        <f>HYPERLINK("https://klasma.github.io/Logging_2121/klagomål/A 1214-2024 FSC-klagomål.docx", "A 1214-2024")</f>
        <v/>
      </c>
      <c r="W482">
        <f>HYPERLINK("https://klasma.github.io/Logging_2121/klagomålsmail/A 1214-2024 FSC-klagomål mail.docx", "A 1214-2024")</f>
        <v/>
      </c>
      <c r="X482">
        <f>HYPERLINK("https://klasma.github.io/Logging_2121/tillsyn/A 1214-2024 tillsynsbegäran.docx", "A 1214-2024")</f>
        <v/>
      </c>
      <c r="Y482">
        <f>HYPERLINK("https://klasma.github.io/Logging_2121/tillsynsmail/A 1214-2024 tillsynsbegäran mail.docx", "A 1214-2024")</f>
        <v/>
      </c>
    </row>
    <row r="483" ht="15" customHeight="1">
      <c r="A483" t="inlineStr">
        <is>
          <t>A 3387-2024</t>
        </is>
      </c>
      <c r="B483" s="1" t="n">
        <v>45317</v>
      </c>
      <c r="C483" s="1" t="n">
        <v>45357</v>
      </c>
      <c r="D483" t="inlineStr">
        <is>
          <t>GÄVLEBORGS LÄN</t>
        </is>
      </c>
      <c r="E483" t="inlineStr">
        <is>
          <t>NORDANSTIG</t>
        </is>
      </c>
      <c r="F483" t="inlineStr">
        <is>
          <t>SCA</t>
        </is>
      </c>
      <c r="G483" t="n">
        <v>7.7</v>
      </c>
      <c r="H483" t="n">
        <v>1</v>
      </c>
      <c r="I483" t="n">
        <v>0</v>
      </c>
      <c r="J483" t="n">
        <v>0</v>
      </c>
      <c r="K483" t="n">
        <v>0</v>
      </c>
      <c r="L483" t="n">
        <v>0</v>
      </c>
      <c r="M483" t="n">
        <v>0</v>
      </c>
      <c r="N483" t="n">
        <v>0</v>
      </c>
      <c r="O483" t="n">
        <v>0</v>
      </c>
      <c r="P483" t="n">
        <v>0</v>
      </c>
      <c r="Q483" t="n">
        <v>1</v>
      </c>
      <c r="R483" s="2" t="inlineStr">
        <is>
          <t>Revlummer</t>
        </is>
      </c>
      <c r="S483">
        <f>HYPERLINK("https://klasma.github.io/Logging_2132/artfynd/A 3387-2024 artfynd.xlsx", "A 3387-2024")</f>
        <v/>
      </c>
      <c r="T483">
        <f>HYPERLINK("https://klasma.github.io/Logging_2132/kartor/A 3387-2024 karta.png", "A 3387-2024")</f>
        <v/>
      </c>
      <c r="V483">
        <f>HYPERLINK("https://klasma.github.io/Logging_2132/klagomål/A 3387-2024 FSC-klagomål.docx", "A 3387-2024")</f>
        <v/>
      </c>
      <c r="W483">
        <f>HYPERLINK("https://klasma.github.io/Logging_2132/klagomålsmail/A 3387-2024 FSC-klagomål mail.docx", "A 3387-2024")</f>
        <v/>
      </c>
      <c r="X483">
        <f>HYPERLINK("https://klasma.github.io/Logging_2132/tillsyn/A 3387-2024 tillsynsbegäran.docx", "A 3387-2024")</f>
        <v/>
      </c>
      <c r="Y483">
        <f>HYPERLINK("https://klasma.github.io/Logging_2132/tillsynsmail/A 3387-2024 tillsynsbegäran mail.docx", "A 3387-2024")</f>
        <v/>
      </c>
    </row>
    <row r="484" ht="15" customHeight="1">
      <c r="A484" t="inlineStr">
        <is>
          <t>A 4839-2024</t>
        </is>
      </c>
      <c r="B484" s="1" t="n">
        <v>45329</v>
      </c>
      <c r="C484" s="1" t="n">
        <v>45357</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5445-2024</t>
        </is>
      </c>
      <c r="B485" s="1" t="n">
        <v>45331</v>
      </c>
      <c r="C485" s="1" t="n">
        <v>45357</v>
      </c>
      <c r="D485" t="inlineStr">
        <is>
          <t>GÄVLEBORGS LÄN</t>
        </is>
      </c>
      <c r="E485" t="inlineStr">
        <is>
          <t>LJUSDAL</t>
        </is>
      </c>
      <c r="F485" t="inlineStr">
        <is>
          <t>SCA</t>
        </is>
      </c>
      <c r="G485" t="n">
        <v>14.8</v>
      </c>
      <c r="H485" t="n">
        <v>1</v>
      </c>
      <c r="I485" t="n">
        <v>0</v>
      </c>
      <c r="J485" t="n">
        <v>0</v>
      </c>
      <c r="K485" t="n">
        <v>0</v>
      </c>
      <c r="L485" t="n">
        <v>0</v>
      </c>
      <c r="M485" t="n">
        <v>0</v>
      </c>
      <c r="N485" t="n">
        <v>0</v>
      </c>
      <c r="O485" t="n">
        <v>0</v>
      </c>
      <c r="P485" t="n">
        <v>0</v>
      </c>
      <c r="Q485" t="n">
        <v>1</v>
      </c>
      <c r="R485" s="2" t="inlineStr">
        <is>
          <t>Revlummer</t>
        </is>
      </c>
      <c r="S485">
        <f>HYPERLINK("https://klasma.github.io/Logging_2161/artfynd/A 5445-2024 artfynd.xlsx", "A 5445-2024")</f>
        <v/>
      </c>
      <c r="T485">
        <f>HYPERLINK("https://klasma.github.io/Logging_2161/kartor/A 5445-2024 karta.png", "A 5445-2024")</f>
        <v/>
      </c>
      <c r="V485">
        <f>HYPERLINK("https://klasma.github.io/Logging_2161/klagomål/A 5445-2024 FSC-klagomål.docx", "A 5445-2024")</f>
        <v/>
      </c>
      <c r="W485">
        <f>HYPERLINK("https://klasma.github.io/Logging_2161/klagomålsmail/A 5445-2024 FSC-klagomål mail.docx", "A 5445-2024")</f>
        <v/>
      </c>
      <c r="X485">
        <f>HYPERLINK("https://klasma.github.io/Logging_2161/tillsyn/A 5445-2024 tillsynsbegäran.docx", "A 5445-2024")</f>
        <v/>
      </c>
      <c r="Y485">
        <f>HYPERLINK("https://klasma.github.io/Logging_2161/tillsynsmail/A 5445-2024 tillsynsbegäran mail.docx", "A 5445-2024")</f>
        <v/>
      </c>
    </row>
    <row r="486" ht="15" customHeight="1">
      <c r="A486" t="inlineStr">
        <is>
          <t>A 7296-2024</t>
        </is>
      </c>
      <c r="B486" s="1" t="n">
        <v>45344</v>
      </c>
      <c r="C486" s="1" t="n">
        <v>45357</v>
      </c>
      <c r="D486" t="inlineStr">
        <is>
          <t>GÄVLEBORGS LÄN</t>
        </is>
      </c>
      <c r="E486" t="inlineStr">
        <is>
          <t>GÄVLE</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HYPERLINK("https://klasma.github.io/Logging_2180/artfynd/A 7296-2024 artfynd.xlsx", "A 7296-2024")</f>
        <v/>
      </c>
      <c r="T486">
        <f>HYPERLINK("https://klasma.github.io/Logging_2180/kartor/A 7296-2024 karta.png", "A 7296-2024")</f>
        <v/>
      </c>
      <c r="V486">
        <f>HYPERLINK("https://klasma.github.io/Logging_2180/klagomål/A 7296-2024 FSC-klagomål.docx", "A 7296-2024")</f>
        <v/>
      </c>
      <c r="W486">
        <f>HYPERLINK("https://klasma.github.io/Logging_2180/klagomålsmail/A 7296-2024 FSC-klagomål mail.docx", "A 7296-2024")</f>
        <v/>
      </c>
      <c r="X486">
        <f>HYPERLINK("https://klasma.github.io/Logging_2180/tillsyn/A 7296-2024 tillsynsbegäran.docx", "A 7296-2024")</f>
        <v/>
      </c>
      <c r="Y486">
        <f>HYPERLINK("https://klasma.github.io/Logging_2180/tillsynsmail/A 7296-2024 tillsynsbegäran mail.docx", "A 7296-2024")</f>
        <v/>
      </c>
    </row>
    <row r="487" ht="15" customHeight="1">
      <c r="A487" t="inlineStr">
        <is>
          <t>A 7354-2024</t>
        </is>
      </c>
      <c r="B487" s="1" t="n">
        <v>45345</v>
      </c>
      <c r="C487" s="1" t="n">
        <v>45357</v>
      </c>
      <c r="D487" t="inlineStr">
        <is>
          <t>GÄVLEBORGS LÄN</t>
        </is>
      </c>
      <c r="E487" t="inlineStr">
        <is>
          <t>HUDIKSVALL</t>
        </is>
      </c>
      <c r="F487" t="inlineStr">
        <is>
          <t>Holmen skog AB</t>
        </is>
      </c>
      <c r="G487" t="n">
        <v>12.9</v>
      </c>
      <c r="H487" t="n">
        <v>1</v>
      </c>
      <c r="I487" t="n">
        <v>0</v>
      </c>
      <c r="J487" t="n">
        <v>0</v>
      </c>
      <c r="K487" t="n">
        <v>0</v>
      </c>
      <c r="L487" t="n">
        <v>0</v>
      </c>
      <c r="M487" t="n">
        <v>0</v>
      </c>
      <c r="N487" t="n">
        <v>0</v>
      </c>
      <c r="O487" t="n">
        <v>0</v>
      </c>
      <c r="P487" t="n">
        <v>0</v>
      </c>
      <c r="Q487" t="n">
        <v>1</v>
      </c>
      <c r="R487" s="2" t="inlineStr">
        <is>
          <t>Nattviol</t>
        </is>
      </c>
      <c r="S487">
        <f>HYPERLINK("https://klasma.github.io/Logging_2184/artfynd/A 7354-2024 artfynd.xlsx", "A 7354-2024")</f>
        <v/>
      </c>
      <c r="T487">
        <f>HYPERLINK("https://klasma.github.io/Logging_2184/kartor/A 7354-2024 karta.png", "A 7354-2024")</f>
        <v/>
      </c>
      <c r="V487">
        <f>HYPERLINK("https://klasma.github.io/Logging_2184/klagomål/A 7354-2024 FSC-klagomål.docx", "A 7354-2024")</f>
        <v/>
      </c>
      <c r="W487">
        <f>HYPERLINK("https://klasma.github.io/Logging_2184/klagomålsmail/A 7354-2024 FSC-klagomål mail.docx", "A 7354-2024")</f>
        <v/>
      </c>
      <c r="X487">
        <f>HYPERLINK("https://klasma.github.io/Logging_2184/tillsyn/A 7354-2024 tillsynsbegäran.docx", "A 7354-2024")</f>
        <v/>
      </c>
      <c r="Y487">
        <f>HYPERLINK("https://klasma.github.io/Logging_2184/tillsynsmail/A 7354-2024 tillsynsbegäran mail.docx", "A 7354-2024")</f>
        <v/>
      </c>
    </row>
    <row r="488" ht="15" customHeight="1">
      <c r="A488" t="inlineStr">
        <is>
          <t>A 33998-2018</t>
        </is>
      </c>
      <c r="B488" s="1" t="n">
        <v>43314</v>
      </c>
      <c r="C488" s="1" t="n">
        <v>45357</v>
      </c>
      <c r="D488" t="inlineStr">
        <is>
          <t>GÄVLEBORGS LÄN</t>
        </is>
      </c>
      <c r="E488" t="inlineStr">
        <is>
          <t>HUDIKSVALL</t>
        </is>
      </c>
      <c r="G488" t="n">
        <v>1.7</v>
      </c>
      <c r="H488" t="n">
        <v>0</v>
      </c>
      <c r="I488" t="n">
        <v>0</v>
      </c>
      <c r="J488" t="n">
        <v>0</v>
      </c>
      <c r="K488" t="n">
        <v>0</v>
      </c>
      <c r="L488" t="n">
        <v>0</v>
      </c>
      <c r="M488" t="n">
        <v>0</v>
      </c>
      <c r="N488" t="n">
        <v>0</v>
      </c>
      <c r="O488" t="n">
        <v>0</v>
      </c>
      <c r="P488" t="n">
        <v>0</v>
      </c>
      <c r="Q488" t="n">
        <v>0</v>
      </c>
      <c r="R488" s="2" t="inlineStr"/>
    </row>
    <row r="489" ht="15" customHeight="1">
      <c r="A489" t="inlineStr">
        <is>
          <t>A 34178-2018</t>
        </is>
      </c>
      <c r="B489" s="1" t="n">
        <v>43318</v>
      </c>
      <c r="C489" s="1" t="n">
        <v>45357</v>
      </c>
      <c r="D489" t="inlineStr">
        <is>
          <t>GÄVLEBORGS LÄN</t>
        </is>
      </c>
      <c r="E489" t="inlineStr">
        <is>
          <t>HUDIKSVALL</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34298-2018</t>
        </is>
      </c>
      <c r="B490" s="1" t="n">
        <v>43318</v>
      </c>
      <c r="C490" s="1" t="n">
        <v>45357</v>
      </c>
      <c r="D490" t="inlineStr">
        <is>
          <t>GÄVLEBORGS LÄN</t>
        </is>
      </c>
      <c r="E490" t="inlineStr">
        <is>
          <t>OVANÅKER</t>
        </is>
      </c>
      <c r="G490" t="n">
        <v>11.9</v>
      </c>
      <c r="H490" t="n">
        <v>0</v>
      </c>
      <c r="I490" t="n">
        <v>0</v>
      </c>
      <c r="J490" t="n">
        <v>0</v>
      </c>
      <c r="K490" t="n">
        <v>0</v>
      </c>
      <c r="L490" t="n">
        <v>0</v>
      </c>
      <c r="M490" t="n">
        <v>0</v>
      </c>
      <c r="N490" t="n">
        <v>0</v>
      </c>
      <c r="O490" t="n">
        <v>0</v>
      </c>
      <c r="P490" t="n">
        <v>0</v>
      </c>
      <c r="Q490" t="n">
        <v>0</v>
      </c>
      <c r="R490" s="2" t="inlineStr"/>
    </row>
    <row r="491" ht="15" customHeight="1">
      <c r="A491" t="inlineStr">
        <is>
          <t>A 34409-2018</t>
        </is>
      </c>
      <c r="B491" s="1" t="n">
        <v>43319</v>
      </c>
      <c r="C491" s="1" t="n">
        <v>45357</v>
      </c>
      <c r="D491" t="inlineStr">
        <is>
          <t>GÄVLEBORGS LÄN</t>
        </is>
      </c>
      <c r="E491" t="inlineStr">
        <is>
          <t>LJUSDAL</t>
        </is>
      </c>
      <c r="F491" t="inlineStr">
        <is>
          <t>Allmännings- och besparingsskogar</t>
        </is>
      </c>
      <c r="G491" t="n">
        <v>13</v>
      </c>
      <c r="H491" t="n">
        <v>0</v>
      </c>
      <c r="I491" t="n">
        <v>0</v>
      </c>
      <c r="J491" t="n">
        <v>0</v>
      </c>
      <c r="K491" t="n">
        <v>0</v>
      </c>
      <c r="L491" t="n">
        <v>0</v>
      </c>
      <c r="M491" t="n">
        <v>0</v>
      </c>
      <c r="N491" t="n">
        <v>0</v>
      </c>
      <c r="O491" t="n">
        <v>0</v>
      </c>
      <c r="P491" t="n">
        <v>0</v>
      </c>
      <c r="Q491" t="n">
        <v>0</v>
      </c>
      <c r="R491" s="2" t="inlineStr"/>
    </row>
    <row r="492" ht="15" customHeight="1">
      <c r="A492" t="inlineStr">
        <is>
          <t>A 34667-2018</t>
        </is>
      </c>
      <c r="B492" s="1" t="n">
        <v>43320</v>
      </c>
      <c r="C492" s="1" t="n">
        <v>45357</v>
      </c>
      <c r="D492" t="inlineStr">
        <is>
          <t>GÄVLEBORGS LÄN</t>
        </is>
      </c>
      <c r="E492" t="inlineStr">
        <is>
          <t>OVANÅKER</t>
        </is>
      </c>
      <c r="G492" t="n">
        <v>7.8</v>
      </c>
      <c r="H492" t="n">
        <v>0</v>
      </c>
      <c r="I492" t="n">
        <v>0</v>
      </c>
      <c r="J492" t="n">
        <v>0</v>
      </c>
      <c r="K492" t="n">
        <v>0</v>
      </c>
      <c r="L492" t="n">
        <v>0</v>
      </c>
      <c r="M492" t="n">
        <v>0</v>
      </c>
      <c r="N492" t="n">
        <v>0</v>
      </c>
      <c r="O492" t="n">
        <v>0</v>
      </c>
      <c r="P492" t="n">
        <v>0</v>
      </c>
      <c r="Q492" t="n">
        <v>0</v>
      </c>
      <c r="R492" s="2" t="inlineStr"/>
    </row>
    <row r="493" ht="15" customHeight="1">
      <c r="A493" t="inlineStr">
        <is>
          <t>A 34564-2018</t>
        </is>
      </c>
      <c r="B493" s="1" t="n">
        <v>43320</v>
      </c>
      <c r="C493" s="1" t="n">
        <v>45357</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36299-2018</t>
        </is>
      </c>
      <c r="B494" s="1" t="n">
        <v>43328</v>
      </c>
      <c r="C494" s="1" t="n">
        <v>45357</v>
      </c>
      <c r="D494" t="inlineStr">
        <is>
          <t>GÄVLEBORGS LÄN</t>
        </is>
      </c>
      <c r="E494" t="inlineStr">
        <is>
          <t>HUDIKSVALL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36371-2018</t>
        </is>
      </c>
      <c r="B495" s="1" t="n">
        <v>43329</v>
      </c>
      <c r="C495" s="1" t="n">
        <v>45357</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36427-2018</t>
        </is>
      </c>
      <c r="B496" s="1" t="n">
        <v>43329</v>
      </c>
      <c r="C496" s="1" t="n">
        <v>45357</v>
      </c>
      <c r="D496" t="inlineStr">
        <is>
          <t>GÄVLEBORGS LÄN</t>
        </is>
      </c>
      <c r="E496" t="inlineStr">
        <is>
          <t>LJUSDAL</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36482-2018</t>
        </is>
      </c>
      <c r="B497" s="1" t="n">
        <v>43329</v>
      </c>
      <c r="C497" s="1" t="n">
        <v>45357</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36496-2018</t>
        </is>
      </c>
      <c r="B498" s="1" t="n">
        <v>43329</v>
      </c>
      <c r="C498" s="1" t="n">
        <v>45357</v>
      </c>
      <c r="D498" t="inlineStr">
        <is>
          <t>GÄVLEBORGS LÄN</t>
        </is>
      </c>
      <c r="E498" t="inlineStr">
        <is>
          <t>SÖDERHAMN</t>
        </is>
      </c>
      <c r="G498" t="n">
        <v>3.9</v>
      </c>
      <c r="H498" t="n">
        <v>0</v>
      </c>
      <c r="I498" t="n">
        <v>0</v>
      </c>
      <c r="J498" t="n">
        <v>0</v>
      </c>
      <c r="K498" t="n">
        <v>0</v>
      </c>
      <c r="L498" t="n">
        <v>0</v>
      </c>
      <c r="M498" t="n">
        <v>0</v>
      </c>
      <c r="N498" t="n">
        <v>0</v>
      </c>
      <c r="O498" t="n">
        <v>0</v>
      </c>
      <c r="P498" t="n">
        <v>0</v>
      </c>
      <c r="Q498" t="n">
        <v>0</v>
      </c>
      <c r="R498" s="2" t="inlineStr"/>
    </row>
    <row r="499" ht="15" customHeight="1">
      <c r="A499" t="inlineStr">
        <is>
          <t>A 36368-2018</t>
        </is>
      </c>
      <c r="B499" s="1" t="n">
        <v>43329</v>
      </c>
      <c r="C499" s="1" t="n">
        <v>45357</v>
      </c>
      <c r="D499" t="inlineStr">
        <is>
          <t>GÄVLEBORGS LÄN</t>
        </is>
      </c>
      <c r="E499" t="inlineStr">
        <is>
          <t>LJUSDAL</t>
        </is>
      </c>
      <c r="G499" t="n">
        <v>21.5</v>
      </c>
      <c r="H499" t="n">
        <v>0</v>
      </c>
      <c r="I499" t="n">
        <v>0</v>
      </c>
      <c r="J499" t="n">
        <v>0</v>
      </c>
      <c r="K499" t="n">
        <v>0</v>
      </c>
      <c r="L499" t="n">
        <v>0</v>
      </c>
      <c r="M499" t="n">
        <v>0</v>
      </c>
      <c r="N499" t="n">
        <v>0</v>
      </c>
      <c r="O499" t="n">
        <v>0</v>
      </c>
      <c r="P499" t="n">
        <v>0</v>
      </c>
      <c r="Q499" t="n">
        <v>0</v>
      </c>
      <c r="R499" s="2" t="inlineStr"/>
    </row>
    <row r="500" ht="15" customHeight="1">
      <c r="A500" t="inlineStr">
        <is>
          <t>A 36416-2018</t>
        </is>
      </c>
      <c r="B500" s="1" t="n">
        <v>43329</v>
      </c>
      <c r="C500" s="1" t="n">
        <v>45357</v>
      </c>
      <c r="D500" t="inlineStr">
        <is>
          <t>GÄVLEBORGS LÄN</t>
        </is>
      </c>
      <c r="E500" t="inlineStr">
        <is>
          <t>LJUSDAL</t>
        </is>
      </c>
      <c r="G500" t="n">
        <v>11.5</v>
      </c>
      <c r="H500" t="n">
        <v>0</v>
      </c>
      <c r="I500" t="n">
        <v>0</v>
      </c>
      <c r="J500" t="n">
        <v>0</v>
      </c>
      <c r="K500" t="n">
        <v>0</v>
      </c>
      <c r="L500" t="n">
        <v>0</v>
      </c>
      <c r="M500" t="n">
        <v>0</v>
      </c>
      <c r="N500" t="n">
        <v>0</v>
      </c>
      <c r="O500" t="n">
        <v>0</v>
      </c>
      <c r="P500" t="n">
        <v>0</v>
      </c>
      <c r="Q500" t="n">
        <v>0</v>
      </c>
      <c r="R500" s="2" t="inlineStr"/>
    </row>
    <row r="501" ht="15" customHeight="1">
      <c r="A501" t="inlineStr">
        <is>
          <t>A 36861-2018</t>
        </is>
      </c>
      <c r="B501" s="1" t="n">
        <v>43332</v>
      </c>
      <c r="C501" s="1" t="n">
        <v>45357</v>
      </c>
      <c r="D501" t="inlineStr">
        <is>
          <t>GÄVLEBORGS LÄN</t>
        </is>
      </c>
      <c r="E501" t="inlineStr">
        <is>
          <t>GÄVLE</t>
        </is>
      </c>
      <c r="G501" t="n">
        <v>1</v>
      </c>
      <c r="H501" t="n">
        <v>0</v>
      </c>
      <c r="I501" t="n">
        <v>0</v>
      </c>
      <c r="J501" t="n">
        <v>0</v>
      </c>
      <c r="K501" t="n">
        <v>0</v>
      </c>
      <c r="L501" t="n">
        <v>0</v>
      </c>
      <c r="M501" t="n">
        <v>0</v>
      </c>
      <c r="N501" t="n">
        <v>0</v>
      </c>
      <c r="O501" t="n">
        <v>0</v>
      </c>
      <c r="P501" t="n">
        <v>0</v>
      </c>
      <c r="Q501" t="n">
        <v>0</v>
      </c>
      <c r="R501" s="2" t="inlineStr"/>
    </row>
    <row r="502" ht="15" customHeight="1">
      <c r="A502" t="inlineStr">
        <is>
          <t>A 37182-2018</t>
        </is>
      </c>
      <c r="B502" s="1" t="n">
        <v>43333</v>
      </c>
      <c r="C502" s="1" t="n">
        <v>45357</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37362-2018</t>
        </is>
      </c>
      <c r="B503" s="1" t="n">
        <v>43334</v>
      </c>
      <c r="C503" s="1" t="n">
        <v>45357</v>
      </c>
      <c r="D503" t="inlineStr">
        <is>
          <t>GÄVLEBORGS LÄN</t>
        </is>
      </c>
      <c r="E503" t="inlineStr">
        <is>
          <t>LJUSDAL</t>
        </is>
      </c>
      <c r="G503" t="n">
        <v>38.3</v>
      </c>
      <c r="H503" t="n">
        <v>0</v>
      </c>
      <c r="I503" t="n">
        <v>0</v>
      </c>
      <c r="J503" t="n">
        <v>0</v>
      </c>
      <c r="K503" t="n">
        <v>0</v>
      </c>
      <c r="L503" t="n">
        <v>0</v>
      </c>
      <c r="M503" t="n">
        <v>0</v>
      </c>
      <c r="N503" t="n">
        <v>0</v>
      </c>
      <c r="O503" t="n">
        <v>0</v>
      </c>
      <c r="P503" t="n">
        <v>0</v>
      </c>
      <c r="Q503" t="n">
        <v>0</v>
      </c>
      <c r="R503" s="2" t="inlineStr"/>
    </row>
    <row r="504" ht="15" customHeight="1">
      <c r="A504" t="inlineStr">
        <is>
          <t>A 38436-2018</t>
        </is>
      </c>
      <c r="B504" s="1" t="n">
        <v>43339</v>
      </c>
      <c r="C504" s="1" t="n">
        <v>45357</v>
      </c>
      <c r="D504" t="inlineStr">
        <is>
          <t>GÄVLEBORGS LÄN</t>
        </is>
      </c>
      <c r="E504" t="inlineStr">
        <is>
          <t>HUDIKSVALL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39690-2018</t>
        </is>
      </c>
      <c r="B505" s="1" t="n">
        <v>43342</v>
      </c>
      <c r="C505" s="1" t="n">
        <v>45357</v>
      </c>
      <c r="D505" t="inlineStr">
        <is>
          <t>GÄVLEBORGS LÄN</t>
        </is>
      </c>
      <c r="E505" t="inlineStr">
        <is>
          <t>LJUSDAL</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40928-2018</t>
        </is>
      </c>
      <c r="B506" s="1" t="n">
        <v>43346</v>
      </c>
      <c r="C506" s="1" t="n">
        <v>45357</v>
      </c>
      <c r="D506" t="inlineStr">
        <is>
          <t>GÄVLEBORGS LÄN</t>
        </is>
      </c>
      <c r="E506" t="inlineStr">
        <is>
          <t>OVANÅKER</t>
        </is>
      </c>
      <c r="G506" t="n">
        <v>1.4</v>
      </c>
      <c r="H506" t="n">
        <v>0</v>
      </c>
      <c r="I506" t="n">
        <v>0</v>
      </c>
      <c r="J506" t="n">
        <v>0</v>
      </c>
      <c r="K506" t="n">
        <v>0</v>
      </c>
      <c r="L506" t="n">
        <v>0</v>
      </c>
      <c r="M506" t="n">
        <v>0</v>
      </c>
      <c r="N506" t="n">
        <v>0</v>
      </c>
      <c r="O506" t="n">
        <v>0</v>
      </c>
      <c r="P506" t="n">
        <v>0</v>
      </c>
      <c r="Q506" t="n">
        <v>0</v>
      </c>
      <c r="R506" s="2" t="inlineStr"/>
    </row>
    <row r="507" ht="15" customHeight="1">
      <c r="A507" t="inlineStr">
        <is>
          <t>A 40927-2018</t>
        </is>
      </c>
      <c r="B507" s="1" t="n">
        <v>43347</v>
      </c>
      <c r="C507" s="1" t="n">
        <v>45357</v>
      </c>
      <c r="D507" t="inlineStr">
        <is>
          <t>GÄVLEBORGS LÄN</t>
        </is>
      </c>
      <c r="E507" t="inlineStr">
        <is>
          <t>LJUSDAL</t>
        </is>
      </c>
      <c r="G507" t="n">
        <v>42.1</v>
      </c>
      <c r="H507" t="n">
        <v>0</v>
      </c>
      <c r="I507" t="n">
        <v>0</v>
      </c>
      <c r="J507" t="n">
        <v>0</v>
      </c>
      <c r="K507" t="n">
        <v>0</v>
      </c>
      <c r="L507" t="n">
        <v>0</v>
      </c>
      <c r="M507" t="n">
        <v>0</v>
      </c>
      <c r="N507" t="n">
        <v>0</v>
      </c>
      <c r="O507" t="n">
        <v>0</v>
      </c>
      <c r="P507" t="n">
        <v>0</v>
      </c>
      <c r="Q507" t="n">
        <v>0</v>
      </c>
      <c r="R507" s="2" t="inlineStr"/>
    </row>
    <row r="508" ht="15" customHeight="1">
      <c r="A508" t="inlineStr">
        <is>
          <t>A 41240-2018</t>
        </is>
      </c>
      <c r="B508" s="1" t="n">
        <v>43348</v>
      </c>
      <c r="C508" s="1" t="n">
        <v>45357</v>
      </c>
      <c r="D508" t="inlineStr">
        <is>
          <t>GÄVLEBORGS LÄN</t>
        </is>
      </c>
      <c r="E508" t="inlineStr">
        <is>
          <t>LJUSDAL</t>
        </is>
      </c>
      <c r="G508" t="n">
        <v>33.6</v>
      </c>
      <c r="H508" t="n">
        <v>0</v>
      </c>
      <c r="I508" t="n">
        <v>0</v>
      </c>
      <c r="J508" t="n">
        <v>0</v>
      </c>
      <c r="K508" t="n">
        <v>0</v>
      </c>
      <c r="L508" t="n">
        <v>0</v>
      </c>
      <c r="M508" t="n">
        <v>0</v>
      </c>
      <c r="N508" t="n">
        <v>0</v>
      </c>
      <c r="O508" t="n">
        <v>0</v>
      </c>
      <c r="P508" t="n">
        <v>0</v>
      </c>
      <c r="Q508" t="n">
        <v>0</v>
      </c>
      <c r="R508" s="2" t="inlineStr"/>
    </row>
    <row r="509" ht="15" customHeight="1">
      <c r="A509" t="inlineStr">
        <is>
          <t>A 41117-2018</t>
        </is>
      </c>
      <c r="B509" s="1" t="n">
        <v>43348</v>
      </c>
      <c r="C509" s="1" t="n">
        <v>45357</v>
      </c>
      <c r="D509" t="inlineStr">
        <is>
          <t>GÄVLEBORGS LÄN</t>
        </is>
      </c>
      <c r="E509" t="inlineStr">
        <is>
          <t>GÄVLE</t>
        </is>
      </c>
      <c r="G509" t="n">
        <v>2.2</v>
      </c>
      <c r="H509" t="n">
        <v>0</v>
      </c>
      <c r="I509" t="n">
        <v>0</v>
      </c>
      <c r="J509" t="n">
        <v>0</v>
      </c>
      <c r="K509" t="n">
        <v>0</v>
      </c>
      <c r="L509" t="n">
        <v>0</v>
      </c>
      <c r="M509" t="n">
        <v>0</v>
      </c>
      <c r="N509" t="n">
        <v>0</v>
      </c>
      <c r="O509" t="n">
        <v>0</v>
      </c>
      <c r="P509" t="n">
        <v>0</v>
      </c>
      <c r="Q509" t="n">
        <v>0</v>
      </c>
      <c r="R509" s="2" t="inlineStr"/>
    </row>
    <row r="510" ht="15" customHeight="1">
      <c r="A510" t="inlineStr">
        <is>
          <t>A 41034-2018</t>
        </is>
      </c>
      <c r="B510" s="1" t="n">
        <v>43348</v>
      </c>
      <c r="C510" s="1" t="n">
        <v>45357</v>
      </c>
      <c r="D510" t="inlineStr">
        <is>
          <t>GÄVLEBORGS LÄN</t>
        </is>
      </c>
      <c r="E510" t="inlineStr">
        <is>
          <t>NORDANSTIG</t>
        </is>
      </c>
      <c r="G510" t="n">
        <v>5.9</v>
      </c>
      <c r="H510" t="n">
        <v>0</v>
      </c>
      <c r="I510" t="n">
        <v>0</v>
      </c>
      <c r="J510" t="n">
        <v>0</v>
      </c>
      <c r="K510" t="n">
        <v>0</v>
      </c>
      <c r="L510" t="n">
        <v>0</v>
      </c>
      <c r="M510" t="n">
        <v>0</v>
      </c>
      <c r="N510" t="n">
        <v>0</v>
      </c>
      <c r="O510" t="n">
        <v>0</v>
      </c>
      <c r="P510" t="n">
        <v>0</v>
      </c>
      <c r="Q510" t="n">
        <v>0</v>
      </c>
      <c r="R510" s="2" t="inlineStr"/>
    </row>
    <row r="511" ht="15" customHeight="1">
      <c r="A511" t="inlineStr">
        <is>
          <t>A 41077-2018</t>
        </is>
      </c>
      <c r="B511" s="1" t="n">
        <v>43348</v>
      </c>
      <c r="C511" s="1" t="n">
        <v>45357</v>
      </c>
      <c r="D511" t="inlineStr">
        <is>
          <t>GÄVLEBORGS LÄN</t>
        </is>
      </c>
      <c r="E511" t="inlineStr">
        <is>
          <t>LJUSDAL</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41395-2018</t>
        </is>
      </c>
      <c r="B512" s="1" t="n">
        <v>43349</v>
      </c>
      <c r="C512" s="1" t="n">
        <v>45357</v>
      </c>
      <c r="D512" t="inlineStr">
        <is>
          <t>GÄVLEBORGS LÄN</t>
        </is>
      </c>
      <c r="E512" t="inlineStr">
        <is>
          <t>OVANÅKER</t>
        </is>
      </c>
      <c r="G512" t="n">
        <v>1.2</v>
      </c>
      <c r="H512" t="n">
        <v>0</v>
      </c>
      <c r="I512" t="n">
        <v>0</v>
      </c>
      <c r="J512" t="n">
        <v>0</v>
      </c>
      <c r="K512" t="n">
        <v>0</v>
      </c>
      <c r="L512" t="n">
        <v>0</v>
      </c>
      <c r="M512" t="n">
        <v>0</v>
      </c>
      <c r="N512" t="n">
        <v>0</v>
      </c>
      <c r="O512" t="n">
        <v>0</v>
      </c>
      <c r="P512" t="n">
        <v>0</v>
      </c>
      <c r="Q512" t="n">
        <v>0</v>
      </c>
      <c r="R512" s="2" t="inlineStr"/>
    </row>
    <row r="513" ht="15" customHeight="1">
      <c r="A513" t="inlineStr">
        <is>
          <t>A 42043-2018</t>
        </is>
      </c>
      <c r="B513" s="1" t="n">
        <v>43349</v>
      </c>
      <c r="C513" s="1" t="n">
        <v>45357</v>
      </c>
      <c r="D513" t="inlineStr">
        <is>
          <t>GÄVLEBORGS LÄN</t>
        </is>
      </c>
      <c r="E513" t="inlineStr">
        <is>
          <t>OVANÅKER</t>
        </is>
      </c>
      <c r="G513" t="n">
        <v>0.7</v>
      </c>
      <c r="H513" t="n">
        <v>0</v>
      </c>
      <c r="I513" t="n">
        <v>0</v>
      </c>
      <c r="J513" t="n">
        <v>0</v>
      </c>
      <c r="K513" t="n">
        <v>0</v>
      </c>
      <c r="L513" t="n">
        <v>0</v>
      </c>
      <c r="M513" t="n">
        <v>0</v>
      </c>
      <c r="N513" t="n">
        <v>0</v>
      </c>
      <c r="O513" t="n">
        <v>0</v>
      </c>
      <c r="P513" t="n">
        <v>0</v>
      </c>
      <c r="Q513" t="n">
        <v>0</v>
      </c>
      <c r="R513" s="2" t="inlineStr"/>
    </row>
    <row r="514" ht="15" customHeight="1">
      <c r="A514" t="inlineStr">
        <is>
          <t>A 41350-2018</t>
        </is>
      </c>
      <c r="B514" s="1" t="n">
        <v>43349</v>
      </c>
      <c r="C514" s="1" t="n">
        <v>45357</v>
      </c>
      <c r="D514" t="inlineStr">
        <is>
          <t>GÄVLEBORGS LÄN</t>
        </is>
      </c>
      <c r="E514" t="inlineStr">
        <is>
          <t>OCKELBO</t>
        </is>
      </c>
      <c r="G514" t="n">
        <v>2</v>
      </c>
      <c r="H514" t="n">
        <v>0</v>
      </c>
      <c r="I514" t="n">
        <v>0</v>
      </c>
      <c r="J514" t="n">
        <v>0</v>
      </c>
      <c r="K514" t="n">
        <v>0</v>
      </c>
      <c r="L514" t="n">
        <v>0</v>
      </c>
      <c r="M514" t="n">
        <v>0</v>
      </c>
      <c r="N514" t="n">
        <v>0</v>
      </c>
      <c r="O514" t="n">
        <v>0</v>
      </c>
      <c r="P514" t="n">
        <v>0</v>
      </c>
      <c r="Q514" t="n">
        <v>0</v>
      </c>
      <c r="R514" s="2" t="inlineStr"/>
    </row>
    <row r="515" ht="15" customHeight="1">
      <c r="A515" t="inlineStr">
        <is>
          <t>A 41422-2018</t>
        </is>
      </c>
      <c r="B515" s="1" t="n">
        <v>43349</v>
      </c>
      <c r="C515" s="1" t="n">
        <v>45357</v>
      </c>
      <c r="D515" t="inlineStr">
        <is>
          <t>GÄVLEBORGS LÄN</t>
        </is>
      </c>
      <c r="E515" t="inlineStr">
        <is>
          <t>LJUSDAL</t>
        </is>
      </c>
      <c r="G515" t="n">
        <v>13.7</v>
      </c>
      <c r="H515" t="n">
        <v>0</v>
      </c>
      <c r="I515" t="n">
        <v>0</v>
      </c>
      <c r="J515" t="n">
        <v>0</v>
      </c>
      <c r="K515" t="n">
        <v>0</v>
      </c>
      <c r="L515" t="n">
        <v>0</v>
      </c>
      <c r="M515" t="n">
        <v>0</v>
      </c>
      <c r="N515" t="n">
        <v>0</v>
      </c>
      <c r="O515" t="n">
        <v>0</v>
      </c>
      <c r="P515" t="n">
        <v>0</v>
      </c>
      <c r="Q515" t="n">
        <v>0</v>
      </c>
      <c r="R515" s="2" t="inlineStr"/>
    </row>
    <row r="516" ht="15" customHeight="1">
      <c r="A516" t="inlineStr">
        <is>
          <t>A 41434-2018</t>
        </is>
      </c>
      <c r="B516" s="1" t="n">
        <v>43349</v>
      </c>
      <c r="C516" s="1" t="n">
        <v>45357</v>
      </c>
      <c r="D516" t="inlineStr">
        <is>
          <t>GÄVLEBORGS LÄN</t>
        </is>
      </c>
      <c r="E516" t="inlineStr">
        <is>
          <t>LJUSDAL</t>
        </is>
      </c>
      <c r="G516" t="n">
        <v>23.3</v>
      </c>
      <c r="H516" t="n">
        <v>0</v>
      </c>
      <c r="I516" t="n">
        <v>0</v>
      </c>
      <c r="J516" t="n">
        <v>0</v>
      </c>
      <c r="K516" t="n">
        <v>0</v>
      </c>
      <c r="L516" t="n">
        <v>0</v>
      </c>
      <c r="M516" t="n">
        <v>0</v>
      </c>
      <c r="N516" t="n">
        <v>0</v>
      </c>
      <c r="O516" t="n">
        <v>0</v>
      </c>
      <c r="P516" t="n">
        <v>0</v>
      </c>
      <c r="Q516" t="n">
        <v>0</v>
      </c>
      <c r="R516" s="2" t="inlineStr"/>
    </row>
    <row r="517" ht="15" customHeight="1">
      <c r="A517" t="inlineStr">
        <is>
          <t>A 41430-2018</t>
        </is>
      </c>
      <c r="B517" s="1" t="n">
        <v>43349</v>
      </c>
      <c r="C517" s="1" t="n">
        <v>45357</v>
      </c>
      <c r="D517" t="inlineStr">
        <is>
          <t>GÄVLEBORGS LÄN</t>
        </is>
      </c>
      <c r="E517" t="inlineStr">
        <is>
          <t>LJUSDAL</t>
        </is>
      </c>
      <c r="G517" t="n">
        <v>92.5</v>
      </c>
      <c r="H517" t="n">
        <v>0</v>
      </c>
      <c r="I517" t="n">
        <v>0</v>
      </c>
      <c r="J517" t="n">
        <v>0</v>
      </c>
      <c r="K517" t="n">
        <v>0</v>
      </c>
      <c r="L517" t="n">
        <v>0</v>
      </c>
      <c r="M517" t="n">
        <v>0</v>
      </c>
      <c r="N517" t="n">
        <v>0</v>
      </c>
      <c r="O517" t="n">
        <v>0</v>
      </c>
      <c r="P517" t="n">
        <v>0</v>
      </c>
      <c r="Q517" t="n">
        <v>0</v>
      </c>
      <c r="R517" s="2" t="inlineStr"/>
    </row>
    <row r="518" ht="15" customHeight="1">
      <c r="A518" t="inlineStr">
        <is>
          <t>A 42571-2018</t>
        </is>
      </c>
      <c r="B518" s="1" t="n">
        <v>43350</v>
      </c>
      <c r="C518" s="1" t="n">
        <v>45357</v>
      </c>
      <c r="D518" t="inlineStr">
        <is>
          <t>GÄVLEBORGS LÄN</t>
        </is>
      </c>
      <c r="E518" t="inlineStr">
        <is>
          <t>NORDANSTIG</t>
        </is>
      </c>
      <c r="G518" t="n">
        <v>11.5</v>
      </c>
      <c r="H518" t="n">
        <v>0</v>
      </c>
      <c r="I518" t="n">
        <v>0</v>
      </c>
      <c r="J518" t="n">
        <v>0</v>
      </c>
      <c r="K518" t="n">
        <v>0</v>
      </c>
      <c r="L518" t="n">
        <v>0</v>
      </c>
      <c r="M518" t="n">
        <v>0</v>
      </c>
      <c r="N518" t="n">
        <v>0</v>
      </c>
      <c r="O518" t="n">
        <v>0</v>
      </c>
      <c r="P518" t="n">
        <v>0</v>
      </c>
      <c r="Q518" t="n">
        <v>0</v>
      </c>
      <c r="R518" s="2" t="inlineStr"/>
    </row>
    <row r="519" ht="15" customHeight="1">
      <c r="A519" t="inlineStr">
        <is>
          <t>A 42647-2018</t>
        </is>
      </c>
      <c r="B519" s="1" t="n">
        <v>43350</v>
      </c>
      <c r="C519" s="1" t="n">
        <v>45357</v>
      </c>
      <c r="D519" t="inlineStr">
        <is>
          <t>GÄVLEBORGS LÄN</t>
        </is>
      </c>
      <c r="E519" t="inlineStr">
        <is>
          <t>HUDIKSVALL</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42116-2018</t>
        </is>
      </c>
      <c r="B520" s="1" t="n">
        <v>43353</v>
      </c>
      <c r="C520" s="1" t="n">
        <v>45357</v>
      </c>
      <c r="D520" t="inlineStr">
        <is>
          <t>GÄVLEBORGS LÄN</t>
        </is>
      </c>
      <c r="E520" t="inlineStr">
        <is>
          <t>NORDANSTIG</t>
        </is>
      </c>
      <c r="G520" t="n">
        <v>0.8</v>
      </c>
      <c r="H520" t="n">
        <v>0</v>
      </c>
      <c r="I520" t="n">
        <v>0</v>
      </c>
      <c r="J520" t="n">
        <v>0</v>
      </c>
      <c r="K520" t="n">
        <v>0</v>
      </c>
      <c r="L520" t="n">
        <v>0</v>
      </c>
      <c r="M520" t="n">
        <v>0</v>
      </c>
      <c r="N520" t="n">
        <v>0</v>
      </c>
      <c r="O520" t="n">
        <v>0</v>
      </c>
      <c r="P520" t="n">
        <v>0</v>
      </c>
      <c r="Q520" t="n">
        <v>0</v>
      </c>
      <c r="R520" s="2" t="inlineStr"/>
    </row>
    <row r="521" ht="15" customHeight="1">
      <c r="A521" t="inlineStr">
        <is>
          <t>A 42340-2018</t>
        </is>
      </c>
      <c r="B521" s="1" t="n">
        <v>43353</v>
      </c>
      <c r="C521" s="1" t="n">
        <v>45357</v>
      </c>
      <c r="D521" t="inlineStr">
        <is>
          <t>GÄVLEBORGS LÄN</t>
        </is>
      </c>
      <c r="E521" t="inlineStr">
        <is>
          <t>SANDVIKEN</t>
        </is>
      </c>
      <c r="G521" t="n">
        <v>0.5</v>
      </c>
      <c r="H521" t="n">
        <v>0</v>
      </c>
      <c r="I521" t="n">
        <v>0</v>
      </c>
      <c r="J521" t="n">
        <v>0</v>
      </c>
      <c r="K521" t="n">
        <v>0</v>
      </c>
      <c r="L521" t="n">
        <v>0</v>
      </c>
      <c r="M521" t="n">
        <v>0</v>
      </c>
      <c r="N521" t="n">
        <v>0</v>
      </c>
      <c r="O521" t="n">
        <v>0</v>
      </c>
      <c r="P521" t="n">
        <v>0</v>
      </c>
      <c r="Q521" t="n">
        <v>0</v>
      </c>
      <c r="R521" s="2" t="inlineStr"/>
    </row>
    <row r="522" ht="15" customHeight="1">
      <c r="A522" t="inlineStr">
        <is>
          <t>A 42164-2018</t>
        </is>
      </c>
      <c r="B522" s="1" t="n">
        <v>43353</v>
      </c>
      <c r="C522" s="1" t="n">
        <v>45357</v>
      </c>
      <c r="D522" t="inlineStr">
        <is>
          <t>GÄVLEBORGS LÄN</t>
        </is>
      </c>
      <c r="E522" t="inlineStr">
        <is>
          <t>LJUSDAL</t>
        </is>
      </c>
      <c r="G522" t="n">
        <v>3.5</v>
      </c>
      <c r="H522" t="n">
        <v>0</v>
      </c>
      <c r="I522" t="n">
        <v>0</v>
      </c>
      <c r="J522" t="n">
        <v>0</v>
      </c>
      <c r="K522" t="n">
        <v>0</v>
      </c>
      <c r="L522" t="n">
        <v>0</v>
      </c>
      <c r="M522" t="n">
        <v>0</v>
      </c>
      <c r="N522" t="n">
        <v>0</v>
      </c>
      <c r="O522" t="n">
        <v>0</v>
      </c>
      <c r="P522" t="n">
        <v>0</v>
      </c>
      <c r="Q522" t="n">
        <v>0</v>
      </c>
      <c r="R522" s="2" t="inlineStr"/>
    </row>
    <row r="523" ht="15" customHeight="1">
      <c r="A523" t="inlineStr">
        <is>
          <t>A 42287-2018</t>
        </is>
      </c>
      <c r="B523" s="1" t="n">
        <v>43353</v>
      </c>
      <c r="C523" s="1" t="n">
        <v>45357</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42785-2018</t>
        </is>
      </c>
      <c r="B524" s="1" t="n">
        <v>43354</v>
      </c>
      <c r="C524" s="1" t="n">
        <v>45357</v>
      </c>
      <c r="D524" t="inlineStr">
        <is>
          <t>GÄVLEBORGS LÄN</t>
        </is>
      </c>
      <c r="E524" t="inlineStr">
        <is>
          <t>LJUSDAL</t>
        </is>
      </c>
      <c r="F524" t="inlineStr">
        <is>
          <t>Holmen skog AB</t>
        </is>
      </c>
      <c r="G524" t="n">
        <v>166</v>
      </c>
      <c r="H524" t="n">
        <v>0</v>
      </c>
      <c r="I524" t="n">
        <v>0</v>
      </c>
      <c r="J524" t="n">
        <v>0</v>
      </c>
      <c r="K524" t="n">
        <v>0</v>
      </c>
      <c r="L524" t="n">
        <v>0</v>
      </c>
      <c r="M524" t="n">
        <v>0</v>
      </c>
      <c r="N524" t="n">
        <v>0</v>
      </c>
      <c r="O524" t="n">
        <v>0</v>
      </c>
      <c r="P524" t="n">
        <v>0</v>
      </c>
      <c r="Q524" t="n">
        <v>0</v>
      </c>
      <c r="R524" s="2" t="inlineStr"/>
    </row>
    <row r="525" ht="15" customHeight="1">
      <c r="A525" t="inlineStr">
        <is>
          <t>A 42876-2018</t>
        </is>
      </c>
      <c r="B525" s="1" t="n">
        <v>43355</v>
      </c>
      <c r="C525" s="1" t="n">
        <v>45357</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43119-2018</t>
        </is>
      </c>
      <c r="B526" s="1" t="n">
        <v>43355</v>
      </c>
      <c r="C526" s="1" t="n">
        <v>45357</v>
      </c>
      <c r="D526" t="inlineStr">
        <is>
          <t>GÄVLEBORGS LÄN</t>
        </is>
      </c>
      <c r="E526" t="inlineStr">
        <is>
          <t>LJUSDAL</t>
        </is>
      </c>
      <c r="F526" t="inlineStr">
        <is>
          <t>Allmännings- och besparingsskogar</t>
        </is>
      </c>
      <c r="G526" t="n">
        <v>38.3</v>
      </c>
      <c r="H526" t="n">
        <v>0</v>
      </c>
      <c r="I526" t="n">
        <v>0</v>
      </c>
      <c r="J526" t="n">
        <v>0</v>
      </c>
      <c r="K526" t="n">
        <v>0</v>
      </c>
      <c r="L526" t="n">
        <v>0</v>
      </c>
      <c r="M526" t="n">
        <v>0</v>
      </c>
      <c r="N526" t="n">
        <v>0</v>
      </c>
      <c r="O526" t="n">
        <v>0</v>
      </c>
      <c r="P526" t="n">
        <v>0</v>
      </c>
      <c r="Q526" t="n">
        <v>0</v>
      </c>
      <c r="R526" s="2" t="inlineStr"/>
    </row>
    <row r="527" ht="15" customHeight="1">
      <c r="A527" t="inlineStr">
        <is>
          <t>A 43114-2018</t>
        </is>
      </c>
      <c r="B527" s="1" t="n">
        <v>43355</v>
      </c>
      <c r="C527" s="1" t="n">
        <v>45357</v>
      </c>
      <c r="D527" t="inlineStr">
        <is>
          <t>GÄVLEBORGS LÄN</t>
        </is>
      </c>
      <c r="E527" t="inlineStr">
        <is>
          <t>LJUSDAL</t>
        </is>
      </c>
      <c r="F527" t="inlineStr">
        <is>
          <t>Allmännings- och besparingsskogar</t>
        </is>
      </c>
      <c r="G527" t="n">
        <v>10.9</v>
      </c>
      <c r="H527" t="n">
        <v>0</v>
      </c>
      <c r="I527" t="n">
        <v>0</v>
      </c>
      <c r="J527" t="n">
        <v>0</v>
      </c>
      <c r="K527" t="n">
        <v>0</v>
      </c>
      <c r="L527" t="n">
        <v>0</v>
      </c>
      <c r="M527" t="n">
        <v>0</v>
      </c>
      <c r="N527" t="n">
        <v>0</v>
      </c>
      <c r="O527" t="n">
        <v>0</v>
      </c>
      <c r="P527" t="n">
        <v>0</v>
      </c>
      <c r="Q527" t="n">
        <v>0</v>
      </c>
      <c r="R527" s="2" t="inlineStr"/>
    </row>
    <row r="528" ht="15" customHeight="1">
      <c r="A528" t="inlineStr">
        <is>
          <t>A 43655-2018</t>
        </is>
      </c>
      <c r="B528" s="1" t="n">
        <v>43357</v>
      </c>
      <c r="C528" s="1" t="n">
        <v>45357</v>
      </c>
      <c r="D528" t="inlineStr">
        <is>
          <t>GÄVLEBORGS LÄN</t>
        </is>
      </c>
      <c r="E528" t="inlineStr">
        <is>
          <t>HUDIKSVALL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44238-2018</t>
        </is>
      </c>
      <c r="B529" s="1" t="n">
        <v>43360</v>
      </c>
      <c r="C529" s="1" t="n">
        <v>45357</v>
      </c>
      <c r="D529" t="inlineStr">
        <is>
          <t>GÄVLEBORGS LÄN</t>
        </is>
      </c>
      <c r="E529" t="inlineStr">
        <is>
          <t>GÄVLE</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44175-2018</t>
        </is>
      </c>
      <c r="B530" s="1" t="n">
        <v>43360</v>
      </c>
      <c r="C530" s="1" t="n">
        <v>45357</v>
      </c>
      <c r="D530" t="inlineStr">
        <is>
          <t>GÄVLEBORGS LÄN</t>
        </is>
      </c>
      <c r="E530" t="inlineStr">
        <is>
          <t>BOLLNÄS</t>
        </is>
      </c>
      <c r="G530" t="n">
        <v>0.9</v>
      </c>
      <c r="H530" t="n">
        <v>0</v>
      </c>
      <c r="I530" t="n">
        <v>0</v>
      </c>
      <c r="J530" t="n">
        <v>0</v>
      </c>
      <c r="K530" t="n">
        <v>0</v>
      </c>
      <c r="L530" t="n">
        <v>0</v>
      </c>
      <c r="M530" t="n">
        <v>0</v>
      </c>
      <c r="N530" t="n">
        <v>0</v>
      </c>
      <c r="O530" t="n">
        <v>0</v>
      </c>
      <c r="P530" t="n">
        <v>0</v>
      </c>
      <c r="Q530" t="n">
        <v>0</v>
      </c>
      <c r="R530" s="2" t="inlineStr"/>
    </row>
    <row r="531" ht="15" customHeight="1">
      <c r="A531" t="inlineStr">
        <is>
          <t>A 44964-2018</t>
        </is>
      </c>
      <c r="B531" s="1" t="n">
        <v>43362</v>
      </c>
      <c r="C531" s="1" t="n">
        <v>45357</v>
      </c>
      <c r="D531" t="inlineStr">
        <is>
          <t>GÄVLEBORGS LÄN</t>
        </is>
      </c>
      <c r="E531" t="inlineStr">
        <is>
          <t>HUDIKSVALL</t>
        </is>
      </c>
      <c r="G531" t="n">
        <v>12.2</v>
      </c>
      <c r="H531" t="n">
        <v>0</v>
      </c>
      <c r="I531" t="n">
        <v>0</v>
      </c>
      <c r="J531" t="n">
        <v>0</v>
      </c>
      <c r="K531" t="n">
        <v>0</v>
      </c>
      <c r="L531" t="n">
        <v>0</v>
      </c>
      <c r="M531" t="n">
        <v>0</v>
      </c>
      <c r="N531" t="n">
        <v>0</v>
      </c>
      <c r="O531" t="n">
        <v>0</v>
      </c>
      <c r="P531" t="n">
        <v>0</v>
      </c>
      <c r="Q531" t="n">
        <v>0</v>
      </c>
      <c r="R531" s="2" t="inlineStr"/>
    </row>
    <row r="532" ht="15" customHeight="1">
      <c r="A532" t="inlineStr">
        <is>
          <t>A 44871-2018</t>
        </is>
      </c>
      <c r="B532" s="1" t="n">
        <v>43362</v>
      </c>
      <c r="C532" s="1" t="n">
        <v>45357</v>
      </c>
      <c r="D532" t="inlineStr">
        <is>
          <t>GÄVLEBORGS LÄN</t>
        </is>
      </c>
      <c r="E532" t="inlineStr">
        <is>
          <t>NORDANSTIG</t>
        </is>
      </c>
      <c r="G532" t="n">
        <v>1.1</v>
      </c>
      <c r="H532" t="n">
        <v>0</v>
      </c>
      <c r="I532" t="n">
        <v>0</v>
      </c>
      <c r="J532" t="n">
        <v>0</v>
      </c>
      <c r="K532" t="n">
        <v>0</v>
      </c>
      <c r="L532" t="n">
        <v>0</v>
      </c>
      <c r="M532" t="n">
        <v>0</v>
      </c>
      <c r="N532" t="n">
        <v>0</v>
      </c>
      <c r="O532" t="n">
        <v>0</v>
      </c>
      <c r="P532" t="n">
        <v>0</v>
      </c>
      <c r="Q532" t="n">
        <v>0</v>
      </c>
      <c r="R532" s="2" t="inlineStr"/>
    </row>
    <row r="533" ht="15" customHeight="1">
      <c r="A533" t="inlineStr">
        <is>
          <t>A 44961-2018</t>
        </is>
      </c>
      <c r="B533" s="1" t="n">
        <v>43362</v>
      </c>
      <c r="C533" s="1" t="n">
        <v>45357</v>
      </c>
      <c r="D533" t="inlineStr">
        <is>
          <t>GÄVLEBORGS LÄN</t>
        </is>
      </c>
      <c r="E533" t="inlineStr">
        <is>
          <t>HUDIKSVALL</t>
        </is>
      </c>
      <c r="G533" t="n">
        <v>23.1</v>
      </c>
      <c r="H533" t="n">
        <v>0</v>
      </c>
      <c r="I533" t="n">
        <v>0</v>
      </c>
      <c r="J533" t="n">
        <v>0</v>
      </c>
      <c r="K533" t="n">
        <v>0</v>
      </c>
      <c r="L533" t="n">
        <v>0</v>
      </c>
      <c r="M533" t="n">
        <v>0</v>
      </c>
      <c r="N533" t="n">
        <v>0</v>
      </c>
      <c r="O533" t="n">
        <v>0</v>
      </c>
      <c r="P533" t="n">
        <v>0</v>
      </c>
      <c r="Q533" t="n">
        <v>0</v>
      </c>
      <c r="R533" s="2" t="inlineStr"/>
    </row>
    <row r="534" ht="15" customHeight="1">
      <c r="A534" t="inlineStr">
        <is>
          <t>A 45906-2018</t>
        </is>
      </c>
      <c r="B534" s="1" t="n">
        <v>43363</v>
      </c>
      <c r="C534" s="1" t="n">
        <v>45357</v>
      </c>
      <c r="D534" t="inlineStr">
        <is>
          <t>GÄVLEBORGS LÄN</t>
        </is>
      </c>
      <c r="E534" t="inlineStr">
        <is>
          <t>HOFORS</t>
        </is>
      </c>
      <c r="G534" t="n">
        <v>3.8</v>
      </c>
      <c r="H534" t="n">
        <v>0</v>
      </c>
      <c r="I534" t="n">
        <v>0</v>
      </c>
      <c r="J534" t="n">
        <v>0</v>
      </c>
      <c r="K534" t="n">
        <v>0</v>
      </c>
      <c r="L534" t="n">
        <v>0</v>
      </c>
      <c r="M534" t="n">
        <v>0</v>
      </c>
      <c r="N534" t="n">
        <v>0</v>
      </c>
      <c r="O534" t="n">
        <v>0</v>
      </c>
      <c r="P534" t="n">
        <v>0</v>
      </c>
      <c r="Q534" t="n">
        <v>0</v>
      </c>
      <c r="R534" s="2" t="inlineStr"/>
    </row>
    <row r="535" ht="15" customHeight="1">
      <c r="A535" t="inlineStr">
        <is>
          <t>A 46117-2018</t>
        </is>
      </c>
      <c r="B535" s="1" t="n">
        <v>43363</v>
      </c>
      <c r="C535" s="1" t="n">
        <v>45357</v>
      </c>
      <c r="D535" t="inlineStr">
        <is>
          <t>GÄVLEBORGS LÄN</t>
        </is>
      </c>
      <c r="E535" t="inlineStr">
        <is>
          <t>OCKELBO</t>
        </is>
      </c>
      <c r="G535" t="n">
        <v>1.5</v>
      </c>
      <c r="H535" t="n">
        <v>0</v>
      </c>
      <c r="I535" t="n">
        <v>0</v>
      </c>
      <c r="J535" t="n">
        <v>0</v>
      </c>
      <c r="K535" t="n">
        <v>0</v>
      </c>
      <c r="L535" t="n">
        <v>0</v>
      </c>
      <c r="M535" t="n">
        <v>0</v>
      </c>
      <c r="N535" t="n">
        <v>0</v>
      </c>
      <c r="O535" t="n">
        <v>0</v>
      </c>
      <c r="P535" t="n">
        <v>0</v>
      </c>
      <c r="Q535" t="n">
        <v>0</v>
      </c>
      <c r="R535" s="2" t="inlineStr"/>
    </row>
    <row r="536" ht="15" customHeight="1">
      <c r="A536" t="inlineStr">
        <is>
          <t>A 46238-2018</t>
        </is>
      </c>
      <c r="B536" s="1" t="n">
        <v>43367</v>
      </c>
      <c r="C536" s="1" t="n">
        <v>45357</v>
      </c>
      <c r="D536" t="inlineStr">
        <is>
          <t>GÄVLEBORGS LÄN</t>
        </is>
      </c>
      <c r="E536" t="inlineStr">
        <is>
          <t>SANDVIKEN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47068-2018</t>
        </is>
      </c>
      <c r="B537" s="1" t="n">
        <v>43369</v>
      </c>
      <c r="C537" s="1" t="n">
        <v>45357</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47341-2018</t>
        </is>
      </c>
      <c r="B538" s="1" t="n">
        <v>43369</v>
      </c>
      <c r="C538" s="1" t="n">
        <v>45357</v>
      </c>
      <c r="D538" t="inlineStr">
        <is>
          <t>GÄVLEBORGS LÄN</t>
        </is>
      </c>
      <c r="E538" t="inlineStr">
        <is>
          <t>HUDIKSVALL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47801-2018</t>
        </is>
      </c>
      <c r="B539" s="1" t="n">
        <v>43369</v>
      </c>
      <c r="C539" s="1" t="n">
        <v>45357</v>
      </c>
      <c r="D539" t="inlineStr">
        <is>
          <t>GÄVLEBORGS LÄN</t>
        </is>
      </c>
      <c r="E539" t="inlineStr">
        <is>
          <t>LJUSDAL</t>
        </is>
      </c>
      <c r="F539" t="inlineStr">
        <is>
          <t>Allmännings- och besparingsskogar</t>
        </is>
      </c>
      <c r="G539" t="n">
        <v>20.9</v>
      </c>
      <c r="H539" t="n">
        <v>0</v>
      </c>
      <c r="I539" t="n">
        <v>0</v>
      </c>
      <c r="J539" t="n">
        <v>0</v>
      </c>
      <c r="K539" t="n">
        <v>0</v>
      </c>
      <c r="L539" t="n">
        <v>0</v>
      </c>
      <c r="M539" t="n">
        <v>0</v>
      </c>
      <c r="N539" t="n">
        <v>0</v>
      </c>
      <c r="O539" t="n">
        <v>0</v>
      </c>
      <c r="P539" t="n">
        <v>0</v>
      </c>
      <c r="Q539" t="n">
        <v>0</v>
      </c>
      <c r="R539" s="2" t="inlineStr"/>
    </row>
    <row r="540" ht="15" customHeight="1">
      <c r="A540" t="inlineStr">
        <is>
          <t>A 50739-2018</t>
        </is>
      </c>
      <c r="B540" s="1" t="n">
        <v>43369</v>
      </c>
      <c r="C540" s="1" t="n">
        <v>45357</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47720-2018</t>
        </is>
      </c>
      <c r="B541" s="1" t="n">
        <v>43370</v>
      </c>
      <c r="C541" s="1" t="n">
        <v>45357</v>
      </c>
      <c r="D541" t="inlineStr">
        <is>
          <t>GÄVLEBORGS LÄN</t>
        </is>
      </c>
      <c r="E541" t="inlineStr">
        <is>
          <t>LJUSDAL</t>
        </is>
      </c>
      <c r="F541" t="inlineStr">
        <is>
          <t>Kyrkan</t>
        </is>
      </c>
      <c r="G541" t="n">
        <v>17.1</v>
      </c>
      <c r="H541" t="n">
        <v>0</v>
      </c>
      <c r="I541" t="n">
        <v>0</v>
      </c>
      <c r="J541" t="n">
        <v>0</v>
      </c>
      <c r="K541" t="n">
        <v>0</v>
      </c>
      <c r="L541" t="n">
        <v>0</v>
      </c>
      <c r="M541" t="n">
        <v>0</v>
      </c>
      <c r="N541" t="n">
        <v>0</v>
      </c>
      <c r="O541" t="n">
        <v>0</v>
      </c>
      <c r="P541" t="n">
        <v>0</v>
      </c>
      <c r="Q541" t="n">
        <v>0</v>
      </c>
      <c r="R541" s="2" t="inlineStr"/>
    </row>
    <row r="542" ht="15" customHeight="1">
      <c r="A542" t="inlineStr">
        <is>
          <t>A 48439-2018</t>
        </is>
      </c>
      <c r="B542" s="1" t="n">
        <v>43374</v>
      </c>
      <c r="C542" s="1" t="n">
        <v>45357</v>
      </c>
      <c r="D542" t="inlineStr">
        <is>
          <t>GÄVLEBORGS LÄN</t>
        </is>
      </c>
      <c r="E542" t="inlineStr">
        <is>
          <t>HUDIKSVALL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48693-2018</t>
        </is>
      </c>
      <c r="B543" s="1" t="n">
        <v>43374</v>
      </c>
      <c r="C543" s="1" t="n">
        <v>45357</v>
      </c>
      <c r="D543" t="inlineStr">
        <is>
          <t>GÄVLEBORGS LÄN</t>
        </is>
      </c>
      <c r="E543" t="inlineStr">
        <is>
          <t>HUDIKSVALL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49007-2018</t>
        </is>
      </c>
      <c r="B544" s="1" t="n">
        <v>43375</v>
      </c>
      <c r="C544" s="1" t="n">
        <v>45357</v>
      </c>
      <c r="D544" t="inlineStr">
        <is>
          <t>GÄVLEBORGS LÄN</t>
        </is>
      </c>
      <c r="E544" t="inlineStr">
        <is>
          <t>BOLLNÄS</t>
        </is>
      </c>
      <c r="G544" t="n">
        <v>0.8</v>
      </c>
      <c r="H544" t="n">
        <v>0</v>
      </c>
      <c r="I544" t="n">
        <v>0</v>
      </c>
      <c r="J544" t="n">
        <v>0</v>
      </c>
      <c r="K544" t="n">
        <v>0</v>
      </c>
      <c r="L544" t="n">
        <v>0</v>
      </c>
      <c r="M544" t="n">
        <v>0</v>
      </c>
      <c r="N544" t="n">
        <v>0</v>
      </c>
      <c r="O544" t="n">
        <v>0</v>
      </c>
      <c r="P544" t="n">
        <v>0</v>
      </c>
      <c r="Q544" t="n">
        <v>0</v>
      </c>
      <c r="R544" s="2" t="inlineStr"/>
    </row>
    <row r="545" ht="15" customHeight="1">
      <c r="A545" t="inlineStr">
        <is>
          <t>A 49454-2018</t>
        </is>
      </c>
      <c r="B545" s="1" t="n">
        <v>43376</v>
      </c>
      <c r="C545" s="1" t="n">
        <v>45357</v>
      </c>
      <c r="D545" t="inlineStr">
        <is>
          <t>GÄVLEBORGS LÄN</t>
        </is>
      </c>
      <c r="E545" t="inlineStr">
        <is>
          <t>LJUSDAL</t>
        </is>
      </c>
      <c r="G545" t="n">
        <v>72.2</v>
      </c>
      <c r="H545" t="n">
        <v>0</v>
      </c>
      <c r="I545" t="n">
        <v>0</v>
      </c>
      <c r="J545" t="n">
        <v>0</v>
      </c>
      <c r="K545" t="n">
        <v>0</v>
      </c>
      <c r="L545" t="n">
        <v>0</v>
      </c>
      <c r="M545" t="n">
        <v>0</v>
      </c>
      <c r="N545" t="n">
        <v>0</v>
      </c>
      <c r="O545" t="n">
        <v>0</v>
      </c>
      <c r="P545" t="n">
        <v>0</v>
      </c>
      <c r="Q545" t="n">
        <v>0</v>
      </c>
      <c r="R545" s="2" t="inlineStr"/>
    </row>
    <row r="546" ht="15" customHeight="1">
      <c r="A546" t="inlineStr">
        <is>
          <t>A 49896-2018</t>
        </is>
      </c>
      <c r="B546" s="1" t="n">
        <v>43376</v>
      </c>
      <c r="C546" s="1" t="n">
        <v>45357</v>
      </c>
      <c r="D546" t="inlineStr">
        <is>
          <t>GÄVLEBORGS LÄN</t>
        </is>
      </c>
      <c r="E546" t="inlineStr">
        <is>
          <t>SANDVIKEN</t>
        </is>
      </c>
      <c r="G546" t="n">
        <v>1.7</v>
      </c>
      <c r="H546" t="n">
        <v>0</v>
      </c>
      <c r="I546" t="n">
        <v>0</v>
      </c>
      <c r="J546" t="n">
        <v>0</v>
      </c>
      <c r="K546" t="n">
        <v>0</v>
      </c>
      <c r="L546" t="n">
        <v>0</v>
      </c>
      <c r="M546" t="n">
        <v>0</v>
      </c>
      <c r="N546" t="n">
        <v>0</v>
      </c>
      <c r="O546" t="n">
        <v>0</v>
      </c>
      <c r="P546" t="n">
        <v>0</v>
      </c>
      <c r="Q546" t="n">
        <v>0</v>
      </c>
      <c r="R546" s="2" t="inlineStr"/>
    </row>
    <row r="547" ht="15" customHeight="1">
      <c r="A547" t="inlineStr">
        <is>
          <t>A 50036-2018</t>
        </is>
      </c>
      <c r="B547" s="1" t="n">
        <v>43377</v>
      </c>
      <c r="C547" s="1" t="n">
        <v>45357</v>
      </c>
      <c r="D547" t="inlineStr">
        <is>
          <t>GÄVLEBORGS LÄN</t>
        </is>
      </c>
      <c r="E547" t="inlineStr">
        <is>
          <t>HUDIKSVALL</t>
        </is>
      </c>
      <c r="G547" t="n">
        <v>12.1</v>
      </c>
      <c r="H547" t="n">
        <v>0</v>
      </c>
      <c r="I547" t="n">
        <v>0</v>
      </c>
      <c r="J547" t="n">
        <v>0</v>
      </c>
      <c r="K547" t="n">
        <v>0</v>
      </c>
      <c r="L547" t="n">
        <v>0</v>
      </c>
      <c r="M547" t="n">
        <v>0</v>
      </c>
      <c r="N547" t="n">
        <v>0</v>
      </c>
      <c r="O547" t="n">
        <v>0</v>
      </c>
      <c r="P547" t="n">
        <v>0</v>
      </c>
      <c r="Q547" t="n">
        <v>0</v>
      </c>
      <c r="R547" s="2" t="inlineStr"/>
    </row>
    <row r="548" ht="15" customHeight="1">
      <c r="A548" t="inlineStr">
        <is>
          <t>A 51194-2018</t>
        </is>
      </c>
      <c r="B548" s="1" t="n">
        <v>43377</v>
      </c>
      <c r="C548" s="1" t="n">
        <v>45357</v>
      </c>
      <c r="D548" t="inlineStr">
        <is>
          <t>GÄVLEBORGS LÄN</t>
        </is>
      </c>
      <c r="E548" t="inlineStr">
        <is>
          <t>HUDIKSVALL</t>
        </is>
      </c>
      <c r="F548" t="inlineStr">
        <is>
          <t>Holmen skog AB</t>
        </is>
      </c>
      <c r="G548" t="n">
        <v>2.7</v>
      </c>
      <c r="H548" t="n">
        <v>0</v>
      </c>
      <c r="I548" t="n">
        <v>0</v>
      </c>
      <c r="J548" t="n">
        <v>0</v>
      </c>
      <c r="K548" t="n">
        <v>0</v>
      </c>
      <c r="L548" t="n">
        <v>0</v>
      </c>
      <c r="M548" t="n">
        <v>0</v>
      </c>
      <c r="N548" t="n">
        <v>0</v>
      </c>
      <c r="O548" t="n">
        <v>0</v>
      </c>
      <c r="P548" t="n">
        <v>0</v>
      </c>
      <c r="Q548" t="n">
        <v>0</v>
      </c>
      <c r="R548" s="2" t="inlineStr"/>
    </row>
    <row r="549" ht="15" customHeight="1">
      <c r="A549" t="inlineStr">
        <is>
          <t>A 49766-2018</t>
        </is>
      </c>
      <c r="B549" s="1" t="n">
        <v>43377</v>
      </c>
      <c r="C549" s="1" t="n">
        <v>45357</v>
      </c>
      <c r="D549" t="inlineStr">
        <is>
          <t>GÄVLEBORGS LÄN</t>
        </is>
      </c>
      <c r="E549" t="inlineStr">
        <is>
          <t>LJUSDAL</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51101-2018</t>
        </is>
      </c>
      <c r="B550" s="1" t="n">
        <v>43378</v>
      </c>
      <c r="C550" s="1" t="n">
        <v>45357</v>
      </c>
      <c r="D550" t="inlineStr">
        <is>
          <t>GÄVLEBORGS LÄN</t>
        </is>
      </c>
      <c r="E550" t="inlineStr">
        <is>
          <t>NORDANSTIG</t>
        </is>
      </c>
      <c r="G550" t="n">
        <v>1.2</v>
      </c>
      <c r="H550" t="n">
        <v>0</v>
      </c>
      <c r="I550" t="n">
        <v>0</v>
      </c>
      <c r="J550" t="n">
        <v>0</v>
      </c>
      <c r="K550" t="n">
        <v>0</v>
      </c>
      <c r="L550" t="n">
        <v>0</v>
      </c>
      <c r="M550" t="n">
        <v>0</v>
      </c>
      <c r="N550" t="n">
        <v>0</v>
      </c>
      <c r="O550" t="n">
        <v>0</v>
      </c>
      <c r="P550" t="n">
        <v>0</v>
      </c>
      <c r="Q550" t="n">
        <v>0</v>
      </c>
      <c r="R550" s="2" t="inlineStr"/>
    </row>
    <row r="551" ht="15" customHeight="1">
      <c r="A551" t="inlineStr">
        <is>
          <t>A 51105-2018</t>
        </is>
      </c>
      <c r="B551" s="1" t="n">
        <v>43378</v>
      </c>
      <c r="C551" s="1" t="n">
        <v>45357</v>
      </c>
      <c r="D551" t="inlineStr">
        <is>
          <t>GÄVLEBORGS LÄN</t>
        </is>
      </c>
      <c r="E551" t="inlineStr">
        <is>
          <t>NORDANSTIG</t>
        </is>
      </c>
      <c r="G551" t="n">
        <v>1.6</v>
      </c>
      <c r="H551" t="n">
        <v>0</v>
      </c>
      <c r="I551" t="n">
        <v>0</v>
      </c>
      <c r="J551" t="n">
        <v>0</v>
      </c>
      <c r="K551" t="n">
        <v>0</v>
      </c>
      <c r="L551" t="n">
        <v>0</v>
      </c>
      <c r="M551" t="n">
        <v>0</v>
      </c>
      <c r="N551" t="n">
        <v>0</v>
      </c>
      <c r="O551" t="n">
        <v>0</v>
      </c>
      <c r="P551" t="n">
        <v>0</v>
      </c>
      <c r="Q551" t="n">
        <v>0</v>
      </c>
      <c r="R551" s="2" t="inlineStr"/>
    </row>
    <row r="552" ht="15" customHeight="1">
      <c r="A552" t="inlineStr">
        <is>
          <t>A 50744-2018</t>
        </is>
      </c>
      <c r="B552" s="1" t="n">
        <v>43381</v>
      </c>
      <c r="C552" s="1" t="n">
        <v>45357</v>
      </c>
      <c r="D552" t="inlineStr">
        <is>
          <t>GÄVLEBORGS LÄN</t>
        </is>
      </c>
      <c r="E552" t="inlineStr">
        <is>
          <t>LJUSDAL</t>
        </is>
      </c>
      <c r="G552" t="n">
        <v>54.3</v>
      </c>
      <c r="H552" t="n">
        <v>0</v>
      </c>
      <c r="I552" t="n">
        <v>0</v>
      </c>
      <c r="J552" t="n">
        <v>0</v>
      </c>
      <c r="K552" t="n">
        <v>0</v>
      </c>
      <c r="L552" t="n">
        <v>0</v>
      </c>
      <c r="M552" t="n">
        <v>0</v>
      </c>
      <c r="N552" t="n">
        <v>0</v>
      </c>
      <c r="O552" t="n">
        <v>0</v>
      </c>
      <c r="P552" t="n">
        <v>0</v>
      </c>
      <c r="Q552" t="n">
        <v>0</v>
      </c>
      <c r="R552" s="2" t="inlineStr"/>
    </row>
    <row r="553" ht="15" customHeight="1">
      <c r="A553" t="inlineStr">
        <is>
          <t>A 50737-2018</t>
        </is>
      </c>
      <c r="B553" s="1" t="n">
        <v>43381</v>
      </c>
      <c r="C553" s="1" t="n">
        <v>45357</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51986-2018</t>
        </is>
      </c>
      <c r="B554" s="1" t="n">
        <v>43381</v>
      </c>
      <c r="C554" s="1" t="n">
        <v>45357</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50800-2018</t>
        </is>
      </c>
      <c r="B555" s="1" t="n">
        <v>43381</v>
      </c>
      <c r="C555" s="1" t="n">
        <v>45357</v>
      </c>
      <c r="D555" t="inlineStr">
        <is>
          <t>GÄVLEBORGS LÄN</t>
        </is>
      </c>
      <c r="E555" t="inlineStr">
        <is>
          <t>LJUSDAL</t>
        </is>
      </c>
      <c r="G555" t="n">
        <v>54.9</v>
      </c>
      <c r="H555" t="n">
        <v>0</v>
      </c>
      <c r="I555" t="n">
        <v>0</v>
      </c>
      <c r="J555" t="n">
        <v>0</v>
      </c>
      <c r="K555" t="n">
        <v>0</v>
      </c>
      <c r="L555" t="n">
        <v>0</v>
      </c>
      <c r="M555" t="n">
        <v>0</v>
      </c>
      <c r="N555" t="n">
        <v>0</v>
      </c>
      <c r="O555" t="n">
        <v>0</v>
      </c>
      <c r="P555" t="n">
        <v>0</v>
      </c>
      <c r="Q555" t="n">
        <v>0</v>
      </c>
      <c r="R555" s="2" t="inlineStr"/>
    </row>
    <row r="556" ht="15" customHeight="1">
      <c r="A556" t="inlineStr">
        <is>
          <t>A 52232-2018</t>
        </is>
      </c>
      <c r="B556" s="1" t="n">
        <v>43382</v>
      </c>
      <c r="C556" s="1" t="n">
        <v>45357</v>
      </c>
      <c r="D556" t="inlineStr">
        <is>
          <t>GÄVLEBORGS LÄN</t>
        </is>
      </c>
      <c r="E556" t="inlineStr">
        <is>
          <t>OVANÅKER</t>
        </is>
      </c>
      <c r="G556" t="n">
        <v>5.4</v>
      </c>
      <c r="H556" t="n">
        <v>0</v>
      </c>
      <c r="I556" t="n">
        <v>0</v>
      </c>
      <c r="J556" t="n">
        <v>0</v>
      </c>
      <c r="K556" t="n">
        <v>0</v>
      </c>
      <c r="L556" t="n">
        <v>0</v>
      </c>
      <c r="M556" t="n">
        <v>0</v>
      </c>
      <c r="N556" t="n">
        <v>0</v>
      </c>
      <c r="O556" t="n">
        <v>0</v>
      </c>
      <c r="P556" t="n">
        <v>0</v>
      </c>
      <c r="Q556" t="n">
        <v>0</v>
      </c>
      <c r="R556" s="2" t="inlineStr"/>
    </row>
    <row r="557" ht="15" customHeight="1">
      <c r="A557" t="inlineStr">
        <is>
          <t>A 59762-2018</t>
        </is>
      </c>
      <c r="B557" s="1" t="n">
        <v>43382</v>
      </c>
      <c r="C557" s="1" t="n">
        <v>45357</v>
      </c>
      <c r="D557" t="inlineStr">
        <is>
          <t>GÄVLEBORGS LÄN</t>
        </is>
      </c>
      <c r="E557" t="inlineStr">
        <is>
          <t>GÄVLE</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51014-2018</t>
        </is>
      </c>
      <c r="B558" s="1" t="n">
        <v>43382</v>
      </c>
      <c r="C558" s="1" t="n">
        <v>45357</v>
      </c>
      <c r="D558" t="inlineStr">
        <is>
          <t>GÄVLEBORGS LÄN</t>
        </is>
      </c>
      <c r="E558" t="inlineStr">
        <is>
          <t>LJUSDAL</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50992-2018</t>
        </is>
      </c>
      <c r="B559" s="1" t="n">
        <v>43382</v>
      </c>
      <c r="C559" s="1" t="n">
        <v>45357</v>
      </c>
      <c r="D559" t="inlineStr">
        <is>
          <t>GÄVLEBORGS LÄN</t>
        </is>
      </c>
      <c r="E559" t="inlineStr">
        <is>
          <t>BOLLNÄS</t>
        </is>
      </c>
      <c r="G559" t="n">
        <v>2.8</v>
      </c>
      <c r="H559" t="n">
        <v>0</v>
      </c>
      <c r="I559" t="n">
        <v>0</v>
      </c>
      <c r="J559" t="n">
        <v>0</v>
      </c>
      <c r="K559" t="n">
        <v>0</v>
      </c>
      <c r="L559" t="n">
        <v>0</v>
      </c>
      <c r="M559" t="n">
        <v>0</v>
      </c>
      <c r="N559" t="n">
        <v>0</v>
      </c>
      <c r="O559" t="n">
        <v>0</v>
      </c>
      <c r="P559" t="n">
        <v>0</v>
      </c>
      <c r="Q559" t="n">
        <v>0</v>
      </c>
      <c r="R559" s="2" t="inlineStr"/>
    </row>
    <row r="560" ht="15" customHeight="1">
      <c r="A560" t="inlineStr">
        <is>
          <t>A 51016-2018</t>
        </is>
      </c>
      <c r="B560" s="1" t="n">
        <v>43382</v>
      </c>
      <c r="C560" s="1" t="n">
        <v>45357</v>
      </c>
      <c r="D560" t="inlineStr">
        <is>
          <t>GÄVLEBORGS LÄN</t>
        </is>
      </c>
      <c r="E560" t="inlineStr">
        <is>
          <t>LJUSDAL</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51423-2018</t>
        </is>
      </c>
      <c r="B561" s="1" t="n">
        <v>43383</v>
      </c>
      <c r="C561" s="1" t="n">
        <v>45357</v>
      </c>
      <c r="D561" t="inlineStr">
        <is>
          <t>GÄVLEBORGS LÄN</t>
        </is>
      </c>
      <c r="E561" t="inlineStr">
        <is>
          <t>HUDIKSVALL</t>
        </is>
      </c>
      <c r="G561" t="n">
        <v>13.1</v>
      </c>
      <c r="H561" t="n">
        <v>0</v>
      </c>
      <c r="I561" t="n">
        <v>0</v>
      </c>
      <c r="J561" t="n">
        <v>0</v>
      </c>
      <c r="K561" t="n">
        <v>0</v>
      </c>
      <c r="L561" t="n">
        <v>0</v>
      </c>
      <c r="M561" t="n">
        <v>0</v>
      </c>
      <c r="N561" t="n">
        <v>0</v>
      </c>
      <c r="O561" t="n">
        <v>0</v>
      </c>
      <c r="P561" t="n">
        <v>0</v>
      </c>
      <c r="Q561" t="n">
        <v>0</v>
      </c>
      <c r="R561" s="2" t="inlineStr"/>
    </row>
    <row r="562" ht="15" customHeight="1">
      <c r="A562" t="inlineStr">
        <is>
          <t>A 52628-2018</t>
        </is>
      </c>
      <c r="B562" s="1" t="n">
        <v>43383</v>
      </c>
      <c r="C562" s="1" t="n">
        <v>45357</v>
      </c>
      <c r="D562" t="inlineStr">
        <is>
          <t>GÄVLEBORGS LÄN</t>
        </is>
      </c>
      <c r="E562" t="inlineStr">
        <is>
          <t>OCKELBO</t>
        </is>
      </c>
      <c r="G562" t="n">
        <v>1.5</v>
      </c>
      <c r="H562" t="n">
        <v>0</v>
      </c>
      <c r="I562" t="n">
        <v>0</v>
      </c>
      <c r="J562" t="n">
        <v>0</v>
      </c>
      <c r="K562" t="n">
        <v>0</v>
      </c>
      <c r="L562" t="n">
        <v>0</v>
      </c>
      <c r="M562" t="n">
        <v>0</v>
      </c>
      <c r="N562" t="n">
        <v>0</v>
      </c>
      <c r="O562" t="n">
        <v>0</v>
      </c>
      <c r="P562" t="n">
        <v>0</v>
      </c>
      <c r="Q562" t="n">
        <v>0</v>
      </c>
      <c r="R562" s="2" t="inlineStr"/>
    </row>
    <row r="563" ht="15" customHeight="1">
      <c r="A563" t="inlineStr">
        <is>
          <t>A 62146-2018</t>
        </is>
      </c>
      <c r="B563" s="1" t="n">
        <v>43385</v>
      </c>
      <c r="C563" s="1" t="n">
        <v>45357</v>
      </c>
      <c r="D563" t="inlineStr">
        <is>
          <t>GÄVLEBORGS LÄN</t>
        </is>
      </c>
      <c r="E563" t="inlineStr">
        <is>
          <t>LJUSDAL</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52001-2018</t>
        </is>
      </c>
      <c r="B564" s="1" t="n">
        <v>43385</v>
      </c>
      <c r="C564" s="1" t="n">
        <v>45357</v>
      </c>
      <c r="D564" t="inlineStr">
        <is>
          <t>GÄVLEBORGS LÄN</t>
        </is>
      </c>
      <c r="E564" t="inlineStr">
        <is>
          <t>HUDIKSVALL</t>
        </is>
      </c>
      <c r="G564" t="n">
        <v>1</v>
      </c>
      <c r="H564" t="n">
        <v>0</v>
      </c>
      <c r="I564" t="n">
        <v>0</v>
      </c>
      <c r="J564" t="n">
        <v>0</v>
      </c>
      <c r="K564" t="n">
        <v>0</v>
      </c>
      <c r="L564" t="n">
        <v>0</v>
      </c>
      <c r="M564" t="n">
        <v>0</v>
      </c>
      <c r="N564" t="n">
        <v>0</v>
      </c>
      <c r="O564" t="n">
        <v>0</v>
      </c>
      <c r="P564" t="n">
        <v>0</v>
      </c>
      <c r="Q564" t="n">
        <v>0</v>
      </c>
      <c r="R564" s="2" t="inlineStr"/>
    </row>
    <row r="565" ht="15" customHeight="1">
      <c r="A565" t="inlineStr">
        <is>
          <t>A 62143-2018</t>
        </is>
      </c>
      <c r="B565" s="1" t="n">
        <v>43385</v>
      </c>
      <c r="C565" s="1" t="n">
        <v>45357</v>
      </c>
      <c r="D565" t="inlineStr">
        <is>
          <t>GÄVLEBORGS LÄN</t>
        </is>
      </c>
      <c r="E565" t="inlineStr">
        <is>
          <t>OCKELBO</t>
        </is>
      </c>
      <c r="F565" t="inlineStr">
        <is>
          <t>Bergvik skog väst AB</t>
        </is>
      </c>
      <c r="G565" t="n">
        <v>19.6</v>
      </c>
      <c r="H565" t="n">
        <v>0</v>
      </c>
      <c r="I565" t="n">
        <v>0</v>
      </c>
      <c r="J565" t="n">
        <v>0</v>
      </c>
      <c r="K565" t="n">
        <v>0</v>
      </c>
      <c r="L565" t="n">
        <v>0</v>
      </c>
      <c r="M565" t="n">
        <v>0</v>
      </c>
      <c r="N565" t="n">
        <v>0</v>
      </c>
      <c r="O565" t="n">
        <v>0</v>
      </c>
      <c r="P565" t="n">
        <v>0</v>
      </c>
      <c r="Q565" t="n">
        <v>0</v>
      </c>
      <c r="R565" s="2" t="inlineStr"/>
    </row>
    <row r="566" ht="15" customHeight="1">
      <c r="A566" t="inlineStr">
        <is>
          <t>A 52041-2018</t>
        </is>
      </c>
      <c r="B566" s="1" t="n">
        <v>43385</v>
      </c>
      <c r="C566" s="1" t="n">
        <v>45357</v>
      </c>
      <c r="D566" t="inlineStr">
        <is>
          <t>GÄVLEBORGS LÄN</t>
        </is>
      </c>
      <c r="E566" t="inlineStr">
        <is>
          <t>LJUSDAL</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51976-2018</t>
        </is>
      </c>
      <c r="B567" s="1" t="n">
        <v>43385</v>
      </c>
      <c r="C567" s="1" t="n">
        <v>45357</v>
      </c>
      <c r="D567" t="inlineStr">
        <is>
          <t>GÄVLEBORGS LÄN</t>
        </is>
      </c>
      <c r="E567" t="inlineStr">
        <is>
          <t>NORDANSTIG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51929-2018</t>
        </is>
      </c>
      <c r="B568" s="1" t="n">
        <v>43385</v>
      </c>
      <c r="C568" s="1" t="n">
        <v>45357</v>
      </c>
      <c r="D568" t="inlineStr">
        <is>
          <t>GÄVLEBORGS LÄN</t>
        </is>
      </c>
      <c r="E568" t="inlineStr">
        <is>
          <t>NORDANSTIG</t>
        </is>
      </c>
      <c r="G568" t="n">
        <v>0.7</v>
      </c>
      <c r="H568" t="n">
        <v>0</v>
      </c>
      <c r="I568" t="n">
        <v>0</v>
      </c>
      <c r="J568" t="n">
        <v>0</v>
      </c>
      <c r="K568" t="n">
        <v>0</v>
      </c>
      <c r="L568" t="n">
        <v>0</v>
      </c>
      <c r="M568" t="n">
        <v>0</v>
      </c>
      <c r="N568" t="n">
        <v>0</v>
      </c>
      <c r="O568" t="n">
        <v>0</v>
      </c>
      <c r="P568" t="n">
        <v>0</v>
      </c>
      <c r="Q568" t="n">
        <v>0</v>
      </c>
      <c r="R568" s="2" t="inlineStr"/>
    </row>
    <row r="569" ht="15" customHeight="1">
      <c r="A569" t="inlineStr">
        <is>
          <t>A 72677-2018</t>
        </is>
      </c>
      <c r="B569" s="1" t="n">
        <v>43389</v>
      </c>
      <c r="C569" s="1" t="n">
        <v>45357</v>
      </c>
      <c r="D569" t="inlineStr">
        <is>
          <t>GÄVLEBORGS LÄN</t>
        </is>
      </c>
      <c r="E569" t="inlineStr">
        <is>
          <t>BOLLNÄS</t>
        </is>
      </c>
      <c r="G569" t="n">
        <v>4.2</v>
      </c>
      <c r="H569" t="n">
        <v>0</v>
      </c>
      <c r="I569" t="n">
        <v>0</v>
      </c>
      <c r="J569" t="n">
        <v>0</v>
      </c>
      <c r="K569" t="n">
        <v>0</v>
      </c>
      <c r="L569" t="n">
        <v>0</v>
      </c>
      <c r="M569" t="n">
        <v>0</v>
      </c>
      <c r="N569" t="n">
        <v>0</v>
      </c>
      <c r="O569" t="n">
        <v>0</v>
      </c>
      <c r="P569" t="n">
        <v>0</v>
      </c>
      <c r="Q569" t="n">
        <v>0</v>
      </c>
      <c r="R569" s="2" t="inlineStr"/>
    </row>
    <row r="570" ht="15" customHeight="1">
      <c r="A570" t="inlineStr">
        <is>
          <t>A 63970-2018</t>
        </is>
      </c>
      <c r="B570" s="1" t="n">
        <v>43389</v>
      </c>
      <c r="C570" s="1" t="n">
        <v>45357</v>
      </c>
      <c r="D570" t="inlineStr">
        <is>
          <t>GÄVLEBORGS LÄN</t>
        </is>
      </c>
      <c r="E570" t="inlineStr">
        <is>
          <t>LJUSDAL</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53763-2018</t>
        </is>
      </c>
      <c r="B571" s="1" t="n">
        <v>43391</v>
      </c>
      <c r="C571" s="1" t="n">
        <v>45357</v>
      </c>
      <c r="D571" t="inlineStr">
        <is>
          <t>GÄVLEBORGS LÄN</t>
        </is>
      </c>
      <c r="E571" t="inlineStr">
        <is>
          <t>LJUSDAL</t>
        </is>
      </c>
      <c r="G571" t="n">
        <v>4.5</v>
      </c>
      <c r="H571" t="n">
        <v>0</v>
      </c>
      <c r="I571" t="n">
        <v>0</v>
      </c>
      <c r="J571" t="n">
        <v>0</v>
      </c>
      <c r="K571" t="n">
        <v>0</v>
      </c>
      <c r="L571" t="n">
        <v>0</v>
      </c>
      <c r="M571" t="n">
        <v>0</v>
      </c>
      <c r="N571" t="n">
        <v>0</v>
      </c>
      <c r="O571" t="n">
        <v>0</v>
      </c>
      <c r="P571" t="n">
        <v>0</v>
      </c>
      <c r="Q571" t="n">
        <v>0</v>
      </c>
      <c r="R571" s="2" t="inlineStr"/>
    </row>
    <row r="572" ht="15" customHeight="1">
      <c r="A572" t="inlineStr">
        <is>
          <t>A 53768-2018</t>
        </is>
      </c>
      <c r="B572" s="1" t="n">
        <v>43391</v>
      </c>
      <c r="C572" s="1" t="n">
        <v>45357</v>
      </c>
      <c r="D572" t="inlineStr">
        <is>
          <t>GÄVLEBORGS LÄN</t>
        </is>
      </c>
      <c r="E572" t="inlineStr">
        <is>
          <t>LJUSDAL</t>
        </is>
      </c>
      <c r="G572" t="n">
        <v>15.8</v>
      </c>
      <c r="H572" t="n">
        <v>0</v>
      </c>
      <c r="I572" t="n">
        <v>0</v>
      </c>
      <c r="J572" t="n">
        <v>0</v>
      </c>
      <c r="K572" t="n">
        <v>0</v>
      </c>
      <c r="L572" t="n">
        <v>0</v>
      </c>
      <c r="M572" t="n">
        <v>0</v>
      </c>
      <c r="N572" t="n">
        <v>0</v>
      </c>
      <c r="O572" t="n">
        <v>0</v>
      </c>
      <c r="P572" t="n">
        <v>0</v>
      </c>
      <c r="Q572" t="n">
        <v>0</v>
      </c>
      <c r="R572" s="2" t="inlineStr"/>
    </row>
    <row r="573" ht="15" customHeight="1">
      <c r="A573" t="inlineStr">
        <is>
          <t>A 53856-2018</t>
        </is>
      </c>
      <c r="B573" s="1" t="n">
        <v>43391</v>
      </c>
      <c r="C573" s="1" t="n">
        <v>45357</v>
      </c>
      <c r="D573" t="inlineStr">
        <is>
          <t>GÄVLEBORGS LÄN</t>
        </is>
      </c>
      <c r="E573" t="inlineStr">
        <is>
          <t>OCKELBO</t>
        </is>
      </c>
      <c r="G573" t="n">
        <v>5.7</v>
      </c>
      <c r="H573" t="n">
        <v>0</v>
      </c>
      <c r="I573" t="n">
        <v>0</v>
      </c>
      <c r="J573" t="n">
        <v>0</v>
      </c>
      <c r="K573" t="n">
        <v>0</v>
      </c>
      <c r="L573" t="n">
        <v>0</v>
      </c>
      <c r="M573" t="n">
        <v>0</v>
      </c>
      <c r="N573" t="n">
        <v>0</v>
      </c>
      <c r="O573" t="n">
        <v>0</v>
      </c>
      <c r="P573" t="n">
        <v>0</v>
      </c>
      <c r="Q573" t="n">
        <v>0</v>
      </c>
      <c r="R573" s="2" t="inlineStr"/>
    </row>
    <row r="574" ht="15" customHeight="1">
      <c r="A574" t="inlineStr">
        <is>
          <t>A 54085-2018</t>
        </is>
      </c>
      <c r="B574" s="1" t="n">
        <v>43392</v>
      </c>
      <c r="C574" s="1" t="n">
        <v>45357</v>
      </c>
      <c r="D574" t="inlineStr">
        <is>
          <t>GÄVLEBORGS LÄN</t>
        </is>
      </c>
      <c r="E574" t="inlineStr">
        <is>
          <t>BOLLNÄS</t>
        </is>
      </c>
      <c r="G574" t="n">
        <v>4.5</v>
      </c>
      <c r="H574" t="n">
        <v>0</v>
      </c>
      <c r="I574" t="n">
        <v>0</v>
      </c>
      <c r="J574" t="n">
        <v>0</v>
      </c>
      <c r="K574" t="n">
        <v>0</v>
      </c>
      <c r="L574" t="n">
        <v>0</v>
      </c>
      <c r="M574" t="n">
        <v>0</v>
      </c>
      <c r="N574" t="n">
        <v>0</v>
      </c>
      <c r="O574" t="n">
        <v>0</v>
      </c>
      <c r="P574" t="n">
        <v>0</v>
      </c>
      <c r="Q574" t="n">
        <v>0</v>
      </c>
      <c r="R574" s="2" t="inlineStr"/>
    </row>
    <row r="575" ht="15" customHeight="1">
      <c r="A575" t="inlineStr">
        <is>
          <t>A 54222-2018</t>
        </is>
      </c>
      <c r="B575" s="1" t="n">
        <v>43392</v>
      </c>
      <c r="C575" s="1" t="n">
        <v>45357</v>
      </c>
      <c r="D575" t="inlineStr">
        <is>
          <t>GÄVLEBORGS LÄN</t>
        </is>
      </c>
      <c r="E575" t="inlineStr">
        <is>
          <t>HUDIKSVALL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55426-2018</t>
        </is>
      </c>
      <c r="B576" s="1" t="n">
        <v>43392</v>
      </c>
      <c r="C576" s="1" t="n">
        <v>45357</v>
      </c>
      <c r="D576" t="inlineStr">
        <is>
          <t>GÄVLEBORGS LÄN</t>
        </is>
      </c>
      <c r="E576" t="inlineStr">
        <is>
          <t>OVANÅKER</t>
        </is>
      </c>
      <c r="G576" t="n">
        <v>1.3</v>
      </c>
      <c r="H576" t="n">
        <v>0</v>
      </c>
      <c r="I576" t="n">
        <v>0</v>
      </c>
      <c r="J576" t="n">
        <v>0</v>
      </c>
      <c r="K576" t="n">
        <v>0</v>
      </c>
      <c r="L576" t="n">
        <v>0</v>
      </c>
      <c r="M576" t="n">
        <v>0</v>
      </c>
      <c r="N576" t="n">
        <v>0</v>
      </c>
      <c r="O576" t="n">
        <v>0</v>
      </c>
      <c r="P576" t="n">
        <v>0</v>
      </c>
      <c r="Q576" t="n">
        <v>0</v>
      </c>
      <c r="R576" s="2" t="inlineStr"/>
    </row>
    <row r="577" ht="15" customHeight="1">
      <c r="A577" t="inlineStr">
        <is>
          <t>A 56021-2018</t>
        </is>
      </c>
      <c r="B577" s="1" t="n">
        <v>43392</v>
      </c>
      <c r="C577" s="1" t="n">
        <v>45357</v>
      </c>
      <c r="D577" t="inlineStr">
        <is>
          <t>GÄVLEBORGS LÄN</t>
        </is>
      </c>
      <c r="E577" t="inlineStr">
        <is>
          <t>OVANÅKER</t>
        </is>
      </c>
      <c r="G577" t="n">
        <v>0.9</v>
      </c>
      <c r="H577" t="n">
        <v>0</v>
      </c>
      <c r="I577" t="n">
        <v>0</v>
      </c>
      <c r="J577" t="n">
        <v>0</v>
      </c>
      <c r="K577" t="n">
        <v>0</v>
      </c>
      <c r="L577" t="n">
        <v>0</v>
      </c>
      <c r="M577" t="n">
        <v>0</v>
      </c>
      <c r="N577" t="n">
        <v>0</v>
      </c>
      <c r="O577" t="n">
        <v>0</v>
      </c>
      <c r="P577" t="n">
        <v>0</v>
      </c>
      <c r="Q577" t="n">
        <v>0</v>
      </c>
      <c r="R577" s="2" t="inlineStr"/>
    </row>
    <row r="578" ht="15" customHeight="1">
      <c r="A578" t="inlineStr">
        <is>
          <t>A 54680-2018</t>
        </is>
      </c>
      <c r="B578" s="1" t="n">
        <v>43395</v>
      </c>
      <c r="C578" s="1" t="n">
        <v>45357</v>
      </c>
      <c r="D578" t="inlineStr">
        <is>
          <t>GÄVLEBORGS LÄN</t>
        </is>
      </c>
      <c r="E578" t="inlineStr">
        <is>
          <t>LJUSDAL</t>
        </is>
      </c>
      <c r="G578" t="n">
        <v>221.6</v>
      </c>
      <c r="H578" t="n">
        <v>0</v>
      </c>
      <c r="I578" t="n">
        <v>0</v>
      </c>
      <c r="J578" t="n">
        <v>0</v>
      </c>
      <c r="K578" t="n">
        <v>0</v>
      </c>
      <c r="L578" t="n">
        <v>0</v>
      </c>
      <c r="M578" t="n">
        <v>0</v>
      </c>
      <c r="N578" t="n">
        <v>0</v>
      </c>
      <c r="O578" t="n">
        <v>0</v>
      </c>
      <c r="P578" t="n">
        <v>0</v>
      </c>
      <c r="Q578" t="n">
        <v>0</v>
      </c>
      <c r="R578" s="2" t="inlineStr"/>
    </row>
    <row r="579" ht="15" customHeight="1">
      <c r="A579" t="inlineStr">
        <is>
          <t>A 54903-2018</t>
        </is>
      </c>
      <c r="B579" s="1" t="n">
        <v>43396</v>
      </c>
      <c r="C579" s="1" t="n">
        <v>45357</v>
      </c>
      <c r="D579" t="inlineStr">
        <is>
          <t>GÄVLEBORGS LÄN</t>
        </is>
      </c>
      <c r="E579" t="inlineStr">
        <is>
          <t>SANDVIKEN</t>
        </is>
      </c>
      <c r="G579" t="n">
        <v>3.7</v>
      </c>
      <c r="H579" t="n">
        <v>0</v>
      </c>
      <c r="I579" t="n">
        <v>0</v>
      </c>
      <c r="J579" t="n">
        <v>0</v>
      </c>
      <c r="K579" t="n">
        <v>0</v>
      </c>
      <c r="L579" t="n">
        <v>0</v>
      </c>
      <c r="M579" t="n">
        <v>0</v>
      </c>
      <c r="N579" t="n">
        <v>0</v>
      </c>
      <c r="O579" t="n">
        <v>0</v>
      </c>
      <c r="P579" t="n">
        <v>0</v>
      </c>
      <c r="Q579" t="n">
        <v>0</v>
      </c>
      <c r="R579" s="2" t="inlineStr"/>
    </row>
    <row r="580" ht="15" customHeight="1">
      <c r="A580" t="inlineStr">
        <is>
          <t>A 55505-2018</t>
        </is>
      </c>
      <c r="B580" s="1" t="n">
        <v>43397</v>
      </c>
      <c r="C580" s="1" t="n">
        <v>45357</v>
      </c>
      <c r="D580" t="inlineStr">
        <is>
          <t>GÄVLEBORGS LÄN</t>
        </is>
      </c>
      <c r="E580" t="inlineStr">
        <is>
          <t>NORDANSTIG</t>
        </is>
      </c>
      <c r="G580" t="n">
        <v>4.2</v>
      </c>
      <c r="H580" t="n">
        <v>0</v>
      </c>
      <c r="I580" t="n">
        <v>0</v>
      </c>
      <c r="J580" t="n">
        <v>0</v>
      </c>
      <c r="K580" t="n">
        <v>0</v>
      </c>
      <c r="L580" t="n">
        <v>0</v>
      </c>
      <c r="M580" t="n">
        <v>0</v>
      </c>
      <c r="N580" t="n">
        <v>0</v>
      </c>
      <c r="O580" t="n">
        <v>0</v>
      </c>
      <c r="P580" t="n">
        <v>0</v>
      </c>
      <c r="Q580" t="n">
        <v>0</v>
      </c>
      <c r="R580" s="2" t="inlineStr"/>
    </row>
    <row r="581" ht="15" customHeight="1">
      <c r="A581" t="inlineStr">
        <is>
          <t>A 56606-2018</t>
        </is>
      </c>
      <c r="B581" s="1" t="n">
        <v>43402</v>
      </c>
      <c r="C581" s="1" t="n">
        <v>45357</v>
      </c>
      <c r="D581" t="inlineStr">
        <is>
          <t>GÄVLEBORGS LÄN</t>
        </is>
      </c>
      <c r="E581" t="inlineStr">
        <is>
          <t>OVANÅKER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63972-2018</t>
        </is>
      </c>
      <c r="B582" s="1" t="n">
        <v>43402</v>
      </c>
      <c r="C582" s="1" t="n">
        <v>45357</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57064-2018</t>
        </is>
      </c>
      <c r="B583" s="1" t="n">
        <v>43403</v>
      </c>
      <c r="C583" s="1" t="n">
        <v>45357</v>
      </c>
      <c r="D583" t="inlineStr">
        <is>
          <t>GÄVLEBORGS LÄN</t>
        </is>
      </c>
      <c r="E583" t="inlineStr">
        <is>
          <t>LJUSDAL</t>
        </is>
      </c>
      <c r="F583" t="inlineStr">
        <is>
          <t>Allmännings- och besparingsskogar</t>
        </is>
      </c>
      <c r="G583" t="n">
        <v>42.9</v>
      </c>
      <c r="H583" t="n">
        <v>0</v>
      </c>
      <c r="I583" t="n">
        <v>0</v>
      </c>
      <c r="J583" t="n">
        <v>0</v>
      </c>
      <c r="K583" t="n">
        <v>0</v>
      </c>
      <c r="L583" t="n">
        <v>0</v>
      </c>
      <c r="M583" t="n">
        <v>0</v>
      </c>
      <c r="N583" t="n">
        <v>0</v>
      </c>
      <c r="O583" t="n">
        <v>0</v>
      </c>
      <c r="P583" t="n">
        <v>0</v>
      </c>
      <c r="Q583" t="n">
        <v>0</v>
      </c>
      <c r="R583" s="2" t="inlineStr"/>
    </row>
    <row r="584" ht="15" customHeight="1">
      <c r="A584" t="inlineStr">
        <is>
          <t>A 57074-2018</t>
        </is>
      </c>
      <c r="B584" s="1" t="n">
        <v>43403</v>
      </c>
      <c r="C584" s="1" t="n">
        <v>45357</v>
      </c>
      <c r="D584" t="inlineStr">
        <is>
          <t>GÄVLEBORGS LÄN</t>
        </is>
      </c>
      <c r="E584" t="inlineStr">
        <is>
          <t>OVANÅKER</t>
        </is>
      </c>
      <c r="G584" t="n">
        <v>2.5</v>
      </c>
      <c r="H584" t="n">
        <v>0</v>
      </c>
      <c r="I584" t="n">
        <v>0</v>
      </c>
      <c r="J584" t="n">
        <v>0</v>
      </c>
      <c r="K584" t="n">
        <v>0</v>
      </c>
      <c r="L584" t="n">
        <v>0</v>
      </c>
      <c r="M584" t="n">
        <v>0</v>
      </c>
      <c r="N584" t="n">
        <v>0</v>
      </c>
      <c r="O584" t="n">
        <v>0</v>
      </c>
      <c r="P584" t="n">
        <v>0</v>
      </c>
      <c r="Q584" t="n">
        <v>0</v>
      </c>
      <c r="R584" s="2" t="inlineStr"/>
    </row>
    <row r="585" ht="15" customHeight="1">
      <c r="A585" t="inlineStr">
        <is>
          <t>A 57113-2018</t>
        </is>
      </c>
      <c r="B585" s="1" t="n">
        <v>43403</v>
      </c>
      <c r="C585" s="1" t="n">
        <v>45357</v>
      </c>
      <c r="D585" t="inlineStr">
        <is>
          <t>GÄVLEBORGS LÄN</t>
        </is>
      </c>
      <c r="E585" t="inlineStr">
        <is>
          <t>GÄVLE</t>
        </is>
      </c>
      <c r="G585" t="n">
        <v>4.2</v>
      </c>
      <c r="H585" t="n">
        <v>0</v>
      </c>
      <c r="I585" t="n">
        <v>0</v>
      </c>
      <c r="J585" t="n">
        <v>0</v>
      </c>
      <c r="K585" t="n">
        <v>0</v>
      </c>
      <c r="L585" t="n">
        <v>0</v>
      </c>
      <c r="M585" t="n">
        <v>0</v>
      </c>
      <c r="N585" t="n">
        <v>0</v>
      </c>
      <c r="O585" t="n">
        <v>0</v>
      </c>
      <c r="P585" t="n">
        <v>0</v>
      </c>
      <c r="Q585" t="n">
        <v>0</v>
      </c>
      <c r="R585" s="2" t="inlineStr"/>
    </row>
    <row r="586" ht="15" customHeight="1">
      <c r="A586" t="inlineStr">
        <is>
          <t>A 58203-2018</t>
        </is>
      </c>
      <c r="B586" s="1" t="n">
        <v>43408</v>
      </c>
      <c r="C586" s="1" t="n">
        <v>45357</v>
      </c>
      <c r="D586" t="inlineStr">
        <is>
          <t>GÄVLEBORGS LÄN</t>
        </is>
      </c>
      <c r="E586" t="inlineStr">
        <is>
          <t>HUDIKSVALL</t>
        </is>
      </c>
      <c r="G586" t="n">
        <v>16.8</v>
      </c>
      <c r="H586" t="n">
        <v>0</v>
      </c>
      <c r="I586" t="n">
        <v>0</v>
      </c>
      <c r="J586" t="n">
        <v>0</v>
      </c>
      <c r="K586" t="n">
        <v>0</v>
      </c>
      <c r="L586" t="n">
        <v>0</v>
      </c>
      <c r="M586" t="n">
        <v>0</v>
      </c>
      <c r="N586" t="n">
        <v>0</v>
      </c>
      <c r="O586" t="n">
        <v>0</v>
      </c>
      <c r="P586" t="n">
        <v>0</v>
      </c>
      <c r="Q586" t="n">
        <v>0</v>
      </c>
      <c r="R586" s="2" t="inlineStr"/>
    </row>
    <row r="587" ht="15" customHeight="1">
      <c r="A587" t="inlineStr">
        <is>
          <t>A 58205-2018</t>
        </is>
      </c>
      <c r="B587" s="1" t="n">
        <v>43408</v>
      </c>
      <c r="C587" s="1" t="n">
        <v>45357</v>
      </c>
      <c r="D587" t="inlineStr">
        <is>
          <t>GÄVLEBORGS LÄN</t>
        </is>
      </c>
      <c r="E587" t="inlineStr">
        <is>
          <t>HUDIKSVALL</t>
        </is>
      </c>
      <c r="G587" t="n">
        <v>3.3</v>
      </c>
      <c r="H587" t="n">
        <v>0</v>
      </c>
      <c r="I587" t="n">
        <v>0</v>
      </c>
      <c r="J587" t="n">
        <v>0</v>
      </c>
      <c r="K587" t="n">
        <v>0</v>
      </c>
      <c r="L587" t="n">
        <v>0</v>
      </c>
      <c r="M587" t="n">
        <v>0</v>
      </c>
      <c r="N587" t="n">
        <v>0</v>
      </c>
      <c r="O587" t="n">
        <v>0</v>
      </c>
      <c r="P587" t="n">
        <v>0</v>
      </c>
      <c r="Q587" t="n">
        <v>0</v>
      </c>
      <c r="R587" s="2" t="inlineStr"/>
    </row>
    <row r="588" ht="15" customHeight="1">
      <c r="A588" t="inlineStr">
        <is>
          <t>A 58491-2018</t>
        </is>
      </c>
      <c r="B588" s="1" t="n">
        <v>43409</v>
      </c>
      <c r="C588" s="1" t="n">
        <v>45357</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58608-2018</t>
        </is>
      </c>
      <c r="B589" s="1" t="n">
        <v>43409</v>
      </c>
      <c r="C589" s="1" t="n">
        <v>45357</v>
      </c>
      <c r="D589" t="inlineStr">
        <is>
          <t>GÄVLEBORGS LÄN</t>
        </is>
      </c>
      <c r="E589" t="inlineStr">
        <is>
          <t>OVANÅKER</t>
        </is>
      </c>
      <c r="G589" t="n">
        <v>0.8</v>
      </c>
      <c r="H589" t="n">
        <v>0</v>
      </c>
      <c r="I589" t="n">
        <v>0</v>
      </c>
      <c r="J589" t="n">
        <v>0</v>
      </c>
      <c r="K589" t="n">
        <v>0</v>
      </c>
      <c r="L589" t="n">
        <v>0</v>
      </c>
      <c r="M589" t="n">
        <v>0</v>
      </c>
      <c r="N589" t="n">
        <v>0</v>
      </c>
      <c r="O589" t="n">
        <v>0</v>
      </c>
      <c r="P589" t="n">
        <v>0</v>
      </c>
      <c r="Q589" t="n">
        <v>0</v>
      </c>
      <c r="R589" s="2" t="inlineStr"/>
    </row>
    <row r="590" ht="15" customHeight="1">
      <c r="A590" t="inlineStr">
        <is>
          <t>A 58329-2018</t>
        </is>
      </c>
      <c r="B590" s="1" t="n">
        <v>43409</v>
      </c>
      <c r="C590" s="1" t="n">
        <v>45357</v>
      </c>
      <c r="D590" t="inlineStr">
        <is>
          <t>GÄVLEBORGS LÄN</t>
        </is>
      </c>
      <c r="E590" t="inlineStr">
        <is>
          <t>HUDIKSVALL</t>
        </is>
      </c>
      <c r="F590" t="inlineStr">
        <is>
          <t>Holmen skog AB</t>
        </is>
      </c>
      <c r="G590" t="n">
        <v>18.7</v>
      </c>
      <c r="H590" t="n">
        <v>0</v>
      </c>
      <c r="I590" t="n">
        <v>0</v>
      </c>
      <c r="J590" t="n">
        <v>0</v>
      </c>
      <c r="K590" t="n">
        <v>0</v>
      </c>
      <c r="L590" t="n">
        <v>0</v>
      </c>
      <c r="M590" t="n">
        <v>0</v>
      </c>
      <c r="N590" t="n">
        <v>0</v>
      </c>
      <c r="O590" t="n">
        <v>0</v>
      </c>
      <c r="P590" t="n">
        <v>0</v>
      </c>
      <c r="Q590" t="n">
        <v>0</v>
      </c>
      <c r="R590" s="2" t="inlineStr"/>
    </row>
    <row r="591" ht="15" customHeight="1">
      <c r="A591" t="inlineStr">
        <is>
          <t>A 58405-2018</t>
        </is>
      </c>
      <c r="B591" s="1" t="n">
        <v>43409</v>
      </c>
      <c r="C591" s="1" t="n">
        <v>45357</v>
      </c>
      <c r="D591" t="inlineStr">
        <is>
          <t>GÄVLEBORGS LÄN</t>
        </is>
      </c>
      <c r="E591" t="inlineStr">
        <is>
          <t>OVANÅKER</t>
        </is>
      </c>
      <c r="G591" t="n">
        <v>1.4</v>
      </c>
      <c r="H591" t="n">
        <v>0</v>
      </c>
      <c r="I591" t="n">
        <v>0</v>
      </c>
      <c r="J591" t="n">
        <v>0</v>
      </c>
      <c r="K591" t="n">
        <v>0</v>
      </c>
      <c r="L591" t="n">
        <v>0</v>
      </c>
      <c r="M591" t="n">
        <v>0</v>
      </c>
      <c r="N591" t="n">
        <v>0</v>
      </c>
      <c r="O591" t="n">
        <v>0</v>
      </c>
      <c r="P591" t="n">
        <v>0</v>
      </c>
      <c r="Q591" t="n">
        <v>0</v>
      </c>
      <c r="R591" s="2" t="inlineStr"/>
    </row>
    <row r="592" ht="15" customHeight="1">
      <c r="A592" t="inlineStr">
        <is>
          <t>A 58406-2018</t>
        </is>
      </c>
      <c r="B592" s="1" t="n">
        <v>43409</v>
      </c>
      <c r="C592" s="1" t="n">
        <v>45357</v>
      </c>
      <c r="D592" t="inlineStr">
        <is>
          <t>GÄVLEBORGS LÄN</t>
        </is>
      </c>
      <c r="E592" t="inlineStr">
        <is>
          <t>OVANÅKER</t>
        </is>
      </c>
      <c r="G592" t="n">
        <v>8.6</v>
      </c>
      <c r="H592" t="n">
        <v>0</v>
      </c>
      <c r="I592" t="n">
        <v>0</v>
      </c>
      <c r="J592" t="n">
        <v>0</v>
      </c>
      <c r="K592" t="n">
        <v>0</v>
      </c>
      <c r="L592" t="n">
        <v>0</v>
      </c>
      <c r="M592" t="n">
        <v>0</v>
      </c>
      <c r="N592" t="n">
        <v>0</v>
      </c>
      <c r="O592" t="n">
        <v>0</v>
      </c>
      <c r="P592" t="n">
        <v>0</v>
      </c>
      <c r="Q592" t="n">
        <v>0</v>
      </c>
      <c r="R592" s="2" t="inlineStr"/>
    </row>
    <row r="593" ht="15" customHeight="1">
      <c r="A593" t="inlineStr">
        <is>
          <t>A 58520-2018</t>
        </is>
      </c>
      <c r="B593" s="1" t="n">
        <v>43409</v>
      </c>
      <c r="C593" s="1" t="n">
        <v>45357</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58860-2018</t>
        </is>
      </c>
      <c r="B594" s="1" t="n">
        <v>43410</v>
      </c>
      <c r="C594" s="1" t="n">
        <v>45357</v>
      </c>
      <c r="D594" t="inlineStr">
        <is>
          <t>GÄVLEBORGS LÄN</t>
        </is>
      </c>
      <c r="E594" t="inlineStr">
        <is>
          <t>SÖDERHAMN</t>
        </is>
      </c>
      <c r="G594" t="n">
        <v>1.5</v>
      </c>
      <c r="H594" t="n">
        <v>0</v>
      </c>
      <c r="I594" t="n">
        <v>0</v>
      </c>
      <c r="J594" t="n">
        <v>0</v>
      </c>
      <c r="K594" t="n">
        <v>0</v>
      </c>
      <c r="L594" t="n">
        <v>0</v>
      </c>
      <c r="M594" t="n">
        <v>0</v>
      </c>
      <c r="N594" t="n">
        <v>0</v>
      </c>
      <c r="O594" t="n">
        <v>0</v>
      </c>
      <c r="P594" t="n">
        <v>0</v>
      </c>
      <c r="Q594" t="n">
        <v>0</v>
      </c>
      <c r="R594" s="2" t="inlineStr"/>
    </row>
    <row r="595" ht="15" customHeight="1">
      <c r="A595" t="inlineStr">
        <is>
          <t>A 58622-2018</t>
        </is>
      </c>
      <c r="B595" s="1" t="n">
        <v>43410</v>
      </c>
      <c r="C595" s="1" t="n">
        <v>45357</v>
      </c>
      <c r="D595" t="inlineStr">
        <is>
          <t>GÄVLEBORGS LÄN</t>
        </is>
      </c>
      <c r="E595" t="inlineStr">
        <is>
          <t>LJUSDAL</t>
        </is>
      </c>
      <c r="G595" t="n">
        <v>30</v>
      </c>
      <c r="H595" t="n">
        <v>0</v>
      </c>
      <c r="I595" t="n">
        <v>0</v>
      </c>
      <c r="J595" t="n">
        <v>0</v>
      </c>
      <c r="K595" t="n">
        <v>0</v>
      </c>
      <c r="L595" t="n">
        <v>0</v>
      </c>
      <c r="M595" t="n">
        <v>0</v>
      </c>
      <c r="N595" t="n">
        <v>0</v>
      </c>
      <c r="O595" t="n">
        <v>0</v>
      </c>
      <c r="P595" t="n">
        <v>0</v>
      </c>
      <c r="Q595" t="n">
        <v>0</v>
      </c>
      <c r="R595" s="2" t="inlineStr"/>
    </row>
    <row r="596" ht="15" customHeight="1">
      <c r="A596" t="inlineStr">
        <is>
          <t>A 58847-2018</t>
        </is>
      </c>
      <c r="B596" s="1" t="n">
        <v>43410</v>
      </c>
      <c r="C596" s="1" t="n">
        <v>45357</v>
      </c>
      <c r="D596" t="inlineStr">
        <is>
          <t>GÄVLEBORGS LÄN</t>
        </is>
      </c>
      <c r="E596" t="inlineStr">
        <is>
          <t>LJUSDAL</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58916-2018</t>
        </is>
      </c>
      <c r="B597" s="1" t="n">
        <v>43410</v>
      </c>
      <c r="C597" s="1" t="n">
        <v>45357</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58662-2018</t>
        </is>
      </c>
      <c r="B598" s="1" t="n">
        <v>43410</v>
      </c>
      <c r="C598" s="1" t="n">
        <v>45357</v>
      </c>
      <c r="D598" t="inlineStr">
        <is>
          <t>GÄVLEBORGS LÄN</t>
        </is>
      </c>
      <c r="E598" t="inlineStr">
        <is>
          <t>OVANÅKER</t>
        </is>
      </c>
      <c r="G598" t="n">
        <v>1.4</v>
      </c>
      <c r="H598" t="n">
        <v>0</v>
      </c>
      <c r="I598" t="n">
        <v>0</v>
      </c>
      <c r="J598" t="n">
        <v>0</v>
      </c>
      <c r="K598" t="n">
        <v>0</v>
      </c>
      <c r="L598" t="n">
        <v>0</v>
      </c>
      <c r="M598" t="n">
        <v>0</v>
      </c>
      <c r="N598" t="n">
        <v>0</v>
      </c>
      <c r="O598" t="n">
        <v>0</v>
      </c>
      <c r="P598" t="n">
        <v>0</v>
      </c>
      <c r="Q598" t="n">
        <v>0</v>
      </c>
      <c r="R598" s="2" t="inlineStr"/>
    </row>
    <row r="599" ht="15" customHeight="1">
      <c r="A599" t="inlineStr">
        <is>
          <t>A 58854-2018</t>
        </is>
      </c>
      <c r="B599" s="1" t="n">
        <v>43410</v>
      </c>
      <c r="C599" s="1" t="n">
        <v>45357</v>
      </c>
      <c r="D599" t="inlineStr">
        <is>
          <t>GÄVLEBORGS LÄN</t>
        </is>
      </c>
      <c r="E599" t="inlineStr">
        <is>
          <t>LJUSDAL</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59123-2018</t>
        </is>
      </c>
      <c r="B600" s="1" t="n">
        <v>43411</v>
      </c>
      <c r="C600" s="1" t="n">
        <v>45357</v>
      </c>
      <c r="D600" t="inlineStr">
        <is>
          <t>GÄVLEBORGS LÄN</t>
        </is>
      </c>
      <c r="E600" t="inlineStr">
        <is>
          <t>GÄVLE</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59120-2018</t>
        </is>
      </c>
      <c r="B601" s="1" t="n">
        <v>43411</v>
      </c>
      <c r="C601" s="1" t="n">
        <v>45357</v>
      </c>
      <c r="D601" t="inlineStr">
        <is>
          <t>GÄVLEBORGS LÄN</t>
        </is>
      </c>
      <c r="E601" t="inlineStr">
        <is>
          <t>OCKELBO</t>
        </is>
      </c>
      <c r="G601" t="n">
        <v>2.2</v>
      </c>
      <c r="H601" t="n">
        <v>0</v>
      </c>
      <c r="I601" t="n">
        <v>0</v>
      </c>
      <c r="J601" t="n">
        <v>0</v>
      </c>
      <c r="K601" t="n">
        <v>0</v>
      </c>
      <c r="L601" t="n">
        <v>0</v>
      </c>
      <c r="M601" t="n">
        <v>0</v>
      </c>
      <c r="N601" t="n">
        <v>0</v>
      </c>
      <c r="O601" t="n">
        <v>0</v>
      </c>
      <c r="P601" t="n">
        <v>0</v>
      </c>
      <c r="Q601" t="n">
        <v>0</v>
      </c>
      <c r="R601" s="2" t="inlineStr"/>
    </row>
    <row r="602" ht="15" customHeight="1">
      <c r="A602" t="inlineStr">
        <is>
          <t>A 59708-2018</t>
        </is>
      </c>
      <c r="B602" s="1" t="n">
        <v>43411</v>
      </c>
      <c r="C602" s="1" t="n">
        <v>45357</v>
      </c>
      <c r="D602" t="inlineStr">
        <is>
          <t>GÄVLEBORGS LÄN</t>
        </is>
      </c>
      <c r="E602" t="inlineStr">
        <is>
          <t>NORDANSTIG</t>
        </is>
      </c>
      <c r="G602" t="n">
        <v>5.7</v>
      </c>
      <c r="H602" t="n">
        <v>0</v>
      </c>
      <c r="I602" t="n">
        <v>0</v>
      </c>
      <c r="J602" t="n">
        <v>0</v>
      </c>
      <c r="K602" t="n">
        <v>0</v>
      </c>
      <c r="L602" t="n">
        <v>0</v>
      </c>
      <c r="M602" t="n">
        <v>0</v>
      </c>
      <c r="N602" t="n">
        <v>0</v>
      </c>
      <c r="O602" t="n">
        <v>0</v>
      </c>
      <c r="P602" t="n">
        <v>0</v>
      </c>
      <c r="Q602" t="n">
        <v>0</v>
      </c>
      <c r="R602" s="2" t="inlineStr"/>
    </row>
    <row r="603" ht="15" customHeight="1">
      <c r="A603" t="inlineStr">
        <is>
          <t>A 59089-2018</t>
        </is>
      </c>
      <c r="B603" s="1" t="n">
        <v>43411</v>
      </c>
      <c r="C603" s="1" t="n">
        <v>45357</v>
      </c>
      <c r="D603" t="inlineStr">
        <is>
          <t>GÄVLEBORGS LÄN</t>
        </is>
      </c>
      <c r="E603" t="inlineStr">
        <is>
          <t>LJUSDAL</t>
        </is>
      </c>
      <c r="G603" t="n">
        <v>33.1</v>
      </c>
      <c r="H603" t="n">
        <v>0</v>
      </c>
      <c r="I603" t="n">
        <v>0</v>
      </c>
      <c r="J603" t="n">
        <v>0</v>
      </c>
      <c r="K603" t="n">
        <v>0</v>
      </c>
      <c r="L603" t="n">
        <v>0</v>
      </c>
      <c r="M603" t="n">
        <v>0</v>
      </c>
      <c r="N603" t="n">
        <v>0</v>
      </c>
      <c r="O603" t="n">
        <v>0</v>
      </c>
      <c r="P603" t="n">
        <v>0</v>
      </c>
      <c r="Q603" t="n">
        <v>0</v>
      </c>
      <c r="R603" s="2" t="inlineStr"/>
    </row>
    <row r="604" ht="15" customHeight="1">
      <c r="A604" t="inlineStr">
        <is>
          <t>A 59115-2018</t>
        </is>
      </c>
      <c r="B604" s="1" t="n">
        <v>43411</v>
      </c>
      <c r="C604" s="1" t="n">
        <v>45357</v>
      </c>
      <c r="D604" t="inlineStr">
        <is>
          <t>GÄVLEBORGS LÄN</t>
        </is>
      </c>
      <c r="E604" t="inlineStr">
        <is>
          <t>GÄVLE</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59749-2018</t>
        </is>
      </c>
      <c r="B605" s="1" t="n">
        <v>43411</v>
      </c>
      <c r="C605" s="1" t="n">
        <v>45357</v>
      </c>
      <c r="D605" t="inlineStr">
        <is>
          <t>GÄVLEBORGS LÄN</t>
        </is>
      </c>
      <c r="E605" t="inlineStr">
        <is>
          <t>NORDANSTIG</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59778-2018</t>
        </is>
      </c>
      <c r="B606" s="1" t="n">
        <v>43411</v>
      </c>
      <c r="C606" s="1" t="n">
        <v>45357</v>
      </c>
      <c r="D606" t="inlineStr">
        <is>
          <t>GÄVLEBORGS LÄN</t>
        </is>
      </c>
      <c r="E606" t="inlineStr">
        <is>
          <t>NORDANSTIG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60100-2018</t>
        </is>
      </c>
      <c r="B607" s="1" t="n">
        <v>43412</v>
      </c>
      <c r="C607" s="1" t="n">
        <v>45357</v>
      </c>
      <c r="D607" t="inlineStr">
        <is>
          <t>GÄVLEBORGS LÄN</t>
        </is>
      </c>
      <c r="E607" t="inlineStr">
        <is>
          <t>OVANÅKER</t>
        </is>
      </c>
      <c r="G607" t="n">
        <v>8.9</v>
      </c>
      <c r="H607" t="n">
        <v>0</v>
      </c>
      <c r="I607" t="n">
        <v>0</v>
      </c>
      <c r="J607" t="n">
        <v>0</v>
      </c>
      <c r="K607" t="n">
        <v>0</v>
      </c>
      <c r="L607" t="n">
        <v>0</v>
      </c>
      <c r="M607" t="n">
        <v>0</v>
      </c>
      <c r="N607" t="n">
        <v>0</v>
      </c>
      <c r="O607" t="n">
        <v>0</v>
      </c>
      <c r="P607" t="n">
        <v>0</v>
      </c>
      <c r="Q607" t="n">
        <v>0</v>
      </c>
      <c r="R607" s="2" t="inlineStr"/>
    </row>
    <row r="608" ht="15" customHeight="1">
      <c r="A608" t="inlineStr">
        <is>
          <t>A 60169-2018</t>
        </is>
      </c>
      <c r="B608" s="1" t="n">
        <v>43412</v>
      </c>
      <c r="C608" s="1" t="n">
        <v>45357</v>
      </c>
      <c r="D608" t="inlineStr">
        <is>
          <t>GÄVLEBORGS LÄN</t>
        </is>
      </c>
      <c r="E608" t="inlineStr">
        <is>
          <t>NORDANSTIG</t>
        </is>
      </c>
      <c r="G608" t="n">
        <v>0.5</v>
      </c>
      <c r="H608" t="n">
        <v>0</v>
      </c>
      <c r="I608" t="n">
        <v>0</v>
      </c>
      <c r="J608" t="n">
        <v>0</v>
      </c>
      <c r="K608" t="n">
        <v>0</v>
      </c>
      <c r="L608" t="n">
        <v>0</v>
      </c>
      <c r="M608" t="n">
        <v>0</v>
      </c>
      <c r="N608" t="n">
        <v>0</v>
      </c>
      <c r="O608" t="n">
        <v>0</v>
      </c>
      <c r="P608" t="n">
        <v>0</v>
      </c>
      <c r="Q608" t="n">
        <v>0</v>
      </c>
      <c r="R608" s="2" t="inlineStr"/>
    </row>
    <row r="609" ht="15" customHeight="1">
      <c r="A609" t="inlineStr">
        <is>
          <t>A 60188-2018</t>
        </is>
      </c>
      <c r="B609" s="1" t="n">
        <v>43412</v>
      </c>
      <c r="C609" s="1" t="n">
        <v>45357</v>
      </c>
      <c r="D609" t="inlineStr">
        <is>
          <t>GÄVLEBORGS LÄN</t>
        </is>
      </c>
      <c r="E609" t="inlineStr">
        <is>
          <t>NORDANSTIG</t>
        </is>
      </c>
      <c r="G609" t="n">
        <v>0.9</v>
      </c>
      <c r="H609" t="n">
        <v>0</v>
      </c>
      <c r="I609" t="n">
        <v>0</v>
      </c>
      <c r="J609" t="n">
        <v>0</v>
      </c>
      <c r="K609" t="n">
        <v>0</v>
      </c>
      <c r="L609" t="n">
        <v>0</v>
      </c>
      <c r="M609" t="n">
        <v>0</v>
      </c>
      <c r="N609" t="n">
        <v>0</v>
      </c>
      <c r="O609" t="n">
        <v>0</v>
      </c>
      <c r="P609" t="n">
        <v>0</v>
      </c>
      <c r="Q609" t="n">
        <v>0</v>
      </c>
      <c r="R609" s="2" t="inlineStr"/>
    </row>
    <row r="610" ht="15" customHeight="1">
      <c r="A610" t="inlineStr">
        <is>
          <t>A 60021-2018</t>
        </is>
      </c>
      <c r="B610" s="1" t="n">
        <v>43412</v>
      </c>
      <c r="C610" s="1" t="n">
        <v>45357</v>
      </c>
      <c r="D610" t="inlineStr">
        <is>
          <t>GÄVLEBORGS LÄN</t>
        </is>
      </c>
      <c r="E610" t="inlineStr">
        <is>
          <t>NORDANSTIG</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60164-2018</t>
        </is>
      </c>
      <c r="B611" s="1" t="n">
        <v>43412</v>
      </c>
      <c r="C611" s="1" t="n">
        <v>45357</v>
      </c>
      <c r="D611" t="inlineStr">
        <is>
          <t>GÄVLEBORGS LÄN</t>
        </is>
      </c>
      <c r="E611" t="inlineStr">
        <is>
          <t>NORDANSTIG</t>
        </is>
      </c>
      <c r="G611" t="n">
        <v>2.2</v>
      </c>
      <c r="H611" t="n">
        <v>0</v>
      </c>
      <c r="I611" t="n">
        <v>0</v>
      </c>
      <c r="J611" t="n">
        <v>0</v>
      </c>
      <c r="K611" t="n">
        <v>0</v>
      </c>
      <c r="L611" t="n">
        <v>0</v>
      </c>
      <c r="M611" t="n">
        <v>0</v>
      </c>
      <c r="N611" t="n">
        <v>0</v>
      </c>
      <c r="O611" t="n">
        <v>0</v>
      </c>
      <c r="P611" t="n">
        <v>0</v>
      </c>
      <c r="Q611" t="n">
        <v>0</v>
      </c>
      <c r="R611" s="2" t="inlineStr"/>
    </row>
    <row r="612" ht="15" customHeight="1">
      <c r="A612" t="inlineStr">
        <is>
          <t>A 60019-2018</t>
        </is>
      </c>
      <c r="B612" s="1" t="n">
        <v>43412</v>
      </c>
      <c r="C612" s="1" t="n">
        <v>45357</v>
      </c>
      <c r="D612" t="inlineStr">
        <is>
          <t>GÄVLEBORGS LÄN</t>
        </is>
      </c>
      <c r="E612" t="inlineStr">
        <is>
          <t>NORDANSTIG</t>
        </is>
      </c>
      <c r="F612" t="inlineStr">
        <is>
          <t>Holmen skog AB</t>
        </is>
      </c>
      <c r="G612" t="n">
        <v>6.4</v>
      </c>
      <c r="H612" t="n">
        <v>0</v>
      </c>
      <c r="I612" t="n">
        <v>0</v>
      </c>
      <c r="J612" t="n">
        <v>0</v>
      </c>
      <c r="K612" t="n">
        <v>0</v>
      </c>
      <c r="L612" t="n">
        <v>0</v>
      </c>
      <c r="M612" t="n">
        <v>0</v>
      </c>
      <c r="N612" t="n">
        <v>0</v>
      </c>
      <c r="O612" t="n">
        <v>0</v>
      </c>
      <c r="P612" t="n">
        <v>0</v>
      </c>
      <c r="Q612" t="n">
        <v>0</v>
      </c>
      <c r="R612" s="2" t="inlineStr"/>
    </row>
    <row r="613" ht="15" customHeight="1">
      <c r="A613" t="inlineStr">
        <is>
          <t>A 60034-2018</t>
        </is>
      </c>
      <c r="B613" s="1" t="n">
        <v>43412</v>
      </c>
      <c r="C613" s="1" t="n">
        <v>45357</v>
      </c>
      <c r="D613" t="inlineStr">
        <is>
          <t>GÄVLEBORGS LÄN</t>
        </is>
      </c>
      <c r="E613" t="inlineStr">
        <is>
          <t>NORDANSTIG</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60167-2018</t>
        </is>
      </c>
      <c r="B614" s="1" t="n">
        <v>43412</v>
      </c>
      <c r="C614" s="1" t="n">
        <v>45357</v>
      </c>
      <c r="D614" t="inlineStr">
        <is>
          <t>GÄVLEBORGS LÄN</t>
        </is>
      </c>
      <c r="E614" t="inlineStr">
        <is>
          <t>NORDANSTIG</t>
        </is>
      </c>
      <c r="G614" t="n">
        <v>11.8</v>
      </c>
      <c r="H614" t="n">
        <v>0</v>
      </c>
      <c r="I614" t="n">
        <v>0</v>
      </c>
      <c r="J614" t="n">
        <v>0</v>
      </c>
      <c r="K614" t="n">
        <v>0</v>
      </c>
      <c r="L614" t="n">
        <v>0</v>
      </c>
      <c r="M614" t="n">
        <v>0</v>
      </c>
      <c r="N614" t="n">
        <v>0</v>
      </c>
      <c r="O614" t="n">
        <v>0</v>
      </c>
      <c r="P614" t="n">
        <v>0</v>
      </c>
      <c r="Q614" t="n">
        <v>0</v>
      </c>
      <c r="R614" s="2" t="inlineStr"/>
    </row>
    <row r="615" ht="15" customHeight="1">
      <c r="A615" t="inlineStr">
        <is>
          <t>A 60010-2018</t>
        </is>
      </c>
      <c r="B615" s="1" t="n">
        <v>43412</v>
      </c>
      <c r="C615" s="1" t="n">
        <v>45357</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60093-2018</t>
        </is>
      </c>
      <c r="B616" s="1" t="n">
        <v>43412</v>
      </c>
      <c r="C616" s="1" t="n">
        <v>45357</v>
      </c>
      <c r="D616" t="inlineStr">
        <is>
          <t>GÄVLEBORGS LÄN</t>
        </is>
      </c>
      <c r="E616" t="inlineStr">
        <is>
          <t>LJUSDAL</t>
        </is>
      </c>
      <c r="G616" t="n">
        <v>1.2</v>
      </c>
      <c r="H616" t="n">
        <v>0</v>
      </c>
      <c r="I616" t="n">
        <v>0</v>
      </c>
      <c r="J616" t="n">
        <v>0</v>
      </c>
      <c r="K616" t="n">
        <v>0</v>
      </c>
      <c r="L616" t="n">
        <v>0</v>
      </c>
      <c r="M616" t="n">
        <v>0</v>
      </c>
      <c r="N616" t="n">
        <v>0</v>
      </c>
      <c r="O616" t="n">
        <v>0</v>
      </c>
      <c r="P616" t="n">
        <v>0</v>
      </c>
      <c r="Q616" t="n">
        <v>0</v>
      </c>
      <c r="R616" s="2" t="inlineStr"/>
    </row>
    <row r="617" ht="15" customHeight="1">
      <c r="A617" t="inlineStr">
        <is>
          <t>A 60097-2018</t>
        </is>
      </c>
      <c r="B617" s="1" t="n">
        <v>43412</v>
      </c>
      <c r="C617" s="1" t="n">
        <v>45357</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60103-2018</t>
        </is>
      </c>
      <c r="B618" s="1" t="n">
        <v>43412</v>
      </c>
      <c r="C618" s="1" t="n">
        <v>45357</v>
      </c>
      <c r="D618" t="inlineStr">
        <is>
          <t>GÄVLEBORGS LÄN</t>
        </is>
      </c>
      <c r="E618" t="inlineStr">
        <is>
          <t>OVANÅKER</t>
        </is>
      </c>
      <c r="G618" t="n">
        <v>2.8</v>
      </c>
      <c r="H618" t="n">
        <v>0</v>
      </c>
      <c r="I618" t="n">
        <v>0</v>
      </c>
      <c r="J618" t="n">
        <v>0</v>
      </c>
      <c r="K618" t="n">
        <v>0</v>
      </c>
      <c r="L618" t="n">
        <v>0</v>
      </c>
      <c r="M618" t="n">
        <v>0</v>
      </c>
      <c r="N618" t="n">
        <v>0</v>
      </c>
      <c r="O618" t="n">
        <v>0</v>
      </c>
      <c r="P618" t="n">
        <v>0</v>
      </c>
      <c r="Q618" t="n">
        <v>0</v>
      </c>
      <c r="R618" s="2" t="inlineStr"/>
    </row>
    <row r="619" ht="15" customHeight="1">
      <c r="A619" t="inlineStr">
        <is>
          <t>A 60185-2018</t>
        </is>
      </c>
      <c r="B619" s="1" t="n">
        <v>43412</v>
      </c>
      <c r="C619" s="1" t="n">
        <v>45357</v>
      </c>
      <c r="D619" t="inlineStr">
        <is>
          <t>GÄVLEBORGS LÄN</t>
        </is>
      </c>
      <c r="E619" t="inlineStr">
        <is>
          <t>NORDANSTIG</t>
        </is>
      </c>
      <c r="G619" t="n">
        <v>14.3</v>
      </c>
      <c r="H619" t="n">
        <v>0</v>
      </c>
      <c r="I619" t="n">
        <v>0</v>
      </c>
      <c r="J619" t="n">
        <v>0</v>
      </c>
      <c r="K619" t="n">
        <v>0</v>
      </c>
      <c r="L619" t="n">
        <v>0</v>
      </c>
      <c r="M619" t="n">
        <v>0</v>
      </c>
      <c r="N619" t="n">
        <v>0</v>
      </c>
      <c r="O619" t="n">
        <v>0</v>
      </c>
      <c r="P619" t="n">
        <v>0</v>
      </c>
      <c r="Q619" t="n">
        <v>0</v>
      </c>
      <c r="R619" s="2" t="inlineStr"/>
    </row>
    <row r="620" ht="15" customHeight="1">
      <c r="A620" t="inlineStr">
        <is>
          <t>A 62684-2018</t>
        </is>
      </c>
      <c r="B620" s="1" t="n">
        <v>43413</v>
      </c>
      <c r="C620" s="1" t="n">
        <v>45357</v>
      </c>
      <c r="D620" t="inlineStr">
        <is>
          <t>GÄVLEBORGS LÄN</t>
        </is>
      </c>
      <c r="E620" t="inlineStr">
        <is>
          <t>OCKELBO</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62692-2018</t>
        </is>
      </c>
      <c r="B621" s="1" t="n">
        <v>43413</v>
      </c>
      <c r="C621" s="1" t="n">
        <v>45357</v>
      </c>
      <c r="D621" t="inlineStr">
        <is>
          <t>GÄVLEBORGS LÄN</t>
        </is>
      </c>
      <c r="E621" t="inlineStr">
        <is>
          <t>OCKELBO</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58965-2018</t>
        </is>
      </c>
      <c r="B622" s="1" t="n">
        <v>43413</v>
      </c>
      <c r="C622" s="1" t="n">
        <v>45357</v>
      </c>
      <c r="D622" t="inlineStr">
        <is>
          <t>GÄVLEBORGS LÄN</t>
        </is>
      </c>
      <c r="E622" t="inlineStr">
        <is>
          <t>GÄVLE</t>
        </is>
      </c>
      <c r="F622" t="inlineStr">
        <is>
          <t>Övriga statliga verk och myndigheter</t>
        </is>
      </c>
      <c r="G622" t="n">
        <v>0.7</v>
      </c>
      <c r="H622" t="n">
        <v>0</v>
      </c>
      <c r="I622" t="n">
        <v>0</v>
      </c>
      <c r="J622" t="n">
        <v>0</v>
      </c>
      <c r="K622" t="n">
        <v>0</v>
      </c>
      <c r="L622" t="n">
        <v>0</v>
      </c>
      <c r="M622" t="n">
        <v>0</v>
      </c>
      <c r="N622" t="n">
        <v>0</v>
      </c>
      <c r="O622" t="n">
        <v>0</v>
      </c>
      <c r="P622" t="n">
        <v>0</v>
      </c>
      <c r="Q622" t="n">
        <v>0</v>
      </c>
      <c r="R622" s="2" t="inlineStr"/>
    </row>
    <row r="623" ht="15" customHeight="1">
      <c r="A623" t="inlineStr">
        <is>
          <t>A 62718-2018</t>
        </is>
      </c>
      <c r="B623" s="1" t="n">
        <v>43413</v>
      </c>
      <c r="C623" s="1" t="n">
        <v>45357</v>
      </c>
      <c r="D623" t="inlineStr">
        <is>
          <t>GÄVLEBORGS LÄN</t>
        </is>
      </c>
      <c r="E623" t="inlineStr">
        <is>
          <t>BOLLNÄS</t>
        </is>
      </c>
      <c r="F623" t="inlineStr">
        <is>
          <t>Bergvik skog öst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62131-2018</t>
        </is>
      </c>
      <c r="B624" s="1" t="n">
        <v>43416</v>
      </c>
      <c r="C624" s="1" t="n">
        <v>45357</v>
      </c>
      <c r="D624" t="inlineStr">
        <is>
          <t>GÄVLEBORGS LÄN</t>
        </is>
      </c>
      <c r="E624" t="inlineStr">
        <is>
          <t>BOLLNÄS</t>
        </is>
      </c>
      <c r="G624" t="n">
        <v>0.4</v>
      </c>
      <c r="H624" t="n">
        <v>0</v>
      </c>
      <c r="I624" t="n">
        <v>0</v>
      </c>
      <c r="J624" t="n">
        <v>0</v>
      </c>
      <c r="K624" t="n">
        <v>0</v>
      </c>
      <c r="L624" t="n">
        <v>0</v>
      </c>
      <c r="M624" t="n">
        <v>0</v>
      </c>
      <c r="N624" t="n">
        <v>0</v>
      </c>
      <c r="O624" t="n">
        <v>0</v>
      </c>
      <c r="P624" t="n">
        <v>0</v>
      </c>
      <c r="Q624" t="n">
        <v>0</v>
      </c>
      <c r="R624" s="2" t="inlineStr"/>
    </row>
    <row r="625" ht="15" customHeight="1">
      <c r="A625" t="inlineStr">
        <is>
          <t>A 62366-2018</t>
        </is>
      </c>
      <c r="B625" s="1" t="n">
        <v>43416</v>
      </c>
      <c r="C625" s="1" t="n">
        <v>45357</v>
      </c>
      <c r="D625" t="inlineStr">
        <is>
          <t>GÄVLEBORGS LÄN</t>
        </is>
      </c>
      <c r="E625" t="inlineStr">
        <is>
          <t>LJUSDAL</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62021-2018</t>
        </is>
      </c>
      <c r="B626" s="1" t="n">
        <v>43416</v>
      </c>
      <c r="C626" s="1" t="n">
        <v>45357</v>
      </c>
      <c r="D626" t="inlineStr">
        <is>
          <t>GÄVLEBORGS LÄN</t>
        </is>
      </c>
      <c r="E626" t="inlineStr">
        <is>
          <t>OVANÅKER</t>
        </is>
      </c>
      <c r="G626" t="n">
        <v>1.4</v>
      </c>
      <c r="H626" t="n">
        <v>0</v>
      </c>
      <c r="I626" t="n">
        <v>0</v>
      </c>
      <c r="J626" t="n">
        <v>0</v>
      </c>
      <c r="K626" t="n">
        <v>0</v>
      </c>
      <c r="L626" t="n">
        <v>0</v>
      </c>
      <c r="M626" t="n">
        <v>0</v>
      </c>
      <c r="N626" t="n">
        <v>0</v>
      </c>
      <c r="O626" t="n">
        <v>0</v>
      </c>
      <c r="P626" t="n">
        <v>0</v>
      </c>
      <c r="Q626" t="n">
        <v>0</v>
      </c>
      <c r="R626" s="2" t="inlineStr"/>
    </row>
    <row r="627" ht="15" customHeight="1">
      <c r="A627" t="inlineStr">
        <is>
          <t>A 62363-2018</t>
        </is>
      </c>
      <c r="B627" s="1" t="n">
        <v>43416</v>
      </c>
      <c r="C627" s="1" t="n">
        <v>45357</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63416-2018</t>
        </is>
      </c>
      <c r="B628" s="1" t="n">
        <v>43416</v>
      </c>
      <c r="C628" s="1" t="n">
        <v>45357</v>
      </c>
      <c r="D628" t="inlineStr">
        <is>
          <t>GÄVLEBORGS LÄN</t>
        </is>
      </c>
      <c r="E628" t="inlineStr">
        <is>
          <t>OVANÅKER</t>
        </is>
      </c>
      <c r="G628" t="n">
        <v>1.9</v>
      </c>
      <c r="H628" t="n">
        <v>0</v>
      </c>
      <c r="I628" t="n">
        <v>0</v>
      </c>
      <c r="J628" t="n">
        <v>0</v>
      </c>
      <c r="K628" t="n">
        <v>0</v>
      </c>
      <c r="L628" t="n">
        <v>0</v>
      </c>
      <c r="M628" t="n">
        <v>0</v>
      </c>
      <c r="N628" t="n">
        <v>0</v>
      </c>
      <c r="O628" t="n">
        <v>0</v>
      </c>
      <c r="P628" t="n">
        <v>0</v>
      </c>
      <c r="Q628" t="n">
        <v>0</v>
      </c>
      <c r="R628" s="2" t="inlineStr"/>
    </row>
    <row r="629" ht="15" customHeight="1">
      <c r="A629" t="inlineStr">
        <is>
          <t>A 62364-2018</t>
        </is>
      </c>
      <c r="B629" s="1" t="n">
        <v>43416</v>
      </c>
      <c r="C629" s="1" t="n">
        <v>45357</v>
      </c>
      <c r="D629" t="inlineStr">
        <is>
          <t>GÄVLEBORGS LÄN</t>
        </is>
      </c>
      <c r="E629" t="inlineStr">
        <is>
          <t>LJUSDAL</t>
        </is>
      </c>
      <c r="F629" t="inlineStr">
        <is>
          <t>Bergvik skog väst AB</t>
        </is>
      </c>
      <c r="G629" t="n">
        <v>11.4</v>
      </c>
      <c r="H629" t="n">
        <v>0</v>
      </c>
      <c r="I629" t="n">
        <v>0</v>
      </c>
      <c r="J629" t="n">
        <v>0</v>
      </c>
      <c r="K629" t="n">
        <v>0</v>
      </c>
      <c r="L629" t="n">
        <v>0</v>
      </c>
      <c r="M629" t="n">
        <v>0</v>
      </c>
      <c r="N629" t="n">
        <v>0</v>
      </c>
      <c r="O629" t="n">
        <v>0</v>
      </c>
      <c r="P629" t="n">
        <v>0</v>
      </c>
      <c r="Q629" t="n">
        <v>0</v>
      </c>
      <c r="R629" s="2" t="inlineStr"/>
    </row>
    <row r="630" ht="15" customHeight="1">
      <c r="A630" t="inlineStr">
        <is>
          <t>A 59335-2018</t>
        </is>
      </c>
      <c r="B630" s="1" t="n">
        <v>43418</v>
      </c>
      <c r="C630" s="1" t="n">
        <v>45357</v>
      </c>
      <c r="D630" t="inlineStr">
        <is>
          <t>GÄVLEBORGS LÄN</t>
        </is>
      </c>
      <c r="E630" t="inlineStr">
        <is>
          <t>HUDIKSVALL</t>
        </is>
      </c>
      <c r="G630" t="n">
        <v>1.4</v>
      </c>
      <c r="H630" t="n">
        <v>0</v>
      </c>
      <c r="I630" t="n">
        <v>0</v>
      </c>
      <c r="J630" t="n">
        <v>0</v>
      </c>
      <c r="K630" t="n">
        <v>0</v>
      </c>
      <c r="L630" t="n">
        <v>0</v>
      </c>
      <c r="M630" t="n">
        <v>0</v>
      </c>
      <c r="N630" t="n">
        <v>0</v>
      </c>
      <c r="O630" t="n">
        <v>0</v>
      </c>
      <c r="P630" t="n">
        <v>0</v>
      </c>
      <c r="Q630" t="n">
        <v>0</v>
      </c>
      <c r="R630" s="2" t="inlineStr"/>
    </row>
    <row r="631" ht="15" customHeight="1">
      <c r="A631" t="inlineStr">
        <is>
          <t>A 59397-2018</t>
        </is>
      </c>
      <c r="B631" s="1" t="n">
        <v>43418</v>
      </c>
      <c r="C631" s="1" t="n">
        <v>45357</v>
      </c>
      <c r="D631" t="inlineStr">
        <is>
          <t>GÄVLEBORGS LÄN</t>
        </is>
      </c>
      <c r="E631" t="inlineStr">
        <is>
          <t>GÄVLE</t>
        </is>
      </c>
      <c r="G631" t="n">
        <v>1.9</v>
      </c>
      <c r="H631" t="n">
        <v>0</v>
      </c>
      <c r="I631" t="n">
        <v>0</v>
      </c>
      <c r="J631" t="n">
        <v>0</v>
      </c>
      <c r="K631" t="n">
        <v>0</v>
      </c>
      <c r="L631" t="n">
        <v>0</v>
      </c>
      <c r="M631" t="n">
        <v>0</v>
      </c>
      <c r="N631" t="n">
        <v>0</v>
      </c>
      <c r="O631" t="n">
        <v>0</v>
      </c>
      <c r="P631" t="n">
        <v>0</v>
      </c>
      <c r="Q631" t="n">
        <v>0</v>
      </c>
      <c r="R631" s="2" t="inlineStr"/>
    </row>
    <row r="632" ht="15" customHeight="1">
      <c r="A632" t="inlineStr">
        <is>
          <t>A 63067-2018</t>
        </is>
      </c>
      <c r="B632" s="1" t="n">
        <v>43418</v>
      </c>
      <c r="C632" s="1" t="n">
        <v>45357</v>
      </c>
      <c r="D632" t="inlineStr">
        <is>
          <t>GÄVLEBORGS LÄN</t>
        </is>
      </c>
      <c r="E632" t="inlineStr">
        <is>
          <t>GÄVLE</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59345-2018</t>
        </is>
      </c>
      <c r="B633" s="1" t="n">
        <v>43418</v>
      </c>
      <c r="C633" s="1" t="n">
        <v>45357</v>
      </c>
      <c r="D633" t="inlineStr">
        <is>
          <t>GÄVLEBORGS LÄN</t>
        </is>
      </c>
      <c r="E633" t="inlineStr">
        <is>
          <t>HUDIKSVALL</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63169-2018</t>
        </is>
      </c>
      <c r="B634" s="1" t="n">
        <v>43418</v>
      </c>
      <c r="C634" s="1" t="n">
        <v>45357</v>
      </c>
      <c r="D634" t="inlineStr">
        <is>
          <t>GÄVLEBORGS LÄN</t>
        </is>
      </c>
      <c r="E634" t="inlineStr">
        <is>
          <t>BOLLNÄS</t>
        </is>
      </c>
      <c r="G634" t="n">
        <v>0.3</v>
      </c>
      <c r="H634" t="n">
        <v>0</v>
      </c>
      <c r="I634" t="n">
        <v>0</v>
      </c>
      <c r="J634" t="n">
        <v>0</v>
      </c>
      <c r="K634" t="n">
        <v>0</v>
      </c>
      <c r="L634" t="n">
        <v>0</v>
      </c>
      <c r="M634" t="n">
        <v>0</v>
      </c>
      <c r="N634" t="n">
        <v>0</v>
      </c>
      <c r="O634" t="n">
        <v>0</v>
      </c>
      <c r="P634" t="n">
        <v>0</v>
      </c>
      <c r="Q634" t="n">
        <v>0</v>
      </c>
      <c r="R634" s="2" t="inlineStr"/>
    </row>
    <row r="635" ht="15" customHeight="1">
      <c r="A635" t="inlineStr">
        <is>
          <t>A 63168-2018</t>
        </is>
      </c>
      <c r="B635" s="1" t="n">
        <v>43418</v>
      </c>
      <c r="C635" s="1" t="n">
        <v>45357</v>
      </c>
      <c r="D635" t="inlineStr">
        <is>
          <t>GÄVLEBORGS LÄN</t>
        </is>
      </c>
      <c r="E635" t="inlineStr">
        <is>
          <t>BOLLNÄS</t>
        </is>
      </c>
      <c r="G635" t="n">
        <v>0.1</v>
      </c>
      <c r="H635" t="n">
        <v>0</v>
      </c>
      <c r="I635" t="n">
        <v>0</v>
      </c>
      <c r="J635" t="n">
        <v>0</v>
      </c>
      <c r="K635" t="n">
        <v>0</v>
      </c>
      <c r="L635" t="n">
        <v>0</v>
      </c>
      <c r="M635" t="n">
        <v>0</v>
      </c>
      <c r="N635" t="n">
        <v>0</v>
      </c>
      <c r="O635" t="n">
        <v>0</v>
      </c>
      <c r="P635" t="n">
        <v>0</v>
      </c>
      <c r="Q635" t="n">
        <v>0</v>
      </c>
      <c r="R635" s="2" t="inlineStr"/>
    </row>
    <row r="636" ht="15" customHeight="1">
      <c r="A636" t="inlineStr">
        <is>
          <t>A 63026-2018</t>
        </is>
      </c>
      <c r="B636" s="1" t="n">
        <v>43418</v>
      </c>
      <c r="C636" s="1" t="n">
        <v>45357</v>
      </c>
      <c r="D636" t="inlineStr">
        <is>
          <t>GÄVLEBORGS LÄN</t>
        </is>
      </c>
      <c r="E636" t="inlineStr">
        <is>
          <t>BOLLNÄS</t>
        </is>
      </c>
      <c r="G636" t="n">
        <v>0.6</v>
      </c>
      <c r="H636" t="n">
        <v>0</v>
      </c>
      <c r="I636" t="n">
        <v>0</v>
      </c>
      <c r="J636" t="n">
        <v>0</v>
      </c>
      <c r="K636" t="n">
        <v>0</v>
      </c>
      <c r="L636" t="n">
        <v>0</v>
      </c>
      <c r="M636" t="n">
        <v>0</v>
      </c>
      <c r="N636" t="n">
        <v>0</v>
      </c>
      <c r="O636" t="n">
        <v>0</v>
      </c>
      <c r="P636" t="n">
        <v>0</v>
      </c>
      <c r="Q636" t="n">
        <v>0</v>
      </c>
      <c r="R636" s="2" t="inlineStr"/>
    </row>
    <row r="637" ht="15" customHeight="1">
      <c r="A637" t="inlineStr">
        <is>
          <t>A 59347-2018</t>
        </is>
      </c>
      <c r="B637" s="1" t="n">
        <v>43418</v>
      </c>
      <c r="C637" s="1" t="n">
        <v>45357</v>
      </c>
      <c r="D637" t="inlineStr">
        <is>
          <t>GÄVLEBORGS LÄN</t>
        </is>
      </c>
      <c r="E637" t="inlineStr">
        <is>
          <t>HUDIKSVALL</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59644-2018</t>
        </is>
      </c>
      <c r="B638" s="1" t="n">
        <v>43419</v>
      </c>
      <c r="C638" s="1" t="n">
        <v>45357</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64500-2018</t>
        </is>
      </c>
      <c r="B639" s="1" t="n">
        <v>43419</v>
      </c>
      <c r="C639" s="1" t="n">
        <v>45357</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59524-2018</t>
        </is>
      </c>
      <c r="B640" s="1" t="n">
        <v>43419</v>
      </c>
      <c r="C640" s="1" t="n">
        <v>45357</v>
      </c>
      <c r="D640" t="inlineStr">
        <is>
          <t>GÄVLEBORGS LÄN</t>
        </is>
      </c>
      <c r="E640" t="inlineStr">
        <is>
          <t>HUDIKSVALL</t>
        </is>
      </c>
      <c r="G640" t="n">
        <v>2.3</v>
      </c>
      <c r="H640" t="n">
        <v>0</v>
      </c>
      <c r="I640" t="n">
        <v>0</v>
      </c>
      <c r="J640" t="n">
        <v>0</v>
      </c>
      <c r="K640" t="n">
        <v>0</v>
      </c>
      <c r="L640" t="n">
        <v>0</v>
      </c>
      <c r="M640" t="n">
        <v>0</v>
      </c>
      <c r="N640" t="n">
        <v>0</v>
      </c>
      <c r="O640" t="n">
        <v>0</v>
      </c>
      <c r="P640" t="n">
        <v>0</v>
      </c>
      <c r="Q640" t="n">
        <v>0</v>
      </c>
      <c r="R640" s="2" t="inlineStr"/>
    </row>
    <row r="641" ht="15" customHeight="1">
      <c r="A641" t="inlineStr">
        <is>
          <t>A 59474-2018</t>
        </is>
      </c>
      <c r="B641" s="1" t="n">
        <v>43419</v>
      </c>
      <c r="C641" s="1" t="n">
        <v>45357</v>
      </c>
      <c r="D641" t="inlineStr">
        <is>
          <t>GÄVLEBORGS LÄN</t>
        </is>
      </c>
      <c r="E641" t="inlineStr">
        <is>
          <t>LJUSDAL</t>
        </is>
      </c>
      <c r="G641" t="n">
        <v>0.6</v>
      </c>
      <c r="H641" t="n">
        <v>0</v>
      </c>
      <c r="I641" t="n">
        <v>0</v>
      </c>
      <c r="J641" t="n">
        <v>0</v>
      </c>
      <c r="K641" t="n">
        <v>0</v>
      </c>
      <c r="L641" t="n">
        <v>0</v>
      </c>
      <c r="M641" t="n">
        <v>0</v>
      </c>
      <c r="N641" t="n">
        <v>0</v>
      </c>
      <c r="O641" t="n">
        <v>0</v>
      </c>
      <c r="P641" t="n">
        <v>0</v>
      </c>
      <c r="Q641" t="n">
        <v>0</v>
      </c>
      <c r="R641" s="2" t="inlineStr"/>
    </row>
    <row r="642" ht="15" customHeight="1">
      <c r="A642" t="inlineStr">
        <is>
          <t>A 59439-2018</t>
        </is>
      </c>
      <c r="B642" s="1" t="n">
        <v>43419</v>
      </c>
      <c r="C642" s="1" t="n">
        <v>45357</v>
      </c>
      <c r="D642" t="inlineStr">
        <is>
          <t>GÄVLEBORGS LÄN</t>
        </is>
      </c>
      <c r="E642" t="inlineStr">
        <is>
          <t>SANDVIKEN</t>
        </is>
      </c>
      <c r="G642" t="n">
        <v>7.9</v>
      </c>
      <c r="H642" t="n">
        <v>0</v>
      </c>
      <c r="I642" t="n">
        <v>0</v>
      </c>
      <c r="J642" t="n">
        <v>0</v>
      </c>
      <c r="K642" t="n">
        <v>0</v>
      </c>
      <c r="L642" t="n">
        <v>0</v>
      </c>
      <c r="M642" t="n">
        <v>0</v>
      </c>
      <c r="N642" t="n">
        <v>0</v>
      </c>
      <c r="O642" t="n">
        <v>0</v>
      </c>
      <c r="P642" t="n">
        <v>0</v>
      </c>
      <c r="Q642" t="n">
        <v>0</v>
      </c>
      <c r="R642" s="2" t="inlineStr"/>
    </row>
    <row r="643" ht="15" customHeight="1">
      <c r="A643" t="inlineStr">
        <is>
          <t>A 59547-2018</t>
        </is>
      </c>
      <c r="B643" s="1" t="n">
        <v>43419</v>
      </c>
      <c r="C643" s="1" t="n">
        <v>45357</v>
      </c>
      <c r="D643" t="inlineStr">
        <is>
          <t>GÄVLEBORGS LÄN</t>
        </is>
      </c>
      <c r="E643" t="inlineStr">
        <is>
          <t>BOLLNÄS</t>
        </is>
      </c>
      <c r="G643" t="n">
        <v>2.1</v>
      </c>
      <c r="H643" t="n">
        <v>0</v>
      </c>
      <c r="I643" t="n">
        <v>0</v>
      </c>
      <c r="J643" t="n">
        <v>0</v>
      </c>
      <c r="K643" t="n">
        <v>0</v>
      </c>
      <c r="L643" t="n">
        <v>0</v>
      </c>
      <c r="M643" t="n">
        <v>0</v>
      </c>
      <c r="N643" t="n">
        <v>0</v>
      </c>
      <c r="O643" t="n">
        <v>0</v>
      </c>
      <c r="P643" t="n">
        <v>0</v>
      </c>
      <c r="Q643" t="n">
        <v>0</v>
      </c>
      <c r="R643" s="2" t="inlineStr"/>
    </row>
    <row r="644" ht="15" customHeight="1">
      <c r="A644" t="inlineStr">
        <is>
          <t>A 59658-2018</t>
        </is>
      </c>
      <c r="B644" s="1" t="n">
        <v>43419</v>
      </c>
      <c r="C644" s="1" t="n">
        <v>45357</v>
      </c>
      <c r="D644" t="inlineStr">
        <is>
          <t>GÄVLEBORGS LÄN</t>
        </is>
      </c>
      <c r="E644" t="inlineStr">
        <is>
          <t>OVANÅKER</t>
        </is>
      </c>
      <c r="G644" t="n">
        <v>1.3</v>
      </c>
      <c r="H644" t="n">
        <v>0</v>
      </c>
      <c r="I644" t="n">
        <v>0</v>
      </c>
      <c r="J644" t="n">
        <v>0</v>
      </c>
      <c r="K644" t="n">
        <v>0</v>
      </c>
      <c r="L644" t="n">
        <v>0</v>
      </c>
      <c r="M644" t="n">
        <v>0</v>
      </c>
      <c r="N644" t="n">
        <v>0</v>
      </c>
      <c r="O644" t="n">
        <v>0</v>
      </c>
      <c r="P644" t="n">
        <v>0</v>
      </c>
      <c r="Q644" t="n">
        <v>0</v>
      </c>
      <c r="R644" s="2" t="inlineStr"/>
    </row>
    <row r="645" ht="15" customHeight="1">
      <c r="A645" t="inlineStr">
        <is>
          <t>A 59643-2018</t>
        </is>
      </c>
      <c r="B645" s="1" t="n">
        <v>43419</v>
      </c>
      <c r="C645" s="1" t="n">
        <v>45357</v>
      </c>
      <c r="D645" t="inlineStr">
        <is>
          <t>GÄVLEBORGS LÄN</t>
        </is>
      </c>
      <c r="E645" t="inlineStr">
        <is>
          <t>OVANÅKER</t>
        </is>
      </c>
      <c r="G645" t="n">
        <v>1.4</v>
      </c>
      <c r="H645" t="n">
        <v>0</v>
      </c>
      <c r="I645" t="n">
        <v>0</v>
      </c>
      <c r="J645" t="n">
        <v>0</v>
      </c>
      <c r="K645" t="n">
        <v>0</v>
      </c>
      <c r="L645" t="n">
        <v>0</v>
      </c>
      <c r="M645" t="n">
        <v>0</v>
      </c>
      <c r="N645" t="n">
        <v>0</v>
      </c>
      <c r="O645" t="n">
        <v>0</v>
      </c>
      <c r="P645" t="n">
        <v>0</v>
      </c>
      <c r="Q645" t="n">
        <v>0</v>
      </c>
      <c r="R645" s="2" t="inlineStr"/>
    </row>
    <row r="646" ht="15" customHeight="1">
      <c r="A646" t="inlineStr">
        <is>
          <t>A 60384-2018</t>
        </is>
      </c>
      <c r="B646" s="1" t="n">
        <v>43420</v>
      </c>
      <c r="C646" s="1" t="n">
        <v>45357</v>
      </c>
      <c r="D646" t="inlineStr">
        <is>
          <t>GÄVLEBORGS LÄN</t>
        </is>
      </c>
      <c r="E646" t="inlineStr">
        <is>
          <t>OCKELBO</t>
        </is>
      </c>
      <c r="G646" t="n">
        <v>2.4</v>
      </c>
      <c r="H646" t="n">
        <v>0</v>
      </c>
      <c r="I646" t="n">
        <v>0</v>
      </c>
      <c r="J646" t="n">
        <v>0</v>
      </c>
      <c r="K646" t="n">
        <v>0</v>
      </c>
      <c r="L646" t="n">
        <v>0</v>
      </c>
      <c r="M646" t="n">
        <v>0</v>
      </c>
      <c r="N646" t="n">
        <v>0</v>
      </c>
      <c r="O646" t="n">
        <v>0</v>
      </c>
      <c r="P646" t="n">
        <v>0</v>
      </c>
      <c r="Q646" t="n">
        <v>0</v>
      </c>
      <c r="R646" s="2" t="inlineStr"/>
    </row>
    <row r="647" ht="15" customHeight="1">
      <c r="A647" t="inlineStr">
        <is>
          <t>A 64639-2018</t>
        </is>
      </c>
      <c r="B647" s="1" t="n">
        <v>43420</v>
      </c>
      <c r="C647" s="1" t="n">
        <v>45357</v>
      </c>
      <c r="D647" t="inlineStr">
        <is>
          <t>GÄVLEBORGS LÄN</t>
        </is>
      </c>
      <c r="E647" t="inlineStr">
        <is>
          <t>SANDVIKEN</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60349-2018</t>
        </is>
      </c>
      <c r="B648" s="1" t="n">
        <v>43420</v>
      </c>
      <c r="C648" s="1" t="n">
        <v>45357</v>
      </c>
      <c r="D648" t="inlineStr">
        <is>
          <t>GÄVLEBORGS LÄN</t>
        </is>
      </c>
      <c r="E648" t="inlineStr">
        <is>
          <t>OCKELBO</t>
        </is>
      </c>
      <c r="G648" t="n">
        <v>1</v>
      </c>
      <c r="H648" t="n">
        <v>0</v>
      </c>
      <c r="I648" t="n">
        <v>0</v>
      </c>
      <c r="J648" t="n">
        <v>0</v>
      </c>
      <c r="K648" t="n">
        <v>0</v>
      </c>
      <c r="L648" t="n">
        <v>0</v>
      </c>
      <c r="M648" t="n">
        <v>0</v>
      </c>
      <c r="N648" t="n">
        <v>0</v>
      </c>
      <c r="O648" t="n">
        <v>0</v>
      </c>
      <c r="P648" t="n">
        <v>0</v>
      </c>
      <c r="Q648" t="n">
        <v>0</v>
      </c>
      <c r="R648" s="2" t="inlineStr"/>
    </row>
    <row r="649" ht="15" customHeight="1">
      <c r="A649" t="inlineStr">
        <is>
          <t>A 60332-2018</t>
        </is>
      </c>
      <c r="B649" s="1" t="n">
        <v>43420</v>
      </c>
      <c r="C649" s="1" t="n">
        <v>45357</v>
      </c>
      <c r="D649" t="inlineStr">
        <is>
          <t>GÄVLEBORGS LÄN</t>
        </is>
      </c>
      <c r="E649" t="inlineStr">
        <is>
          <t>LJUSDAL</t>
        </is>
      </c>
      <c r="G649" t="n">
        <v>17.1</v>
      </c>
      <c r="H649" t="n">
        <v>0</v>
      </c>
      <c r="I649" t="n">
        <v>0</v>
      </c>
      <c r="J649" t="n">
        <v>0</v>
      </c>
      <c r="K649" t="n">
        <v>0</v>
      </c>
      <c r="L649" t="n">
        <v>0</v>
      </c>
      <c r="M649" t="n">
        <v>0</v>
      </c>
      <c r="N649" t="n">
        <v>0</v>
      </c>
      <c r="O649" t="n">
        <v>0</v>
      </c>
      <c r="P649" t="n">
        <v>0</v>
      </c>
      <c r="Q649" t="n">
        <v>0</v>
      </c>
      <c r="R649" s="2" t="inlineStr"/>
    </row>
    <row r="650" ht="15" customHeight="1">
      <c r="A650" t="inlineStr">
        <is>
          <t>A 60378-2018</t>
        </is>
      </c>
      <c r="B650" s="1" t="n">
        <v>43420</v>
      </c>
      <c r="C650" s="1" t="n">
        <v>45357</v>
      </c>
      <c r="D650" t="inlineStr">
        <is>
          <t>GÄVLEBORGS LÄN</t>
        </is>
      </c>
      <c r="E650" t="inlineStr">
        <is>
          <t>OCKELBO</t>
        </is>
      </c>
      <c r="G650" t="n">
        <v>2.5</v>
      </c>
      <c r="H650" t="n">
        <v>0</v>
      </c>
      <c r="I650" t="n">
        <v>0</v>
      </c>
      <c r="J650" t="n">
        <v>0</v>
      </c>
      <c r="K650" t="n">
        <v>0</v>
      </c>
      <c r="L650" t="n">
        <v>0</v>
      </c>
      <c r="M650" t="n">
        <v>0</v>
      </c>
      <c r="N650" t="n">
        <v>0</v>
      </c>
      <c r="O650" t="n">
        <v>0</v>
      </c>
      <c r="P650" t="n">
        <v>0</v>
      </c>
      <c r="Q650" t="n">
        <v>0</v>
      </c>
      <c r="R650" s="2" t="inlineStr"/>
    </row>
    <row r="651" ht="15" customHeight="1">
      <c r="A651" t="inlineStr">
        <is>
          <t>A 60387-2018</t>
        </is>
      </c>
      <c r="B651" s="1" t="n">
        <v>43420</v>
      </c>
      <c r="C651" s="1" t="n">
        <v>45357</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60392-2018</t>
        </is>
      </c>
      <c r="B652" s="1" t="n">
        <v>43420</v>
      </c>
      <c r="C652" s="1" t="n">
        <v>45357</v>
      </c>
      <c r="D652" t="inlineStr">
        <is>
          <t>GÄVLEBORGS LÄN</t>
        </is>
      </c>
      <c r="E652" t="inlineStr">
        <is>
          <t>OCKELBO</t>
        </is>
      </c>
      <c r="G652" t="n">
        <v>1.7</v>
      </c>
      <c r="H652" t="n">
        <v>0</v>
      </c>
      <c r="I652" t="n">
        <v>0</v>
      </c>
      <c r="J652" t="n">
        <v>0</v>
      </c>
      <c r="K652" t="n">
        <v>0</v>
      </c>
      <c r="L652" t="n">
        <v>0</v>
      </c>
      <c r="M652" t="n">
        <v>0</v>
      </c>
      <c r="N652" t="n">
        <v>0</v>
      </c>
      <c r="O652" t="n">
        <v>0</v>
      </c>
      <c r="P652" t="n">
        <v>0</v>
      </c>
      <c r="Q652" t="n">
        <v>0</v>
      </c>
      <c r="R652" s="2" t="inlineStr"/>
    </row>
    <row r="653" ht="15" customHeight="1">
      <c r="A653" t="inlineStr">
        <is>
          <t>A 60355-2018</t>
        </is>
      </c>
      <c r="B653" s="1" t="n">
        <v>43420</v>
      </c>
      <c r="C653" s="1" t="n">
        <v>45357</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60361-2018</t>
        </is>
      </c>
      <c r="B654" s="1" t="n">
        <v>43420</v>
      </c>
      <c r="C654" s="1" t="n">
        <v>45357</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60367-2018</t>
        </is>
      </c>
      <c r="B655" s="1" t="n">
        <v>43420</v>
      </c>
      <c r="C655" s="1" t="n">
        <v>45357</v>
      </c>
      <c r="D655" t="inlineStr">
        <is>
          <t>GÄVLEBORGS LÄN</t>
        </is>
      </c>
      <c r="E655" t="inlineStr">
        <is>
          <t>BOLLNÄS</t>
        </is>
      </c>
      <c r="G655" t="n">
        <v>2.6</v>
      </c>
      <c r="H655" t="n">
        <v>0</v>
      </c>
      <c r="I655" t="n">
        <v>0</v>
      </c>
      <c r="J655" t="n">
        <v>0</v>
      </c>
      <c r="K655" t="n">
        <v>0</v>
      </c>
      <c r="L655" t="n">
        <v>0</v>
      </c>
      <c r="M655" t="n">
        <v>0</v>
      </c>
      <c r="N655" t="n">
        <v>0</v>
      </c>
      <c r="O655" t="n">
        <v>0</v>
      </c>
      <c r="P655" t="n">
        <v>0</v>
      </c>
      <c r="Q655" t="n">
        <v>0</v>
      </c>
      <c r="R655" s="2" t="inlineStr"/>
    </row>
    <row r="656" ht="15" customHeight="1">
      <c r="A656" t="inlineStr">
        <is>
          <t>A 60344-2018</t>
        </is>
      </c>
      <c r="B656" s="1" t="n">
        <v>43420</v>
      </c>
      <c r="C656" s="1" t="n">
        <v>45357</v>
      </c>
      <c r="D656" t="inlineStr">
        <is>
          <t>GÄVLEBORGS LÄN</t>
        </is>
      </c>
      <c r="E656" t="inlineStr">
        <is>
          <t>OCKELBO</t>
        </is>
      </c>
      <c r="G656" t="n">
        <v>1.5</v>
      </c>
      <c r="H656" t="n">
        <v>0</v>
      </c>
      <c r="I656" t="n">
        <v>0</v>
      </c>
      <c r="J656" t="n">
        <v>0</v>
      </c>
      <c r="K656" t="n">
        <v>0</v>
      </c>
      <c r="L656" t="n">
        <v>0</v>
      </c>
      <c r="M656" t="n">
        <v>0</v>
      </c>
      <c r="N656" t="n">
        <v>0</v>
      </c>
      <c r="O656" t="n">
        <v>0</v>
      </c>
      <c r="P656" t="n">
        <v>0</v>
      </c>
      <c r="Q656" t="n">
        <v>0</v>
      </c>
      <c r="R656" s="2" t="inlineStr"/>
    </row>
    <row r="657" ht="15" customHeight="1">
      <c r="A657" t="inlineStr">
        <is>
          <t>A 60310-2018</t>
        </is>
      </c>
      <c r="B657" s="1" t="n">
        <v>43420</v>
      </c>
      <c r="C657" s="1" t="n">
        <v>45357</v>
      </c>
      <c r="D657" t="inlineStr">
        <is>
          <t>GÄVLEBORGS LÄN</t>
        </is>
      </c>
      <c r="E657" t="inlineStr">
        <is>
          <t>OCKELBO</t>
        </is>
      </c>
      <c r="G657" t="n">
        <v>10</v>
      </c>
      <c r="H657" t="n">
        <v>0</v>
      </c>
      <c r="I657" t="n">
        <v>0</v>
      </c>
      <c r="J657" t="n">
        <v>0</v>
      </c>
      <c r="K657" t="n">
        <v>0</v>
      </c>
      <c r="L657" t="n">
        <v>0</v>
      </c>
      <c r="M657" t="n">
        <v>0</v>
      </c>
      <c r="N657" t="n">
        <v>0</v>
      </c>
      <c r="O657" t="n">
        <v>0</v>
      </c>
      <c r="P657" t="n">
        <v>0</v>
      </c>
      <c r="Q657" t="n">
        <v>0</v>
      </c>
      <c r="R657" s="2" t="inlineStr"/>
    </row>
    <row r="658" ht="15" customHeight="1">
      <c r="A658" t="inlineStr">
        <is>
          <t>A 61275-2018</t>
        </is>
      </c>
      <c r="B658" s="1" t="n">
        <v>43423</v>
      </c>
      <c r="C658" s="1" t="n">
        <v>45357</v>
      </c>
      <c r="D658" t="inlineStr">
        <is>
          <t>GÄVLEBORGS LÄN</t>
        </is>
      </c>
      <c r="E658" t="inlineStr">
        <is>
          <t>NORDANSTIG</t>
        </is>
      </c>
      <c r="G658" t="n">
        <v>2</v>
      </c>
      <c r="H658" t="n">
        <v>0</v>
      </c>
      <c r="I658" t="n">
        <v>0</v>
      </c>
      <c r="J658" t="n">
        <v>0</v>
      </c>
      <c r="K658" t="n">
        <v>0</v>
      </c>
      <c r="L658" t="n">
        <v>0</v>
      </c>
      <c r="M658" t="n">
        <v>0</v>
      </c>
      <c r="N658" t="n">
        <v>0</v>
      </c>
      <c r="O658" t="n">
        <v>0</v>
      </c>
      <c r="P658" t="n">
        <v>0</v>
      </c>
      <c r="Q658" t="n">
        <v>0</v>
      </c>
      <c r="R658" s="2" t="inlineStr"/>
    </row>
    <row r="659" ht="15" customHeight="1">
      <c r="A659" t="inlineStr">
        <is>
          <t>A 61276-2018</t>
        </is>
      </c>
      <c r="B659" s="1" t="n">
        <v>43423</v>
      </c>
      <c r="C659" s="1" t="n">
        <v>45357</v>
      </c>
      <c r="D659" t="inlineStr">
        <is>
          <t>GÄVLEBORGS LÄN</t>
        </is>
      </c>
      <c r="E659" t="inlineStr">
        <is>
          <t>NORDANSTIG</t>
        </is>
      </c>
      <c r="G659" t="n">
        <v>23.6</v>
      </c>
      <c r="H659" t="n">
        <v>0</v>
      </c>
      <c r="I659" t="n">
        <v>0</v>
      </c>
      <c r="J659" t="n">
        <v>0</v>
      </c>
      <c r="K659" t="n">
        <v>0</v>
      </c>
      <c r="L659" t="n">
        <v>0</v>
      </c>
      <c r="M659" t="n">
        <v>0</v>
      </c>
      <c r="N659" t="n">
        <v>0</v>
      </c>
      <c r="O659" t="n">
        <v>0</v>
      </c>
      <c r="P659" t="n">
        <v>0</v>
      </c>
      <c r="Q659" t="n">
        <v>0</v>
      </c>
      <c r="R659" s="2" t="inlineStr"/>
    </row>
    <row r="660" ht="15" customHeight="1">
      <c r="A660" t="inlineStr">
        <is>
          <t>A 61034-2018</t>
        </is>
      </c>
      <c r="B660" s="1" t="n">
        <v>43423</v>
      </c>
      <c r="C660" s="1" t="n">
        <v>45357</v>
      </c>
      <c r="D660" t="inlineStr">
        <is>
          <t>GÄVLEBORGS LÄN</t>
        </is>
      </c>
      <c r="E660" t="inlineStr">
        <is>
          <t>NORDANSTIG</t>
        </is>
      </c>
      <c r="G660" t="n">
        <v>1.7</v>
      </c>
      <c r="H660" t="n">
        <v>0</v>
      </c>
      <c r="I660" t="n">
        <v>0</v>
      </c>
      <c r="J660" t="n">
        <v>0</v>
      </c>
      <c r="K660" t="n">
        <v>0</v>
      </c>
      <c r="L660" t="n">
        <v>0</v>
      </c>
      <c r="M660" t="n">
        <v>0</v>
      </c>
      <c r="N660" t="n">
        <v>0</v>
      </c>
      <c r="O660" t="n">
        <v>0</v>
      </c>
      <c r="P660" t="n">
        <v>0</v>
      </c>
      <c r="Q660" t="n">
        <v>0</v>
      </c>
      <c r="R660" s="2" t="inlineStr"/>
    </row>
    <row r="661" ht="15" customHeight="1">
      <c r="A661" t="inlineStr">
        <is>
          <t>A 64795-2018</t>
        </is>
      </c>
      <c r="B661" s="1" t="n">
        <v>43423</v>
      </c>
      <c r="C661" s="1" t="n">
        <v>45357</v>
      </c>
      <c r="D661" t="inlineStr">
        <is>
          <t>GÄVLEBORGS LÄN</t>
        </is>
      </c>
      <c r="E661" t="inlineStr">
        <is>
          <t>GÄVLE</t>
        </is>
      </c>
      <c r="G661" t="n">
        <v>0.8</v>
      </c>
      <c r="H661" t="n">
        <v>0</v>
      </c>
      <c r="I661" t="n">
        <v>0</v>
      </c>
      <c r="J661" t="n">
        <v>0</v>
      </c>
      <c r="K661" t="n">
        <v>0</v>
      </c>
      <c r="L661" t="n">
        <v>0</v>
      </c>
      <c r="M661" t="n">
        <v>0</v>
      </c>
      <c r="N661" t="n">
        <v>0</v>
      </c>
      <c r="O661" t="n">
        <v>0</v>
      </c>
      <c r="P661" t="n">
        <v>0</v>
      </c>
      <c r="Q661" t="n">
        <v>0</v>
      </c>
      <c r="R661" s="2" t="inlineStr"/>
    </row>
    <row r="662" ht="15" customHeight="1">
      <c r="A662" t="inlineStr">
        <is>
          <t>A 61253-2018</t>
        </is>
      </c>
      <c r="B662" s="1" t="n">
        <v>43423</v>
      </c>
      <c r="C662" s="1" t="n">
        <v>45357</v>
      </c>
      <c r="D662" t="inlineStr">
        <is>
          <t>GÄVLEBORGS LÄN</t>
        </is>
      </c>
      <c r="E662" t="inlineStr">
        <is>
          <t>HUDIKSVALL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61335-2018</t>
        </is>
      </c>
      <c r="B663" s="1" t="n">
        <v>43424</v>
      </c>
      <c r="C663" s="1" t="n">
        <v>45357</v>
      </c>
      <c r="D663" t="inlineStr">
        <is>
          <t>GÄVLEBORGS LÄN</t>
        </is>
      </c>
      <c r="E663" t="inlineStr">
        <is>
          <t>OVANÅKER</t>
        </is>
      </c>
      <c r="G663" t="n">
        <v>2.6</v>
      </c>
      <c r="H663" t="n">
        <v>0</v>
      </c>
      <c r="I663" t="n">
        <v>0</v>
      </c>
      <c r="J663" t="n">
        <v>0</v>
      </c>
      <c r="K663" t="n">
        <v>0</v>
      </c>
      <c r="L663" t="n">
        <v>0</v>
      </c>
      <c r="M663" t="n">
        <v>0</v>
      </c>
      <c r="N663" t="n">
        <v>0</v>
      </c>
      <c r="O663" t="n">
        <v>0</v>
      </c>
      <c r="P663" t="n">
        <v>0</v>
      </c>
      <c r="Q663" t="n">
        <v>0</v>
      </c>
      <c r="R663" s="2" t="inlineStr"/>
    </row>
    <row r="664" ht="15" customHeight="1">
      <c r="A664" t="inlineStr">
        <is>
          <t>A 61419-2018</t>
        </is>
      </c>
      <c r="B664" s="1" t="n">
        <v>43424</v>
      </c>
      <c r="C664" s="1" t="n">
        <v>45357</v>
      </c>
      <c r="D664" t="inlineStr">
        <is>
          <t>GÄVLEBORGS LÄN</t>
        </is>
      </c>
      <c r="E664" t="inlineStr">
        <is>
          <t>BOLLNÄS</t>
        </is>
      </c>
      <c r="G664" t="n">
        <v>1.8</v>
      </c>
      <c r="H664" t="n">
        <v>0</v>
      </c>
      <c r="I664" t="n">
        <v>0</v>
      </c>
      <c r="J664" t="n">
        <v>0</v>
      </c>
      <c r="K664" t="n">
        <v>0</v>
      </c>
      <c r="L664" t="n">
        <v>0</v>
      </c>
      <c r="M664" t="n">
        <v>0</v>
      </c>
      <c r="N664" t="n">
        <v>0</v>
      </c>
      <c r="O664" t="n">
        <v>0</v>
      </c>
      <c r="P664" t="n">
        <v>0</v>
      </c>
      <c r="Q664" t="n">
        <v>0</v>
      </c>
      <c r="R664" s="2" t="inlineStr"/>
    </row>
    <row r="665" ht="15" customHeight="1">
      <c r="A665" t="inlineStr">
        <is>
          <t>A 61588-2018</t>
        </is>
      </c>
      <c r="B665" s="1" t="n">
        <v>43424</v>
      </c>
      <c r="C665" s="1" t="n">
        <v>45357</v>
      </c>
      <c r="D665" t="inlineStr">
        <is>
          <t>GÄVLEBORGS LÄN</t>
        </is>
      </c>
      <c r="E665" t="inlineStr">
        <is>
          <t>HUDIKSVALL</t>
        </is>
      </c>
      <c r="G665" t="n">
        <v>1.1</v>
      </c>
      <c r="H665" t="n">
        <v>0</v>
      </c>
      <c r="I665" t="n">
        <v>0</v>
      </c>
      <c r="J665" t="n">
        <v>0</v>
      </c>
      <c r="K665" t="n">
        <v>0</v>
      </c>
      <c r="L665" t="n">
        <v>0</v>
      </c>
      <c r="M665" t="n">
        <v>0</v>
      </c>
      <c r="N665" t="n">
        <v>0</v>
      </c>
      <c r="O665" t="n">
        <v>0</v>
      </c>
      <c r="P665" t="n">
        <v>0</v>
      </c>
      <c r="Q665" t="n">
        <v>0</v>
      </c>
      <c r="R665" s="2" t="inlineStr"/>
    </row>
    <row r="666" ht="15" customHeight="1">
      <c r="A666" t="inlineStr">
        <is>
          <t>A 61453-2018</t>
        </is>
      </c>
      <c r="B666" s="1" t="n">
        <v>43424</v>
      </c>
      <c r="C666" s="1" t="n">
        <v>45357</v>
      </c>
      <c r="D666" t="inlineStr">
        <is>
          <t>GÄVLEBORGS LÄN</t>
        </is>
      </c>
      <c r="E666" t="inlineStr">
        <is>
          <t>BOLLNÄS</t>
        </is>
      </c>
      <c r="G666" t="n">
        <v>2.9</v>
      </c>
      <c r="H666" t="n">
        <v>0</v>
      </c>
      <c r="I666" t="n">
        <v>0</v>
      </c>
      <c r="J666" t="n">
        <v>0</v>
      </c>
      <c r="K666" t="n">
        <v>0</v>
      </c>
      <c r="L666" t="n">
        <v>0</v>
      </c>
      <c r="M666" t="n">
        <v>0</v>
      </c>
      <c r="N666" t="n">
        <v>0</v>
      </c>
      <c r="O666" t="n">
        <v>0</v>
      </c>
      <c r="P666" t="n">
        <v>0</v>
      </c>
      <c r="Q666" t="n">
        <v>0</v>
      </c>
      <c r="R666" s="2" t="inlineStr"/>
    </row>
    <row r="667" ht="15" customHeight="1">
      <c r="A667" t="inlineStr">
        <is>
          <t>A 61488-2018</t>
        </is>
      </c>
      <c r="B667" s="1" t="n">
        <v>43424</v>
      </c>
      <c r="C667" s="1" t="n">
        <v>45357</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65275-2018</t>
        </is>
      </c>
      <c r="B668" s="1" t="n">
        <v>43424</v>
      </c>
      <c r="C668" s="1" t="n">
        <v>45357</v>
      </c>
      <c r="D668" t="inlineStr">
        <is>
          <t>GÄVLEBORGS LÄN</t>
        </is>
      </c>
      <c r="E668" t="inlineStr">
        <is>
          <t>BOLLNÄS</t>
        </is>
      </c>
      <c r="G668" t="n">
        <v>2.1</v>
      </c>
      <c r="H668" t="n">
        <v>0</v>
      </c>
      <c r="I668" t="n">
        <v>0</v>
      </c>
      <c r="J668" t="n">
        <v>0</v>
      </c>
      <c r="K668" t="n">
        <v>0</v>
      </c>
      <c r="L668" t="n">
        <v>0</v>
      </c>
      <c r="M668" t="n">
        <v>0</v>
      </c>
      <c r="N668" t="n">
        <v>0</v>
      </c>
      <c r="O668" t="n">
        <v>0</v>
      </c>
      <c r="P668" t="n">
        <v>0</v>
      </c>
      <c r="Q668" t="n">
        <v>0</v>
      </c>
      <c r="R668" s="2" t="inlineStr"/>
    </row>
    <row r="669" ht="15" customHeight="1">
      <c r="A669" t="inlineStr">
        <is>
          <t>A 61381-2018</t>
        </is>
      </c>
      <c r="B669" s="1" t="n">
        <v>43424</v>
      </c>
      <c r="C669" s="1" t="n">
        <v>45357</v>
      </c>
      <c r="D669" t="inlineStr">
        <is>
          <t>GÄVLEBORGS LÄN</t>
        </is>
      </c>
      <c r="E669" t="inlineStr">
        <is>
          <t>NORDANSTIG</t>
        </is>
      </c>
      <c r="G669" t="n">
        <v>1.1</v>
      </c>
      <c r="H669" t="n">
        <v>0</v>
      </c>
      <c r="I669" t="n">
        <v>0</v>
      </c>
      <c r="J669" t="n">
        <v>0</v>
      </c>
      <c r="K669" t="n">
        <v>0</v>
      </c>
      <c r="L669" t="n">
        <v>0</v>
      </c>
      <c r="M669" t="n">
        <v>0</v>
      </c>
      <c r="N669" t="n">
        <v>0</v>
      </c>
      <c r="O669" t="n">
        <v>0</v>
      </c>
      <c r="P669" t="n">
        <v>0</v>
      </c>
      <c r="Q669" t="n">
        <v>0</v>
      </c>
      <c r="R669" s="2" t="inlineStr"/>
    </row>
    <row r="670" ht="15" customHeight="1">
      <c r="A670" t="inlineStr">
        <is>
          <t>A 61608-2018</t>
        </is>
      </c>
      <c r="B670" s="1" t="n">
        <v>43424</v>
      </c>
      <c r="C670" s="1" t="n">
        <v>45357</v>
      </c>
      <c r="D670" t="inlineStr">
        <is>
          <t>GÄVLEBORGS LÄN</t>
        </is>
      </c>
      <c r="E670" t="inlineStr">
        <is>
          <t>LJUSDAL</t>
        </is>
      </c>
      <c r="G670" t="n">
        <v>1.2</v>
      </c>
      <c r="H670" t="n">
        <v>0</v>
      </c>
      <c r="I670" t="n">
        <v>0</v>
      </c>
      <c r="J670" t="n">
        <v>0</v>
      </c>
      <c r="K670" t="n">
        <v>0</v>
      </c>
      <c r="L670" t="n">
        <v>0</v>
      </c>
      <c r="M670" t="n">
        <v>0</v>
      </c>
      <c r="N670" t="n">
        <v>0</v>
      </c>
      <c r="O670" t="n">
        <v>0</v>
      </c>
      <c r="P670" t="n">
        <v>0</v>
      </c>
      <c r="Q670" t="n">
        <v>0</v>
      </c>
      <c r="R670" s="2" t="inlineStr"/>
    </row>
    <row r="671" ht="15" customHeight="1">
      <c r="A671" t="inlineStr">
        <is>
          <t>A 61498-2018</t>
        </is>
      </c>
      <c r="B671" s="1" t="n">
        <v>43424</v>
      </c>
      <c r="C671" s="1" t="n">
        <v>45357</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61429-2018</t>
        </is>
      </c>
      <c r="B672" s="1" t="n">
        <v>43424</v>
      </c>
      <c r="C672" s="1" t="n">
        <v>45357</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61444-2018</t>
        </is>
      </c>
      <c r="B673" s="1" t="n">
        <v>43424</v>
      </c>
      <c r="C673" s="1" t="n">
        <v>45357</v>
      </c>
      <c r="D673" t="inlineStr">
        <is>
          <t>GÄVLEBORGS LÄN</t>
        </is>
      </c>
      <c r="E673" t="inlineStr">
        <is>
          <t>SANDVIKEN</t>
        </is>
      </c>
      <c r="G673" t="n">
        <v>4.6</v>
      </c>
      <c r="H673" t="n">
        <v>0</v>
      </c>
      <c r="I673" t="n">
        <v>0</v>
      </c>
      <c r="J673" t="n">
        <v>0</v>
      </c>
      <c r="K673" t="n">
        <v>0</v>
      </c>
      <c r="L673" t="n">
        <v>0</v>
      </c>
      <c r="M673" t="n">
        <v>0</v>
      </c>
      <c r="N673" t="n">
        <v>0</v>
      </c>
      <c r="O673" t="n">
        <v>0</v>
      </c>
      <c r="P673" t="n">
        <v>0</v>
      </c>
      <c r="Q673" t="n">
        <v>0</v>
      </c>
      <c r="R673" s="2" t="inlineStr"/>
    </row>
    <row r="674" ht="15" customHeight="1">
      <c r="A674" t="inlineStr">
        <is>
          <t>A 61617-2018</t>
        </is>
      </c>
      <c r="B674" s="1" t="n">
        <v>43424</v>
      </c>
      <c r="C674" s="1" t="n">
        <v>45357</v>
      </c>
      <c r="D674" t="inlineStr">
        <is>
          <t>GÄVLEBORGS LÄN</t>
        </is>
      </c>
      <c r="E674" t="inlineStr">
        <is>
          <t>GÄVLE</t>
        </is>
      </c>
      <c r="G674" t="n">
        <v>0.6</v>
      </c>
      <c r="H674" t="n">
        <v>0</v>
      </c>
      <c r="I674" t="n">
        <v>0</v>
      </c>
      <c r="J674" t="n">
        <v>0</v>
      </c>
      <c r="K674" t="n">
        <v>0</v>
      </c>
      <c r="L674" t="n">
        <v>0</v>
      </c>
      <c r="M674" t="n">
        <v>0</v>
      </c>
      <c r="N674" t="n">
        <v>0</v>
      </c>
      <c r="O674" t="n">
        <v>0</v>
      </c>
      <c r="P674" t="n">
        <v>0</v>
      </c>
      <c r="Q674" t="n">
        <v>0</v>
      </c>
      <c r="R674" s="2" t="inlineStr"/>
    </row>
    <row r="675" ht="15" customHeight="1">
      <c r="A675" t="inlineStr">
        <is>
          <t>A 61410-2018</t>
        </is>
      </c>
      <c r="B675" s="1" t="n">
        <v>43424</v>
      </c>
      <c r="C675" s="1" t="n">
        <v>45357</v>
      </c>
      <c r="D675" t="inlineStr">
        <is>
          <t>GÄVLEBORGS LÄN</t>
        </is>
      </c>
      <c r="E675" t="inlineStr">
        <is>
          <t>BOLLNÄS</t>
        </is>
      </c>
      <c r="G675" t="n">
        <v>1.7</v>
      </c>
      <c r="H675" t="n">
        <v>0</v>
      </c>
      <c r="I675" t="n">
        <v>0</v>
      </c>
      <c r="J675" t="n">
        <v>0</v>
      </c>
      <c r="K675" t="n">
        <v>0</v>
      </c>
      <c r="L675" t="n">
        <v>0</v>
      </c>
      <c r="M675" t="n">
        <v>0</v>
      </c>
      <c r="N675" t="n">
        <v>0</v>
      </c>
      <c r="O675" t="n">
        <v>0</v>
      </c>
      <c r="P675" t="n">
        <v>0</v>
      </c>
      <c r="Q675" t="n">
        <v>0</v>
      </c>
      <c r="R675" s="2" t="inlineStr"/>
    </row>
    <row r="676" ht="15" customHeight="1">
      <c r="A676" t="inlineStr">
        <is>
          <t>A 61668-2018</t>
        </is>
      </c>
      <c r="B676" s="1" t="n">
        <v>43425</v>
      </c>
      <c r="C676" s="1" t="n">
        <v>45357</v>
      </c>
      <c r="D676" t="inlineStr">
        <is>
          <t>GÄVLEBORGS LÄN</t>
        </is>
      </c>
      <c r="E676" t="inlineStr">
        <is>
          <t>LJUSDAL</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61702-2018</t>
        </is>
      </c>
      <c r="B677" s="1" t="n">
        <v>43425</v>
      </c>
      <c r="C677" s="1" t="n">
        <v>45357</v>
      </c>
      <c r="D677" t="inlineStr">
        <is>
          <t>GÄVLEBORGS LÄN</t>
        </is>
      </c>
      <c r="E677" t="inlineStr">
        <is>
          <t>LJUSDAL</t>
        </is>
      </c>
      <c r="F677" t="inlineStr">
        <is>
          <t>Holmen skog AB</t>
        </is>
      </c>
      <c r="G677" t="n">
        <v>14.5</v>
      </c>
      <c r="H677" t="n">
        <v>0</v>
      </c>
      <c r="I677" t="n">
        <v>0</v>
      </c>
      <c r="J677" t="n">
        <v>0</v>
      </c>
      <c r="K677" t="n">
        <v>0</v>
      </c>
      <c r="L677" t="n">
        <v>0</v>
      </c>
      <c r="M677" t="n">
        <v>0</v>
      </c>
      <c r="N677" t="n">
        <v>0</v>
      </c>
      <c r="O677" t="n">
        <v>0</v>
      </c>
      <c r="P677" t="n">
        <v>0</v>
      </c>
      <c r="Q677" t="n">
        <v>0</v>
      </c>
      <c r="R677" s="2" t="inlineStr"/>
    </row>
    <row r="678" ht="15" customHeight="1">
      <c r="A678" t="inlineStr">
        <is>
          <t>A 65634-2018</t>
        </is>
      </c>
      <c r="B678" s="1" t="n">
        <v>43425</v>
      </c>
      <c r="C678" s="1" t="n">
        <v>45357</v>
      </c>
      <c r="D678" t="inlineStr">
        <is>
          <t>GÄVLEBORGS LÄN</t>
        </is>
      </c>
      <c r="E678" t="inlineStr">
        <is>
          <t>HUDIKSVALL</t>
        </is>
      </c>
      <c r="G678" t="n">
        <v>0.6</v>
      </c>
      <c r="H678" t="n">
        <v>0</v>
      </c>
      <c r="I678" t="n">
        <v>0</v>
      </c>
      <c r="J678" t="n">
        <v>0</v>
      </c>
      <c r="K678" t="n">
        <v>0</v>
      </c>
      <c r="L678" t="n">
        <v>0</v>
      </c>
      <c r="M678" t="n">
        <v>0</v>
      </c>
      <c r="N678" t="n">
        <v>0</v>
      </c>
      <c r="O678" t="n">
        <v>0</v>
      </c>
      <c r="P678" t="n">
        <v>0</v>
      </c>
      <c r="Q678" t="n">
        <v>0</v>
      </c>
      <c r="R678" s="2" t="inlineStr"/>
    </row>
    <row r="679" ht="15" customHeight="1">
      <c r="A679" t="inlineStr">
        <is>
          <t>A 62245-2018</t>
        </is>
      </c>
      <c r="B679" s="1" t="n">
        <v>43425</v>
      </c>
      <c r="C679" s="1" t="n">
        <v>45357</v>
      </c>
      <c r="D679" t="inlineStr">
        <is>
          <t>GÄVLEBORGS LÄN</t>
        </is>
      </c>
      <c r="E679" t="inlineStr">
        <is>
          <t>SANDVIKEN</t>
        </is>
      </c>
      <c r="G679" t="n">
        <v>2.5</v>
      </c>
      <c r="H679" t="n">
        <v>0</v>
      </c>
      <c r="I679" t="n">
        <v>0</v>
      </c>
      <c r="J679" t="n">
        <v>0</v>
      </c>
      <c r="K679" t="n">
        <v>0</v>
      </c>
      <c r="L679" t="n">
        <v>0</v>
      </c>
      <c r="M679" t="n">
        <v>0</v>
      </c>
      <c r="N679" t="n">
        <v>0</v>
      </c>
      <c r="O679" t="n">
        <v>0</v>
      </c>
      <c r="P679" t="n">
        <v>0</v>
      </c>
      <c r="Q679" t="n">
        <v>0</v>
      </c>
      <c r="R679" s="2" t="inlineStr"/>
    </row>
    <row r="680" ht="15" customHeight="1">
      <c r="A680" t="inlineStr">
        <is>
          <t>A 62193-2018</t>
        </is>
      </c>
      <c r="B680" s="1" t="n">
        <v>43425</v>
      </c>
      <c r="C680" s="1" t="n">
        <v>45357</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61733-2018</t>
        </is>
      </c>
      <c r="B681" s="1" t="n">
        <v>43425</v>
      </c>
      <c r="C681" s="1" t="n">
        <v>45357</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61734-2018</t>
        </is>
      </c>
      <c r="B682" s="1" t="n">
        <v>43425</v>
      </c>
      <c r="C682" s="1" t="n">
        <v>45357</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62259-2018</t>
        </is>
      </c>
      <c r="B683" s="1" t="n">
        <v>43425</v>
      </c>
      <c r="C683" s="1" t="n">
        <v>45357</v>
      </c>
      <c r="D683" t="inlineStr">
        <is>
          <t>GÄVLEBORGS LÄN</t>
        </is>
      </c>
      <c r="E683" t="inlineStr">
        <is>
          <t>SÖDERHAMN</t>
        </is>
      </c>
      <c r="G683" t="n">
        <v>0.7</v>
      </c>
      <c r="H683" t="n">
        <v>0</v>
      </c>
      <c r="I683" t="n">
        <v>0</v>
      </c>
      <c r="J683" t="n">
        <v>0</v>
      </c>
      <c r="K683" t="n">
        <v>0</v>
      </c>
      <c r="L683" t="n">
        <v>0</v>
      </c>
      <c r="M683" t="n">
        <v>0</v>
      </c>
      <c r="N683" t="n">
        <v>0</v>
      </c>
      <c r="O683" t="n">
        <v>0</v>
      </c>
      <c r="P683" t="n">
        <v>0</v>
      </c>
      <c r="Q683" t="n">
        <v>0</v>
      </c>
      <c r="R683" s="2" t="inlineStr"/>
    </row>
    <row r="684" ht="15" customHeight="1">
      <c r="A684" t="inlineStr">
        <is>
          <t>A 62617-2018</t>
        </is>
      </c>
      <c r="B684" s="1" t="n">
        <v>43426</v>
      </c>
      <c r="C684" s="1" t="n">
        <v>45357</v>
      </c>
      <c r="D684" t="inlineStr">
        <is>
          <t>GÄVLEBORGS LÄN</t>
        </is>
      </c>
      <c r="E684" t="inlineStr">
        <is>
          <t>OCKELBO</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62909-2018</t>
        </is>
      </c>
      <c r="B685" s="1" t="n">
        <v>43426</v>
      </c>
      <c r="C685" s="1" t="n">
        <v>45357</v>
      </c>
      <c r="D685" t="inlineStr">
        <is>
          <t>GÄVLEBORGS LÄN</t>
        </is>
      </c>
      <c r="E685" t="inlineStr">
        <is>
          <t>GÄVLE</t>
        </is>
      </c>
      <c r="G685" t="n">
        <v>3.5</v>
      </c>
      <c r="H685" t="n">
        <v>0</v>
      </c>
      <c r="I685" t="n">
        <v>0</v>
      </c>
      <c r="J685" t="n">
        <v>0</v>
      </c>
      <c r="K685" t="n">
        <v>0</v>
      </c>
      <c r="L685" t="n">
        <v>0</v>
      </c>
      <c r="M685" t="n">
        <v>0</v>
      </c>
      <c r="N685" t="n">
        <v>0</v>
      </c>
      <c r="O685" t="n">
        <v>0</v>
      </c>
      <c r="P685" t="n">
        <v>0</v>
      </c>
      <c r="Q685" t="n">
        <v>0</v>
      </c>
      <c r="R685" s="2" t="inlineStr"/>
    </row>
    <row r="686" ht="15" customHeight="1">
      <c r="A686" t="inlineStr">
        <is>
          <t>A 66319-2018</t>
        </is>
      </c>
      <c r="B686" s="1" t="n">
        <v>43427</v>
      </c>
      <c r="C686" s="1" t="n">
        <v>45357</v>
      </c>
      <c r="D686" t="inlineStr">
        <is>
          <t>GÄVLEBORGS LÄN</t>
        </is>
      </c>
      <c r="E686" t="inlineStr">
        <is>
          <t>BOLLNÄS</t>
        </is>
      </c>
      <c r="G686" t="n">
        <v>1.1</v>
      </c>
      <c r="H686" t="n">
        <v>0</v>
      </c>
      <c r="I686" t="n">
        <v>0</v>
      </c>
      <c r="J686" t="n">
        <v>0</v>
      </c>
      <c r="K686" t="n">
        <v>0</v>
      </c>
      <c r="L686" t="n">
        <v>0</v>
      </c>
      <c r="M686" t="n">
        <v>0</v>
      </c>
      <c r="N686" t="n">
        <v>0</v>
      </c>
      <c r="O686" t="n">
        <v>0</v>
      </c>
      <c r="P686" t="n">
        <v>0</v>
      </c>
      <c r="Q686" t="n">
        <v>0</v>
      </c>
      <c r="R686" s="2" t="inlineStr"/>
    </row>
    <row r="687" ht="15" customHeight="1">
      <c r="A687" t="inlineStr">
        <is>
          <t>A 63517-2018</t>
        </is>
      </c>
      <c r="B687" s="1" t="n">
        <v>43427</v>
      </c>
      <c r="C687" s="1" t="n">
        <v>45357</v>
      </c>
      <c r="D687" t="inlineStr">
        <is>
          <t>GÄVLEBORGS LÄN</t>
        </is>
      </c>
      <c r="E687" t="inlineStr">
        <is>
          <t>SÖDERHAMN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66313-2018</t>
        </is>
      </c>
      <c r="B688" s="1" t="n">
        <v>43427</v>
      </c>
      <c r="C688" s="1" t="n">
        <v>45357</v>
      </c>
      <c r="D688" t="inlineStr">
        <is>
          <t>GÄVLEBORGS LÄN</t>
        </is>
      </c>
      <c r="E688" t="inlineStr">
        <is>
          <t>BOLLNÄS</t>
        </is>
      </c>
      <c r="G688" t="n">
        <v>2.7</v>
      </c>
      <c r="H688" t="n">
        <v>0</v>
      </c>
      <c r="I688" t="n">
        <v>0</v>
      </c>
      <c r="J688" t="n">
        <v>0</v>
      </c>
      <c r="K688" t="n">
        <v>0</v>
      </c>
      <c r="L688" t="n">
        <v>0</v>
      </c>
      <c r="M688" t="n">
        <v>0</v>
      </c>
      <c r="N688" t="n">
        <v>0</v>
      </c>
      <c r="O688" t="n">
        <v>0</v>
      </c>
      <c r="P688" t="n">
        <v>0</v>
      </c>
      <c r="Q688" t="n">
        <v>0</v>
      </c>
      <c r="R688" s="2" t="inlineStr"/>
    </row>
    <row r="689" ht="15" customHeight="1">
      <c r="A689" t="inlineStr">
        <is>
          <t>A 63314-2018</t>
        </is>
      </c>
      <c r="B689" s="1" t="n">
        <v>43427</v>
      </c>
      <c r="C689" s="1" t="n">
        <v>45357</v>
      </c>
      <c r="D689" t="inlineStr">
        <is>
          <t>GÄVLEBORGS LÄN</t>
        </is>
      </c>
      <c r="E689" t="inlineStr">
        <is>
          <t>SANDVIKEN</t>
        </is>
      </c>
      <c r="G689" t="n">
        <v>0.3</v>
      </c>
      <c r="H689" t="n">
        <v>0</v>
      </c>
      <c r="I689" t="n">
        <v>0</v>
      </c>
      <c r="J689" t="n">
        <v>0</v>
      </c>
      <c r="K689" t="n">
        <v>0</v>
      </c>
      <c r="L689" t="n">
        <v>0</v>
      </c>
      <c r="M689" t="n">
        <v>0</v>
      </c>
      <c r="N689" t="n">
        <v>0</v>
      </c>
      <c r="O689" t="n">
        <v>0</v>
      </c>
      <c r="P689" t="n">
        <v>0</v>
      </c>
      <c r="Q689" t="n">
        <v>0</v>
      </c>
      <c r="R689" s="2" t="inlineStr"/>
    </row>
    <row r="690" ht="15" customHeight="1">
      <c r="A690" t="inlineStr">
        <is>
          <t>A 63584-2018</t>
        </is>
      </c>
      <c r="B690" s="1" t="n">
        <v>43427</v>
      </c>
      <c r="C690" s="1" t="n">
        <v>45357</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63448-2018</t>
        </is>
      </c>
      <c r="B691" s="1" t="n">
        <v>43427</v>
      </c>
      <c r="C691" s="1" t="n">
        <v>45357</v>
      </c>
      <c r="D691" t="inlineStr">
        <is>
          <t>GÄVLEBORGS LÄN</t>
        </is>
      </c>
      <c r="E691" t="inlineStr">
        <is>
          <t>NORDANSTIG</t>
        </is>
      </c>
      <c r="G691" t="n">
        <v>5.2</v>
      </c>
      <c r="H691" t="n">
        <v>0</v>
      </c>
      <c r="I691" t="n">
        <v>0</v>
      </c>
      <c r="J691" t="n">
        <v>0</v>
      </c>
      <c r="K691" t="n">
        <v>0</v>
      </c>
      <c r="L691" t="n">
        <v>0</v>
      </c>
      <c r="M691" t="n">
        <v>0</v>
      </c>
      <c r="N691" t="n">
        <v>0</v>
      </c>
      <c r="O691" t="n">
        <v>0</v>
      </c>
      <c r="P691" t="n">
        <v>0</v>
      </c>
      <c r="Q691" t="n">
        <v>0</v>
      </c>
      <c r="R691" s="2" t="inlineStr"/>
    </row>
    <row r="692" ht="15" customHeight="1">
      <c r="A692" t="inlineStr">
        <is>
          <t>A 66317-2018</t>
        </is>
      </c>
      <c r="B692" s="1" t="n">
        <v>43427</v>
      </c>
      <c r="C692" s="1" t="n">
        <v>45357</v>
      </c>
      <c r="D692" t="inlineStr">
        <is>
          <t>GÄVLEBORGS LÄN</t>
        </is>
      </c>
      <c r="E692" t="inlineStr">
        <is>
          <t>BOLLNÄS</t>
        </is>
      </c>
      <c r="G692" t="n">
        <v>1.3</v>
      </c>
      <c r="H692" t="n">
        <v>0</v>
      </c>
      <c r="I692" t="n">
        <v>0</v>
      </c>
      <c r="J692" t="n">
        <v>0</v>
      </c>
      <c r="K692" t="n">
        <v>0</v>
      </c>
      <c r="L692" t="n">
        <v>0</v>
      </c>
      <c r="M692" t="n">
        <v>0</v>
      </c>
      <c r="N692" t="n">
        <v>0</v>
      </c>
      <c r="O692" t="n">
        <v>0</v>
      </c>
      <c r="P692" t="n">
        <v>0</v>
      </c>
      <c r="Q692" t="n">
        <v>0</v>
      </c>
      <c r="R692" s="2" t="inlineStr"/>
    </row>
    <row r="693" ht="15" customHeight="1">
      <c r="A693" t="inlineStr">
        <is>
          <t>A 63445-2018</t>
        </is>
      </c>
      <c r="B693" s="1" t="n">
        <v>43427</v>
      </c>
      <c r="C693" s="1" t="n">
        <v>45357</v>
      </c>
      <c r="D693" t="inlineStr">
        <is>
          <t>GÄVLEBORGS LÄN</t>
        </is>
      </c>
      <c r="E693" t="inlineStr">
        <is>
          <t>LJUSDAL</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63334-2018</t>
        </is>
      </c>
      <c r="B694" s="1" t="n">
        <v>43427</v>
      </c>
      <c r="C694" s="1" t="n">
        <v>45357</v>
      </c>
      <c r="D694" t="inlineStr">
        <is>
          <t>GÄVLEBORGS LÄN</t>
        </is>
      </c>
      <c r="E694" t="inlineStr">
        <is>
          <t>BOLLNÄS</t>
        </is>
      </c>
      <c r="G694" t="n">
        <v>5</v>
      </c>
      <c r="H694" t="n">
        <v>0</v>
      </c>
      <c r="I694" t="n">
        <v>0</v>
      </c>
      <c r="J694" t="n">
        <v>0</v>
      </c>
      <c r="K694" t="n">
        <v>0</v>
      </c>
      <c r="L694" t="n">
        <v>0</v>
      </c>
      <c r="M694" t="n">
        <v>0</v>
      </c>
      <c r="N694" t="n">
        <v>0</v>
      </c>
      <c r="O694" t="n">
        <v>0</v>
      </c>
      <c r="P694" t="n">
        <v>0</v>
      </c>
      <c r="Q694" t="n">
        <v>0</v>
      </c>
      <c r="R694" s="2" t="inlineStr"/>
    </row>
    <row r="695" ht="15" customHeight="1">
      <c r="A695" t="inlineStr">
        <is>
          <t>A 64155-2018</t>
        </is>
      </c>
      <c r="B695" s="1" t="n">
        <v>43430</v>
      </c>
      <c r="C695" s="1" t="n">
        <v>45357</v>
      </c>
      <c r="D695" t="inlineStr">
        <is>
          <t>GÄVLEBORGS LÄN</t>
        </is>
      </c>
      <c r="E695" t="inlineStr">
        <is>
          <t>OVANÅKER</t>
        </is>
      </c>
      <c r="G695" t="n">
        <v>3.3</v>
      </c>
      <c r="H695" t="n">
        <v>0</v>
      </c>
      <c r="I695" t="n">
        <v>0</v>
      </c>
      <c r="J695" t="n">
        <v>0</v>
      </c>
      <c r="K695" t="n">
        <v>0</v>
      </c>
      <c r="L695" t="n">
        <v>0</v>
      </c>
      <c r="M695" t="n">
        <v>0</v>
      </c>
      <c r="N695" t="n">
        <v>0</v>
      </c>
      <c r="O695" t="n">
        <v>0</v>
      </c>
      <c r="P695" t="n">
        <v>0</v>
      </c>
      <c r="Q695" t="n">
        <v>0</v>
      </c>
      <c r="R695" s="2" t="inlineStr"/>
    </row>
    <row r="696" ht="15" customHeight="1">
      <c r="A696" t="inlineStr">
        <is>
          <t>A 64219-2018</t>
        </is>
      </c>
      <c r="B696" s="1" t="n">
        <v>43430</v>
      </c>
      <c r="C696" s="1" t="n">
        <v>45357</v>
      </c>
      <c r="D696" t="inlineStr">
        <is>
          <t>GÄVLEBORGS LÄN</t>
        </is>
      </c>
      <c r="E696" t="inlineStr">
        <is>
          <t>LJUSDAL</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64384-2018</t>
        </is>
      </c>
      <c r="B697" s="1" t="n">
        <v>43430</v>
      </c>
      <c r="C697" s="1" t="n">
        <v>45357</v>
      </c>
      <c r="D697" t="inlineStr">
        <is>
          <t>GÄVLEBORGS LÄN</t>
        </is>
      </c>
      <c r="E697" t="inlineStr">
        <is>
          <t>HUDIKSVALL</t>
        </is>
      </c>
      <c r="G697" t="n">
        <v>0.7</v>
      </c>
      <c r="H697" t="n">
        <v>0</v>
      </c>
      <c r="I697" t="n">
        <v>0</v>
      </c>
      <c r="J697" t="n">
        <v>0</v>
      </c>
      <c r="K697" t="n">
        <v>0</v>
      </c>
      <c r="L697" t="n">
        <v>0</v>
      </c>
      <c r="M697" t="n">
        <v>0</v>
      </c>
      <c r="N697" t="n">
        <v>0</v>
      </c>
      <c r="O697" t="n">
        <v>0</v>
      </c>
      <c r="P697" t="n">
        <v>0</v>
      </c>
      <c r="Q697" t="n">
        <v>0</v>
      </c>
      <c r="R697" s="2" t="inlineStr"/>
    </row>
    <row r="698" ht="15" customHeight="1">
      <c r="A698" t="inlineStr">
        <is>
          <t>A 64283-2018</t>
        </is>
      </c>
      <c r="B698" s="1" t="n">
        <v>43430</v>
      </c>
      <c r="C698" s="1" t="n">
        <v>45357</v>
      </c>
      <c r="D698" t="inlineStr">
        <is>
          <t>GÄVLEBORGS LÄN</t>
        </is>
      </c>
      <c r="E698" t="inlineStr">
        <is>
          <t>BOLLNÄS</t>
        </is>
      </c>
      <c r="G698" t="n">
        <v>2</v>
      </c>
      <c r="H698" t="n">
        <v>0</v>
      </c>
      <c r="I698" t="n">
        <v>0</v>
      </c>
      <c r="J698" t="n">
        <v>0</v>
      </c>
      <c r="K698" t="n">
        <v>0</v>
      </c>
      <c r="L698" t="n">
        <v>0</v>
      </c>
      <c r="M698" t="n">
        <v>0</v>
      </c>
      <c r="N698" t="n">
        <v>0</v>
      </c>
      <c r="O698" t="n">
        <v>0</v>
      </c>
      <c r="P698" t="n">
        <v>0</v>
      </c>
      <c r="Q698" t="n">
        <v>0</v>
      </c>
      <c r="R698" s="2" t="inlineStr"/>
    </row>
    <row r="699" ht="15" customHeight="1">
      <c r="A699" t="inlineStr">
        <is>
          <t>A 64168-2018</t>
        </is>
      </c>
      <c r="B699" s="1" t="n">
        <v>43430</v>
      </c>
      <c r="C699" s="1" t="n">
        <v>45357</v>
      </c>
      <c r="D699" t="inlineStr">
        <is>
          <t>GÄVLEBORGS LÄN</t>
        </is>
      </c>
      <c r="E699" t="inlineStr">
        <is>
          <t>GÄVLE</t>
        </is>
      </c>
      <c r="G699" t="n">
        <v>10.2</v>
      </c>
      <c r="H699" t="n">
        <v>0</v>
      </c>
      <c r="I699" t="n">
        <v>0</v>
      </c>
      <c r="J699" t="n">
        <v>0</v>
      </c>
      <c r="K699" t="n">
        <v>0</v>
      </c>
      <c r="L699" t="n">
        <v>0</v>
      </c>
      <c r="M699" t="n">
        <v>0</v>
      </c>
      <c r="N699" t="n">
        <v>0</v>
      </c>
      <c r="O699" t="n">
        <v>0</v>
      </c>
      <c r="P699" t="n">
        <v>0</v>
      </c>
      <c r="Q699" t="n">
        <v>0</v>
      </c>
      <c r="R699" s="2" t="inlineStr"/>
    </row>
    <row r="700" ht="15" customHeight="1">
      <c r="A700" t="inlineStr">
        <is>
          <t>A 63980-2018</t>
        </is>
      </c>
      <c r="B700" s="1" t="n">
        <v>43430</v>
      </c>
      <c r="C700" s="1" t="n">
        <v>45357</v>
      </c>
      <c r="D700" t="inlineStr">
        <is>
          <t>GÄVLEBORGS LÄN</t>
        </is>
      </c>
      <c r="E700" t="inlineStr">
        <is>
          <t>GÄVLE</t>
        </is>
      </c>
      <c r="G700" t="n">
        <v>6.2</v>
      </c>
      <c r="H700" t="n">
        <v>0</v>
      </c>
      <c r="I700" t="n">
        <v>0</v>
      </c>
      <c r="J700" t="n">
        <v>0</v>
      </c>
      <c r="K700" t="n">
        <v>0</v>
      </c>
      <c r="L700" t="n">
        <v>0</v>
      </c>
      <c r="M700" t="n">
        <v>0</v>
      </c>
      <c r="N700" t="n">
        <v>0</v>
      </c>
      <c r="O700" t="n">
        <v>0</v>
      </c>
      <c r="P700" t="n">
        <v>0</v>
      </c>
      <c r="Q700" t="n">
        <v>0</v>
      </c>
      <c r="R700" s="2" t="inlineStr"/>
    </row>
    <row r="701" ht="15" customHeight="1">
      <c r="A701" t="inlineStr">
        <is>
          <t>A 64757-2018</t>
        </is>
      </c>
      <c r="B701" s="1" t="n">
        <v>43431</v>
      </c>
      <c r="C701" s="1" t="n">
        <v>45357</v>
      </c>
      <c r="D701" t="inlineStr">
        <is>
          <t>GÄVLEBORGS LÄN</t>
        </is>
      </c>
      <c r="E701" t="inlineStr">
        <is>
          <t>LJUSDAL</t>
        </is>
      </c>
      <c r="F701" t="inlineStr">
        <is>
          <t>Sveaskog</t>
        </is>
      </c>
      <c r="G701" t="n">
        <v>6</v>
      </c>
      <c r="H701" t="n">
        <v>0</v>
      </c>
      <c r="I701" t="n">
        <v>0</v>
      </c>
      <c r="J701" t="n">
        <v>0</v>
      </c>
      <c r="K701" t="n">
        <v>0</v>
      </c>
      <c r="L701" t="n">
        <v>0</v>
      </c>
      <c r="M701" t="n">
        <v>0</v>
      </c>
      <c r="N701" t="n">
        <v>0</v>
      </c>
      <c r="O701" t="n">
        <v>0</v>
      </c>
      <c r="P701" t="n">
        <v>0</v>
      </c>
      <c r="Q701" t="n">
        <v>0</v>
      </c>
      <c r="R701" s="2" t="inlineStr"/>
    </row>
    <row r="702" ht="15" customHeight="1">
      <c r="A702" t="inlineStr">
        <is>
          <t>A 64894-2018</t>
        </is>
      </c>
      <c r="B702" s="1" t="n">
        <v>43431</v>
      </c>
      <c r="C702" s="1" t="n">
        <v>45357</v>
      </c>
      <c r="D702" t="inlineStr">
        <is>
          <t>GÄVLEBORGS LÄN</t>
        </is>
      </c>
      <c r="E702" t="inlineStr">
        <is>
          <t>SÖDERHAMN</t>
        </is>
      </c>
      <c r="G702" t="n">
        <v>0.8</v>
      </c>
      <c r="H702" t="n">
        <v>0</v>
      </c>
      <c r="I702" t="n">
        <v>0</v>
      </c>
      <c r="J702" t="n">
        <v>0</v>
      </c>
      <c r="K702" t="n">
        <v>0</v>
      </c>
      <c r="L702" t="n">
        <v>0</v>
      </c>
      <c r="M702" t="n">
        <v>0</v>
      </c>
      <c r="N702" t="n">
        <v>0</v>
      </c>
      <c r="O702" t="n">
        <v>0</v>
      </c>
      <c r="P702" t="n">
        <v>0</v>
      </c>
      <c r="Q702" t="n">
        <v>0</v>
      </c>
      <c r="R702" s="2" t="inlineStr"/>
    </row>
    <row r="703" ht="15" customHeight="1">
      <c r="A703" t="inlineStr">
        <is>
          <t>A 64539-2018</t>
        </is>
      </c>
      <c r="B703" s="1" t="n">
        <v>43431</v>
      </c>
      <c r="C703" s="1" t="n">
        <v>45357</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64827-2018</t>
        </is>
      </c>
      <c r="B704" s="1" t="n">
        <v>43431</v>
      </c>
      <c r="C704" s="1" t="n">
        <v>45357</v>
      </c>
      <c r="D704" t="inlineStr">
        <is>
          <t>GÄVLEBORGS LÄN</t>
        </is>
      </c>
      <c r="E704" t="inlineStr">
        <is>
          <t>BOLLNÄS</t>
        </is>
      </c>
      <c r="G704" t="n">
        <v>4.4</v>
      </c>
      <c r="H704" t="n">
        <v>0</v>
      </c>
      <c r="I704" t="n">
        <v>0</v>
      </c>
      <c r="J704" t="n">
        <v>0</v>
      </c>
      <c r="K704" t="n">
        <v>0</v>
      </c>
      <c r="L704" t="n">
        <v>0</v>
      </c>
      <c r="M704" t="n">
        <v>0</v>
      </c>
      <c r="N704" t="n">
        <v>0</v>
      </c>
      <c r="O704" t="n">
        <v>0</v>
      </c>
      <c r="P704" t="n">
        <v>0</v>
      </c>
      <c r="Q704" t="n">
        <v>0</v>
      </c>
      <c r="R704" s="2" t="inlineStr"/>
    </row>
    <row r="705" ht="15" customHeight="1">
      <c r="A705" t="inlineStr">
        <is>
          <t>A 64806-2018</t>
        </is>
      </c>
      <c r="B705" s="1" t="n">
        <v>43431</v>
      </c>
      <c r="C705" s="1" t="n">
        <v>45357</v>
      </c>
      <c r="D705" t="inlineStr">
        <is>
          <t>GÄVLEBORGS LÄN</t>
        </is>
      </c>
      <c r="E705" t="inlineStr">
        <is>
          <t>BOLLNÄS</t>
        </is>
      </c>
      <c r="G705" t="n">
        <v>1.7</v>
      </c>
      <c r="H705" t="n">
        <v>0</v>
      </c>
      <c r="I705" t="n">
        <v>0</v>
      </c>
      <c r="J705" t="n">
        <v>0</v>
      </c>
      <c r="K705" t="n">
        <v>0</v>
      </c>
      <c r="L705" t="n">
        <v>0</v>
      </c>
      <c r="M705" t="n">
        <v>0</v>
      </c>
      <c r="N705" t="n">
        <v>0</v>
      </c>
      <c r="O705" t="n">
        <v>0</v>
      </c>
      <c r="P705" t="n">
        <v>0</v>
      </c>
      <c r="Q705" t="n">
        <v>0</v>
      </c>
      <c r="R705" s="2" t="inlineStr"/>
    </row>
    <row r="706" ht="15" customHeight="1">
      <c r="A706" t="inlineStr">
        <is>
          <t>A 64784-2018</t>
        </is>
      </c>
      <c r="B706" s="1" t="n">
        <v>43431</v>
      </c>
      <c r="C706" s="1" t="n">
        <v>45357</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64610-2018</t>
        </is>
      </c>
      <c r="B707" s="1" t="n">
        <v>43431</v>
      </c>
      <c r="C707" s="1" t="n">
        <v>45357</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67526-2018</t>
        </is>
      </c>
      <c r="B708" s="1" t="n">
        <v>43432</v>
      </c>
      <c r="C708" s="1" t="n">
        <v>45357</v>
      </c>
      <c r="D708" t="inlineStr">
        <is>
          <t>GÄVLEBORGS LÄN</t>
        </is>
      </c>
      <c r="E708" t="inlineStr">
        <is>
          <t>LJUSDAL</t>
        </is>
      </c>
      <c r="F708" t="inlineStr">
        <is>
          <t>Sveaskog</t>
        </is>
      </c>
      <c r="G708" t="n">
        <v>69.90000000000001</v>
      </c>
      <c r="H708" t="n">
        <v>0</v>
      </c>
      <c r="I708" t="n">
        <v>0</v>
      </c>
      <c r="J708" t="n">
        <v>0</v>
      </c>
      <c r="K708" t="n">
        <v>0</v>
      </c>
      <c r="L708" t="n">
        <v>0</v>
      </c>
      <c r="M708" t="n">
        <v>0</v>
      </c>
      <c r="N708" t="n">
        <v>0</v>
      </c>
      <c r="O708" t="n">
        <v>0</v>
      </c>
      <c r="P708" t="n">
        <v>0</v>
      </c>
      <c r="Q708" t="n">
        <v>0</v>
      </c>
      <c r="R708" s="2" t="inlineStr"/>
    </row>
    <row r="709" ht="15" customHeight="1">
      <c r="A709" t="inlineStr">
        <is>
          <t>A 65223-2018</t>
        </is>
      </c>
      <c r="B709" s="1" t="n">
        <v>43432</v>
      </c>
      <c r="C709" s="1" t="n">
        <v>45357</v>
      </c>
      <c r="D709" t="inlineStr">
        <is>
          <t>GÄVLEBORGS LÄN</t>
        </is>
      </c>
      <c r="E709" t="inlineStr">
        <is>
          <t>OCKELBO</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65208-2018</t>
        </is>
      </c>
      <c r="B710" s="1" t="n">
        <v>43432</v>
      </c>
      <c r="C710" s="1" t="n">
        <v>45357</v>
      </c>
      <c r="D710" t="inlineStr">
        <is>
          <t>GÄVLEBORGS LÄN</t>
        </is>
      </c>
      <c r="E710" t="inlineStr">
        <is>
          <t>SANDVIKEN</t>
        </is>
      </c>
      <c r="G710" t="n">
        <v>1.3</v>
      </c>
      <c r="H710" t="n">
        <v>0</v>
      </c>
      <c r="I710" t="n">
        <v>0</v>
      </c>
      <c r="J710" t="n">
        <v>0</v>
      </c>
      <c r="K710" t="n">
        <v>0</v>
      </c>
      <c r="L710" t="n">
        <v>0</v>
      </c>
      <c r="M710" t="n">
        <v>0</v>
      </c>
      <c r="N710" t="n">
        <v>0</v>
      </c>
      <c r="O710" t="n">
        <v>0</v>
      </c>
      <c r="P710" t="n">
        <v>0</v>
      </c>
      <c r="Q710" t="n">
        <v>0</v>
      </c>
      <c r="R710" s="2" t="inlineStr"/>
    </row>
    <row r="711" ht="15" customHeight="1">
      <c r="A711" t="inlineStr">
        <is>
          <t>A 65158-2018</t>
        </is>
      </c>
      <c r="B711" s="1" t="n">
        <v>43432</v>
      </c>
      <c r="C711" s="1" t="n">
        <v>45357</v>
      </c>
      <c r="D711" t="inlineStr">
        <is>
          <t>GÄVLEBORGS LÄN</t>
        </is>
      </c>
      <c r="E711" t="inlineStr">
        <is>
          <t>NORDANSTIG</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65261-2018</t>
        </is>
      </c>
      <c r="B712" s="1" t="n">
        <v>43432</v>
      </c>
      <c r="C712" s="1" t="n">
        <v>45357</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65056-2018</t>
        </is>
      </c>
      <c r="B713" s="1" t="n">
        <v>43432</v>
      </c>
      <c r="C713" s="1" t="n">
        <v>45357</v>
      </c>
      <c r="D713" t="inlineStr">
        <is>
          <t>GÄVLEBORGS LÄN</t>
        </is>
      </c>
      <c r="E713" t="inlineStr">
        <is>
          <t>LJUSDAL</t>
        </is>
      </c>
      <c r="F713" t="inlineStr">
        <is>
          <t>Bergvik skog väst AB</t>
        </is>
      </c>
      <c r="G713" t="n">
        <v>2.5</v>
      </c>
      <c r="H713" t="n">
        <v>0</v>
      </c>
      <c r="I713" t="n">
        <v>0</v>
      </c>
      <c r="J713" t="n">
        <v>0</v>
      </c>
      <c r="K713" t="n">
        <v>0</v>
      </c>
      <c r="L713" t="n">
        <v>0</v>
      </c>
      <c r="M713" t="n">
        <v>0</v>
      </c>
      <c r="N713" t="n">
        <v>0</v>
      </c>
      <c r="O713" t="n">
        <v>0</v>
      </c>
      <c r="P713" t="n">
        <v>0</v>
      </c>
      <c r="Q713" t="n">
        <v>0</v>
      </c>
      <c r="R713" s="2" t="inlineStr"/>
    </row>
    <row r="714" ht="15" customHeight="1">
      <c r="A714" t="inlineStr">
        <is>
          <t>A 65033-2018</t>
        </is>
      </c>
      <c r="B714" s="1" t="n">
        <v>43432</v>
      </c>
      <c r="C714" s="1" t="n">
        <v>45357</v>
      </c>
      <c r="D714" t="inlineStr">
        <is>
          <t>GÄVLEBORGS LÄN</t>
        </is>
      </c>
      <c r="E714" t="inlineStr">
        <is>
          <t>LJUSDAL</t>
        </is>
      </c>
      <c r="G714" t="n">
        <v>13.1</v>
      </c>
      <c r="H714" t="n">
        <v>0</v>
      </c>
      <c r="I714" t="n">
        <v>0</v>
      </c>
      <c r="J714" t="n">
        <v>0</v>
      </c>
      <c r="K714" t="n">
        <v>0</v>
      </c>
      <c r="L714" t="n">
        <v>0</v>
      </c>
      <c r="M714" t="n">
        <v>0</v>
      </c>
      <c r="N714" t="n">
        <v>0</v>
      </c>
      <c r="O714" t="n">
        <v>0</v>
      </c>
      <c r="P714" t="n">
        <v>0</v>
      </c>
      <c r="Q714" t="n">
        <v>0</v>
      </c>
      <c r="R714" s="2" t="inlineStr"/>
    </row>
    <row r="715" ht="15" customHeight="1">
      <c r="A715" t="inlineStr">
        <is>
          <t>A 65567-2018</t>
        </is>
      </c>
      <c r="B715" s="1" t="n">
        <v>43433</v>
      </c>
      <c r="C715" s="1" t="n">
        <v>45357</v>
      </c>
      <c r="D715" t="inlineStr">
        <is>
          <t>GÄVLEBORGS LÄN</t>
        </is>
      </c>
      <c r="E715" t="inlineStr">
        <is>
          <t>SANDVIKEN</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65365-2018</t>
        </is>
      </c>
      <c r="B716" s="1" t="n">
        <v>43433</v>
      </c>
      <c r="C716" s="1" t="n">
        <v>45357</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65433-2018</t>
        </is>
      </c>
      <c r="B717" s="1" t="n">
        <v>43433</v>
      </c>
      <c r="C717" s="1" t="n">
        <v>45357</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66088-2018</t>
        </is>
      </c>
      <c r="B718" s="1" t="n">
        <v>43434</v>
      </c>
      <c r="C718" s="1" t="n">
        <v>45357</v>
      </c>
      <c r="D718" t="inlineStr">
        <is>
          <t>GÄVLEBORGS LÄN</t>
        </is>
      </c>
      <c r="E718" t="inlineStr">
        <is>
          <t>BOLLNÄS</t>
        </is>
      </c>
      <c r="G718" t="n">
        <v>4.7</v>
      </c>
      <c r="H718" t="n">
        <v>0</v>
      </c>
      <c r="I718" t="n">
        <v>0</v>
      </c>
      <c r="J718" t="n">
        <v>0</v>
      </c>
      <c r="K718" t="n">
        <v>0</v>
      </c>
      <c r="L718" t="n">
        <v>0</v>
      </c>
      <c r="M718" t="n">
        <v>0</v>
      </c>
      <c r="N718" t="n">
        <v>0</v>
      </c>
      <c r="O718" t="n">
        <v>0</v>
      </c>
      <c r="P718" t="n">
        <v>0</v>
      </c>
      <c r="Q718" t="n">
        <v>0</v>
      </c>
      <c r="R718" s="2" t="inlineStr"/>
    </row>
    <row r="719" ht="15" customHeight="1">
      <c r="A719" t="inlineStr">
        <is>
          <t>A 65997-2018</t>
        </is>
      </c>
      <c r="B719" s="1" t="n">
        <v>43434</v>
      </c>
      <c r="C719" s="1" t="n">
        <v>45357</v>
      </c>
      <c r="D719" t="inlineStr">
        <is>
          <t>GÄVLEBORGS LÄN</t>
        </is>
      </c>
      <c r="E719" t="inlineStr">
        <is>
          <t>HUDIKSVALL</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66178-2018</t>
        </is>
      </c>
      <c r="B720" s="1" t="n">
        <v>43434</v>
      </c>
      <c r="C720" s="1" t="n">
        <v>45357</v>
      </c>
      <c r="D720" t="inlineStr">
        <is>
          <t>GÄVLEBORGS LÄN</t>
        </is>
      </c>
      <c r="E720" t="inlineStr">
        <is>
          <t>SÖDERHAMN</t>
        </is>
      </c>
      <c r="G720" t="n">
        <v>8</v>
      </c>
      <c r="H720" t="n">
        <v>0</v>
      </c>
      <c r="I720" t="n">
        <v>0</v>
      </c>
      <c r="J720" t="n">
        <v>0</v>
      </c>
      <c r="K720" t="n">
        <v>0</v>
      </c>
      <c r="L720" t="n">
        <v>0</v>
      </c>
      <c r="M720" t="n">
        <v>0</v>
      </c>
      <c r="N720" t="n">
        <v>0</v>
      </c>
      <c r="O720" t="n">
        <v>0</v>
      </c>
      <c r="P720" t="n">
        <v>0</v>
      </c>
      <c r="Q720" t="n">
        <v>0</v>
      </c>
      <c r="R720" s="2" t="inlineStr"/>
    </row>
    <row r="721" ht="15" customHeight="1">
      <c r="A721" t="inlineStr">
        <is>
          <t>A 66192-2018</t>
        </is>
      </c>
      <c r="B721" s="1" t="n">
        <v>43434</v>
      </c>
      <c r="C721" s="1" t="n">
        <v>45357</v>
      </c>
      <c r="D721" t="inlineStr">
        <is>
          <t>GÄVLEBORGS LÄN</t>
        </is>
      </c>
      <c r="E721" t="inlineStr">
        <is>
          <t>NORDANSTIG</t>
        </is>
      </c>
      <c r="G721" t="n">
        <v>5.8</v>
      </c>
      <c r="H721" t="n">
        <v>0</v>
      </c>
      <c r="I721" t="n">
        <v>0</v>
      </c>
      <c r="J721" t="n">
        <v>0</v>
      </c>
      <c r="K721" t="n">
        <v>0</v>
      </c>
      <c r="L721" t="n">
        <v>0</v>
      </c>
      <c r="M721" t="n">
        <v>0</v>
      </c>
      <c r="N721" t="n">
        <v>0</v>
      </c>
      <c r="O721" t="n">
        <v>0</v>
      </c>
      <c r="P721" t="n">
        <v>0</v>
      </c>
      <c r="Q721" t="n">
        <v>0</v>
      </c>
      <c r="R721" s="2" t="inlineStr"/>
    </row>
    <row r="722" ht="15" customHeight="1">
      <c r="A722" t="inlineStr">
        <is>
          <t>A 66126-2018</t>
        </is>
      </c>
      <c r="B722" s="1" t="n">
        <v>43434</v>
      </c>
      <c r="C722" s="1" t="n">
        <v>45357</v>
      </c>
      <c r="D722" t="inlineStr">
        <is>
          <t>GÄVLEBORGS LÄN</t>
        </is>
      </c>
      <c r="E722" t="inlineStr">
        <is>
          <t>LJUSDAL</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66191-2018</t>
        </is>
      </c>
      <c r="B723" s="1" t="n">
        <v>43434</v>
      </c>
      <c r="C723" s="1" t="n">
        <v>45357</v>
      </c>
      <c r="D723" t="inlineStr">
        <is>
          <t>GÄVLEBORGS LÄN</t>
        </is>
      </c>
      <c r="E723" t="inlineStr">
        <is>
          <t>NORDANSTIG</t>
        </is>
      </c>
      <c r="G723" t="n">
        <v>1.4</v>
      </c>
      <c r="H723" t="n">
        <v>0</v>
      </c>
      <c r="I723" t="n">
        <v>0</v>
      </c>
      <c r="J723" t="n">
        <v>0</v>
      </c>
      <c r="K723" t="n">
        <v>0</v>
      </c>
      <c r="L723" t="n">
        <v>0</v>
      </c>
      <c r="M723" t="n">
        <v>0</v>
      </c>
      <c r="N723" t="n">
        <v>0</v>
      </c>
      <c r="O723" t="n">
        <v>0</v>
      </c>
      <c r="P723" t="n">
        <v>0</v>
      </c>
      <c r="Q723" t="n">
        <v>0</v>
      </c>
      <c r="R723" s="2" t="inlineStr"/>
    </row>
    <row r="724" ht="15" customHeight="1">
      <c r="A724" t="inlineStr">
        <is>
          <t>A 65872-2018</t>
        </is>
      </c>
      <c r="B724" s="1" t="n">
        <v>43434</v>
      </c>
      <c r="C724" s="1" t="n">
        <v>45357</v>
      </c>
      <c r="D724" t="inlineStr">
        <is>
          <t>GÄVLEBORGS LÄN</t>
        </is>
      </c>
      <c r="E724" t="inlineStr">
        <is>
          <t>OVANÅKER</t>
        </is>
      </c>
      <c r="G724" t="n">
        <v>3.4</v>
      </c>
      <c r="H724" t="n">
        <v>0</v>
      </c>
      <c r="I724" t="n">
        <v>0</v>
      </c>
      <c r="J724" t="n">
        <v>0</v>
      </c>
      <c r="K724" t="n">
        <v>0</v>
      </c>
      <c r="L724" t="n">
        <v>0</v>
      </c>
      <c r="M724" t="n">
        <v>0</v>
      </c>
      <c r="N724" t="n">
        <v>0</v>
      </c>
      <c r="O724" t="n">
        <v>0</v>
      </c>
      <c r="P724" t="n">
        <v>0</v>
      </c>
      <c r="Q724" t="n">
        <v>0</v>
      </c>
      <c r="R724" s="2" t="inlineStr"/>
    </row>
    <row r="725" ht="15" customHeight="1">
      <c r="A725" t="inlineStr">
        <is>
          <t>A 66092-2018</t>
        </is>
      </c>
      <c r="B725" s="1" t="n">
        <v>43434</v>
      </c>
      <c r="C725" s="1" t="n">
        <v>45357</v>
      </c>
      <c r="D725" t="inlineStr">
        <is>
          <t>GÄVLEBORGS LÄN</t>
        </is>
      </c>
      <c r="E725" t="inlineStr">
        <is>
          <t>BOLLNÄS</t>
        </is>
      </c>
      <c r="G725" t="n">
        <v>2.2</v>
      </c>
      <c r="H725" t="n">
        <v>0</v>
      </c>
      <c r="I725" t="n">
        <v>0</v>
      </c>
      <c r="J725" t="n">
        <v>0</v>
      </c>
      <c r="K725" t="n">
        <v>0</v>
      </c>
      <c r="L725" t="n">
        <v>0</v>
      </c>
      <c r="M725" t="n">
        <v>0</v>
      </c>
      <c r="N725" t="n">
        <v>0</v>
      </c>
      <c r="O725" t="n">
        <v>0</v>
      </c>
      <c r="P725" t="n">
        <v>0</v>
      </c>
      <c r="Q725" t="n">
        <v>0</v>
      </c>
      <c r="R725" s="2" t="inlineStr"/>
    </row>
    <row r="726" ht="15" customHeight="1">
      <c r="A726" t="inlineStr">
        <is>
          <t>A 66460-2018</t>
        </is>
      </c>
      <c r="B726" s="1" t="n">
        <v>43437</v>
      </c>
      <c r="C726" s="1" t="n">
        <v>45357</v>
      </c>
      <c r="D726" t="inlineStr">
        <is>
          <t>GÄVLEBORGS LÄN</t>
        </is>
      </c>
      <c r="E726" t="inlineStr">
        <is>
          <t>BOLLNÄS</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66662-2018</t>
        </is>
      </c>
      <c r="B727" s="1" t="n">
        <v>43437</v>
      </c>
      <c r="C727" s="1" t="n">
        <v>45357</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66541-2018</t>
        </is>
      </c>
      <c r="B728" s="1" t="n">
        <v>43437</v>
      </c>
      <c r="C728" s="1" t="n">
        <v>45357</v>
      </c>
      <c r="D728" t="inlineStr">
        <is>
          <t>GÄVLEBORGS LÄN</t>
        </is>
      </c>
      <c r="E728" t="inlineStr">
        <is>
          <t>HUDIKSVALL</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66514-2018</t>
        </is>
      </c>
      <c r="B729" s="1" t="n">
        <v>43437</v>
      </c>
      <c r="C729" s="1" t="n">
        <v>45357</v>
      </c>
      <c r="D729" t="inlineStr">
        <is>
          <t>GÄVLEBORGS LÄN</t>
        </is>
      </c>
      <c r="E729" t="inlineStr">
        <is>
          <t>HUDIKSVALL</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66404-2018</t>
        </is>
      </c>
      <c r="B730" s="1" t="n">
        <v>43437</v>
      </c>
      <c r="C730" s="1" t="n">
        <v>45357</v>
      </c>
      <c r="D730" t="inlineStr">
        <is>
          <t>GÄVLEBORGS LÄN</t>
        </is>
      </c>
      <c r="E730" t="inlineStr">
        <is>
          <t>HUDIKSVALL</t>
        </is>
      </c>
      <c r="G730" t="n">
        <v>5</v>
      </c>
      <c r="H730" t="n">
        <v>0</v>
      </c>
      <c r="I730" t="n">
        <v>0</v>
      </c>
      <c r="J730" t="n">
        <v>0</v>
      </c>
      <c r="K730" t="n">
        <v>0</v>
      </c>
      <c r="L730" t="n">
        <v>0</v>
      </c>
      <c r="M730" t="n">
        <v>0</v>
      </c>
      <c r="N730" t="n">
        <v>0</v>
      </c>
      <c r="O730" t="n">
        <v>0</v>
      </c>
      <c r="P730" t="n">
        <v>0</v>
      </c>
      <c r="Q730" t="n">
        <v>0</v>
      </c>
      <c r="R730" s="2" t="inlineStr"/>
    </row>
    <row r="731" ht="15" customHeight="1">
      <c r="A731" t="inlineStr">
        <is>
          <t>A 66533-2018</t>
        </is>
      </c>
      <c r="B731" s="1" t="n">
        <v>43437</v>
      </c>
      <c r="C731" s="1" t="n">
        <v>45357</v>
      </c>
      <c r="D731" t="inlineStr">
        <is>
          <t>GÄVLEBORGS LÄN</t>
        </is>
      </c>
      <c r="E731" t="inlineStr">
        <is>
          <t>LJUSDAL</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67159-2018</t>
        </is>
      </c>
      <c r="B732" s="1" t="n">
        <v>43438</v>
      </c>
      <c r="C732" s="1" t="n">
        <v>45357</v>
      </c>
      <c r="D732" t="inlineStr">
        <is>
          <t>GÄVLEBORGS LÄN</t>
        </is>
      </c>
      <c r="E732" t="inlineStr">
        <is>
          <t>LJUSDAL</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67129-2018</t>
        </is>
      </c>
      <c r="B733" s="1" t="n">
        <v>43438</v>
      </c>
      <c r="C733" s="1" t="n">
        <v>45357</v>
      </c>
      <c r="D733" t="inlineStr">
        <is>
          <t>GÄVLEBORGS LÄN</t>
        </is>
      </c>
      <c r="E733" t="inlineStr">
        <is>
          <t>NORDANSTIG</t>
        </is>
      </c>
      <c r="G733" t="n">
        <v>2.5</v>
      </c>
      <c r="H733" t="n">
        <v>0</v>
      </c>
      <c r="I733" t="n">
        <v>0</v>
      </c>
      <c r="J733" t="n">
        <v>0</v>
      </c>
      <c r="K733" t="n">
        <v>0</v>
      </c>
      <c r="L733" t="n">
        <v>0</v>
      </c>
      <c r="M733" t="n">
        <v>0</v>
      </c>
      <c r="N733" t="n">
        <v>0</v>
      </c>
      <c r="O733" t="n">
        <v>0</v>
      </c>
      <c r="P733" t="n">
        <v>0</v>
      </c>
      <c r="Q733" t="n">
        <v>0</v>
      </c>
      <c r="R733" s="2" t="inlineStr"/>
    </row>
    <row r="734" ht="15" customHeight="1">
      <c r="A734" t="inlineStr">
        <is>
          <t>A 67524-2018</t>
        </is>
      </c>
      <c r="B734" s="1" t="n">
        <v>43439</v>
      </c>
      <c r="C734" s="1" t="n">
        <v>45357</v>
      </c>
      <c r="D734" t="inlineStr">
        <is>
          <t>GÄVLEBORGS LÄN</t>
        </is>
      </c>
      <c r="E734" t="inlineStr">
        <is>
          <t>LJUSDAL</t>
        </is>
      </c>
      <c r="G734" t="n">
        <v>7.6</v>
      </c>
      <c r="H734" t="n">
        <v>0</v>
      </c>
      <c r="I734" t="n">
        <v>0</v>
      </c>
      <c r="J734" t="n">
        <v>0</v>
      </c>
      <c r="K734" t="n">
        <v>0</v>
      </c>
      <c r="L734" t="n">
        <v>0</v>
      </c>
      <c r="M734" t="n">
        <v>0</v>
      </c>
      <c r="N734" t="n">
        <v>0</v>
      </c>
      <c r="O734" t="n">
        <v>0</v>
      </c>
      <c r="P734" t="n">
        <v>0</v>
      </c>
      <c r="Q734" t="n">
        <v>0</v>
      </c>
      <c r="R734" s="2" t="inlineStr"/>
    </row>
    <row r="735" ht="15" customHeight="1">
      <c r="A735" t="inlineStr">
        <is>
          <t>A 67538-2018</t>
        </is>
      </c>
      <c r="B735" s="1" t="n">
        <v>43439</v>
      </c>
      <c r="C735" s="1" t="n">
        <v>45357</v>
      </c>
      <c r="D735" t="inlineStr">
        <is>
          <t>GÄVLEBORGS LÄN</t>
        </is>
      </c>
      <c r="E735" t="inlineStr">
        <is>
          <t>LJUSDAL</t>
        </is>
      </c>
      <c r="G735" t="n">
        <v>12.7</v>
      </c>
      <c r="H735" t="n">
        <v>0</v>
      </c>
      <c r="I735" t="n">
        <v>0</v>
      </c>
      <c r="J735" t="n">
        <v>0</v>
      </c>
      <c r="K735" t="n">
        <v>0</v>
      </c>
      <c r="L735" t="n">
        <v>0</v>
      </c>
      <c r="M735" t="n">
        <v>0</v>
      </c>
      <c r="N735" t="n">
        <v>0</v>
      </c>
      <c r="O735" t="n">
        <v>0</v>
      </c>
      <c r="P735" t="n">
        <v>0</v>
      </c>
      <c r="Q735" t="n">
        <v>0</v>
      </c>
      <c r="R735" s="2" t="inlineStr"/>
    </row>
    <row r="736" ht="15" customHeight="1">
      <c r="A736" t="inlineStr">
        <is>
          <t>A 67437-2018</t>
        </is>
      </c>
      <c r="B736" s="1" t="n">
        <v>43439</v>
      </c>
      <c r="C736" s="1" t="n">
        <v>45357</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67486-2018</t>
        </is>
      </c>
      <c r="B737" s="1" t="n">
        <v>43439</v>
      </c>
      <c r="C737" s="1" t="n">
        <v>45357</v>
      </c>
      <c r="D737" t="inlineStr">
        <is>
          <t>GÄVLEBORGS LÄN</t>
        </is>
      </c>
      <c r="E737" t="inlineStr">
        <is>
          <t>HUDIKSVALL</t>
        </is>
      </c>
      <c r="G737" t="n">
        <v>3</v>
      </c>
      <c r="H737" t="n">
        <v>0</v>
      </c>
      <c r="I737" t="n">
        <v>0</v>
      </c>
      <c r="J737" t="n">
        <v>0</v>
      </c>
      <c r="K737" t="n">
        <v>0</v>
      </c>
      <c r="L737" t="n">
        <v>0</v>
      </c>
      <c r="M737" t="n">
        <v>0</v>
      </c>
      <c r="N737" t="n">
        <v>0</v>
      </c>
      <c r="O737" t="n">
        <v>0</v>
      </c>
      <c r="P737" t="n">
        <v>0</v>
      </c>
      <c r="Q737" t="n">
        <v>0</v>
      </c>
      <c r="R737" s="2" t="inlineStr"/>
    </row>
    <row r="738" ht="15" customHeight="1">
      <c r="A738" t="inlineStr">
        <is>
          <t>A 67513-2018</t>
        </is>
      </c>
      <c r="B738" s="1" t="n">
        <v>43439</v>
      </c>
      <c r="C738" s="1" t="n">
        <v>45357</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67347-2018</t>
        </is>
      </c>
      <c r="B739" s="1" t="n">
        <v>43439</v>
      </c>
      <c r="C739" s="1" t="n">
        <v>45357</v>
      </c>
      <c r="D739" t="inlineStr">
        <is>
          <t>GÄVLEBORGS LÄN</t>
        </is>
      </c>
      <c r="E739" t="inlineStr">
        <is>
          <t>OCKELBO</t>
        </is>
      </c>
      <c r="G739" t="n">
        <v>1.5</v>
      </c>
      <c r="H739" t="n">
        <v>0</v>
      </c>
      <c r="I739" t="n">
        <v>0</v>
      </c>
      <c r="J739" t="n">
        <v>0</v>
      </c>
      <c r="K739" t="n">
        <v>0</v>
      </c>
      <c r="L739" t="n">
        <v>0</v>
      </c>
      <c r="M739" t="n">
        <v>0</v>
      </c>
      <c r="N739" t="n">
        <v>0</v>
      </c>
      <c r="O739" t="n">
        <v>0</v>
      </c>
      <c r="P739" t="n">
        <v>0</v>
      </c>
      <c r="Q739" t="n">
        <v>0</v>
      </c>
      <c r="R739" s="2" t="inlineStr"/>
    </row>
    <row r="740" ht="15" customHeight="1">
      <c r="A740" t="inlineStr">
        <is>
          <t>A 67447-2018</t>
        </is>
      </c>
      <c r="B740" s="1" t="n">
        <v>43439</v>
      </c>
      <c r="C740" s="1" t="n">
        <v>45357</v>
      </c>
      <c r="D740" t="inlineStr">
        <is>
          <t>GÄVLEBORGS LÄN</t>
        </is>
      </c>
      <c r="E740" t="inlineStr">
        <is>
          <t>OCKELBO</t>
        </is>
      </c>
      <c r="G740" t="n">
        <v>1.6</v>
      </c>
      <c r="H740" t="n">
        <v>0</v>
      </c>
      <c r="I740" t="n">
        <v>0</v>
      </c>
      <c r="J740" t="n">
        <v>0</v>
      </c>
      <c r="K740" t="n">
        <v>0</v>
      </c>
      <c r="L740" t="n">
        <v>0</v>
      </c>
      <c r="M740" t="n">
        <v>0</v>
      </c>
      <c r="N740" t="n">
        <v>0</v>
      </c>
      <c r="O740" t="n">
        <v>0</v>
      </c>
      <c r="P740" t="n">
        <v>0</v>
      </c>
      <c r="Q740" t="n">
        <v>0</v>
      </c>
      <c r="R740" s="2" t="inlineStr"/>
    </row>
    <row r="741" ht="15" customHeight="1">
      <c r="A741" t="inlineStr">
        <is>
          <t>A 67368-2018</t>
        </is>
      </c>
      <c r="B741" s="1" t="n">
        <v>43439</v>
      </c>
      <c r="C741" s="1" t="n">
        <v>45357</v>
      </c>
      <c r="D741" t="inlineStr">
        <is>
          <t>GÄVLEBORGS LÄN</t>
        </is>
      </c>
      <c r="E741" t="inlineStr">
        <is>
          <t>OCKELBO</t>
        </is>
      </c>
      <c r="G741" t="n">
        <v>0.5</v>
      </c>
      <c r="H741" t="n">
        <v>0</v>
      </c>
      <c r="I741" t="n">
        <v>0</v>
      </c>
      <c r="J741" t="n">
        <v>0</v>
      </c>
      <c r="K741" t="n">
        <v>0</v>
      </c>
      <c r="L741" t="n">
        <v>0</v>
      </c>
      <c r="M741" t="n">
        <v>0</v>
      </c>
      <c r="N741" t="n">
        <v>0</v>
      </c>
      <c r="O741" t="n">
        <v>0</v>
      </c>
      <c r="P741" t="n">
        <v>0</v>
      </c>
      <c r="Q741" t="n">
        <v>0</v>
      </c>
      <c r="R741" s="2" t="inlineStr"/>
    </row>
    <row r="742" ht="15" customHeight="1">
      <c r="A742" t="inlineStr">
        <is>
          <t>A 67257-2018</t>
        </is>
      </c>
      <c r="B742" s="1" t="n">
        <v>43439</v>
      </c>
      <c r="C742" s="1" t="n">
        <v>45357</v>
      </c>
      <c r="D742" t="inlineStr">
        <is>
          <t>GÄVLEBORGS LÄN</t>
        </is>
      </c>
      <c r="E742" t="inlineStr">
        <is>
          <t>SANDVIKEN</t>
        </is>
      </c>
      <c r="G742" t="n">
        <v>2.6</v>
      </c>
      <c r="H742" t="n">
        <v>0</v>
      </c>
      <c r="I742" t="n">
        <v>0</v>
      </c>
      <c r="J742" t="n">
        <v>0</v>
      </c>
      <c r="K742" t="n">
        <v>0</v>
      </c>
      <c r="L742" t="n">
        <v>0</v>
      </c>
      <c r="M742" t="n">
        <v>0</v>
      </c>
      <c r="N742" t="n">
        <v>0</v>
      </c>
      <c r="O742" t="n">
        <v>0</v>
      </c>
      <c r="P742" t="n">
        <v>0</v>
      </c>
      <c r="Q742" t="n">
        <v>0</v>
      </c>
      <c r="R742" s="2" t="inlineStr"/>
    </row>
    <row r="743" ht="15" customHeight="1">
      <c r="A743" t="inlineStr">
        <is>
          <t>A 67764-2018</t>
        </is>
      </c>
      <c r="B743" s="1" t="n">
        <v>43440</v>
      </c>
      <c r="C743" s="1" t="n">
        <v>45357</v>
      </c>
      <c r="D743" t="inlineStr">
        <is>
          <t>GÄVLEBORGS LÄN</t>
        </is>
      </c>
      <c r="E743" t="inlineStr">
        <is>
          <t>GÄVLE</t>
        </is>
      </c>
      <c r="G743" t="n">
        <v>2.9</v>
      </c>
      <c r="H743" t="n">
        <v>0</v>
      </c>
      <c r="I743" t="n">
        <v>0</v>
      </c>
      <c r="J743" t="n">
        <v>0</v>
      </c>
      <c r="K743" t="n">
        <v>0</v>
      </c>
      <c r="L743" t="n">
        <v>0</v>
      </c>
      <c r="M743" t="n">
        <v>0</v>
      </c>
      <c r="N743" t="n">
        <v>0</v>
      </c>
      <c r="O743" t="n">
        <v>0</v>
      </c>
      <c r="P743" t="n">
        <v>0</v>
      </c>
      <c r="Q743" t="n">
        <v>0</v>
      </c>
      <c r="R743" s="2" t="inlineStr"/>
    </row>
    <row r="744" ht="15" customHeight="1">
      <c r="A744" t="inlineStr">
        <is>
          <t>A 67682-2018</t>
        </is>
      </c>
      <c r="B744" s="1" t="n">
        <v>43440</v>
      </c>
      <c r="C744" s="1" t="n">
        <v>45357</v>
      </c>
      <c r="D744" t="inlineStr">
        <is>
          <t>GÄVLEBORGS LÄN</t>
        </is>
      </c>
      <c r="E744" t="inlineStr">
        <is>
          <t>NORDANSTIG</t>
        </is>
      </c>
      <c r="G744" t="n">
        <v>0.5</v>
      </c>
      <c r="H744" t="n">
        <v>0</v>
      </c>
      <c r="I744" t="n">
        <v>0</v>
      </c>
      <c r="J744" t="n">
        <v>0</v>
      </c>
      <c r="K744" t="n">
        <v>0</v>
      </c>
      <c r="L744" t="n">
        <v>0</v>
      </c>
      <c r="M744" t="n">
        <v>0</v>
      </c>
      <c r="N744" t="n">
        <v>0</v>
      </c>
      <c r="O744" t="n">
        <v>0</v>
      </c>
      <c r="P744" t="n">
        <v>0</v>
      </c>
      <c r="Q744" t="n">
        <v>0</v>
      </c>
      <c r="R744" s="2" t="inlineStr"/>
    </row>
    <row r="745" ht="15" customHeight="1">
      <c r="A745" t="inlineStr">
        <is>
          <t>A 67751-2018</t>
        </is>
      </c>
      <c r="B745" s="1" t="n">
        <v>43440</v>
      </c>
      <c r="C745" s="1" t="n">
        <v>45357</v>
      </c>
      <c r="D745" t="inlineStr">
        <is>
          <t>GÄVLEBORGS LÄN</t>
        </is>
      </c>
      <c r="E745" t="inlineStr">
        <is>
          <t>NORDANSTIG</t>
        </is>
      </c>
      <c r="G745" t="n">
        <v>3.7</v>
      </c>
      <c r="H745" t="n">
        <v>0</v>
      </c>
      <c r="I745" t="n">
        <v>0</v>
      </c>
      <c r="J745" t="n">
        <v>0</v>
      </c>
      <c r="K745" t="n">
        <v>0</v>
      </c>
      <c r="L745" t="n">
        <v>0</v>
      </c>
      <c r="M745" t="n">
        <v>0</v>
      </c>
      <c r="N745" t="n">
        <v>0</v>
      </c>
      <c r="O745" t="n">
        <v>0</v>
      </c>
      <c r="P745" t="n">
        <v>0</v>
      </c>
      <c r="Q745" t="n">
        <v>0</v>
      </c>
      <c r="R745" s="2" t="inlineStr"/>
    </row>
    <row r="746" ht="15" customHeight="1">
      <c r="A746" t="inlineStr">
        <is>
          <t>A 69065-2018</t>
        </is>
      </c>
      <c r="B746" s="1" t="n">
        <v>43440</v>
      </c>
      <c r="C746" s="1" t="n">
        <v>45357</v>
      </c>
      <c r="D746" t="inlineStr">
        <is>
          <t>GÄVLEBORGS LÄN</t>
        </is>
      </c>
      <c r="E746" t="inlineStr">
        <is>
          <t>OCKELBO</t>
        </is>
      </c>
      <c r="G746" t="n">
        <v>1.2</v>
      </c>
      <c r="H746" t="n">
        <v>0</v>
      </c>
      <c r="I746" t="n">
        <v>0</v>
      </c>
      <c r="J746" t="n">
        <v>0</v>
      </c>
      <c r="K746" t="n">
        <v>0</v>
      </c>
      <c r="L746" t="n">
        <v>0</v>
      </c>
      <c r="M746" t="n">
        <v>0</v>
      </c>
      <c r="N746" t="n">
        <v>0</v>
      </c>
      <c r="O746" t="n">
        <v>0</v>
      </c>
      <c r="P746" t="n">
        <v>0</v>
      </c>
      <c r="Q746" t="n">
        <v>0</v>
      </c>
      <c r="R746" s="2" t="inlineStr"/>
    </row>
    <row r="747" ht="15" customHeight="1">
      <c r="A747" t="inlineStr">
        <is>
          <t>A 69084-2018</t>
        </is>
      </c>
      <c r="B747" s="1" t="n">
        <v>43440</v>
      </c>
      <c r="C747" s="1" t="n">
        <v>45357</v>
      </c>
      <c r="D747" t="inlineStr">
        <is>
          <t>GÄVLEBORGS LÄN</t>
        </is>
      </c>
      <c r="E747" t="inlineStr">
        <is>
          <t>OCKELBO</t>
        </is>
      </c>
      <c r="G747" t="n">
        <v>4.8</v>
      </c>
      <c r="H747" t="n">
        <v>0</v>
      </c>
      <c r="I747" t="n">
        <v>0</v>
      </c>
      <c r="J747" t="n">
        <v>0</v>
      </c>
      <c r="K747" t="n">
        <v>0</v>
      </c>
      <c r="L747" t="n">
        <v>0</v>
      </c>
      <c r="M747" t="n">
        <v>0</v>
      </c>
      <c r="N747" t="n">
        <v>0</v>
      </c>
      <c r="O747" t="n">
        <v>0</v>
      </c>
      <c r="P747" t="n">
        <v>0</v>
      </c>
      <c r="Q747" t="n">
        <v>0</v>
      </c>
      <c r="R747" s="2" t="inlineStr"/>
    </row>
    <row r="748" ht="15" customHeight="1">
      <c r="A748" t="inlineStr">
        <is>
          <t>A 67664-2018</t>
        </is>
      </c>
      <c r="B748" s="1" t="n">
        <v>43440</v>
      </c>
      <c r="C748" s="1" t="n">
        <v>45357</v>
      </c>
      <c r="D748" t="inlineStr">
        <is>
          <t>GÄVLEBORGS LÄN</t>
        </is>
      </c>
      <c r="E748" t="inlineStr">
        <is>
          <t>OVANÅKER</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68950-2018</t>
        </is>
      </c>
      <c r="B749" s="1" t="n">
        <v>43440</v>
      </c>
      <c r="C749" s="1" t="n">
        <v>45357</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67675-2018</t>
        </is>
      </c>
      <c r="B750" s="1" t="n">
        <v>43440</v>
      </c>
      <c r="C750" s="1" t="n">
        <v>45357</v>
      </c>
      <c r="D750" t="inlineStr">
        <is>
          <t>GÄVLEBORGS LÄN</t>
        </is>
      </c>
      <c r="E750" t="inlineStr">
        <is>
          <t>OVANÅKER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67945-2018</t>
        </is>
      </c>
      <c r="B751" s="1" t="n">
        <v>43440</v>
      </c>
      <c r="C751" s="1" t="n">
        <v>45357</v>
      </c>
      <c r="D751" t="inlineStr">
        <is>
          <t>GÄVLEBORGS LÄN</t>
        </is>
      </c>
      <c r="E751" t="inlineStr">
        <is>
          <t>SÖDERHAMN</t>
        </is>
      </c>
      <c r="G751" t="n">
        <v>2.1</v>
      </c>
      <c r="H751" t="n">
        <v>0</v>
      </c>
      <c r="I751" t="n">
        <v>0</v>
      </c>
      <c r="J751" t="n">
        <v>0</v>
      </c>
      <c r="K751" t="n">
        <v>0</v>
      </c>
      <c r="L751" t="n">
        <v>0</v>
      </c>
      <c r="M751" t="n">
        <v>0</v>
      </c>
      <c r="N751" t="n">
        <v>0</v>
      </c>
      <c r="O751" t="n">
        <v>0</v>
      </c>
      <c r="P751" t="n">
        <v>0</v>
      </c>
      <c r="Q751" t="n">
        <v>0</v>
      </c>
      <c r="R751" s="2" t="inlineStr"/>
    </row>
    <row r="752" ht="15" customHeight="1">
      <c r="A752" t="inlineStr">
        <is>
          <t>A 67667-2018</t>
        </is>
      </c>
      <c r="B752" s="1" t="n">
        <v>43440</v>
      </c>
      <c r="C752" s="1" t="n">
        <v>45357</v>
      </c>
      <c r="D752" t="inlineStr">
        <is>
          <t>GÄVLEBORGS LÄN</t>
        </is>
      </c>
      <c r="E752" t="inlineStr">
        <is>
          <t>OVANÅKER</t>
        </is>
      </c>
      <c r="F752" t="inlineStr">
        <is>
          <t>Sveaskog</t>
        </is>
      </c>
      <c r="G752" t="n">
        <v>8.1</v>
      </c>
      <c r="H752" t="n">
        <v>0</v>
      </c>
      <c r="I752" t="n">
        <v>0</v>
      </c>
      <c r="J752" t="n">
        <v>0</v>
      </c>
      <c r="K752" t="n">
        <v>0</v>
      </c>
      <c r="L752" t="n">
        <v>0</v>
      </c>
      <c r="M752" t="n">
        <v>0</v>
      </c>
      <c r="N752" t="n">
        <v>0</v>
      </c>
      <c r="O752" t="n">
        <v>0</v>
      </c>
      <c r="P752" t="n">
        <v>0</v>
      </c>
      <c r="Q752" t="n">
        <v>0</v>
      </c>
      <c r="R752" s="2" t="inlineStr"/>
    </row>
    <row r="753" ht="15" customHeight="1">
      <c r="A753" t="inlineStr">
        <is>
          <t>A 68052-2018</t>
        </is>
      </c>
      <c r="B753" s="1" t="n">
        <v>43441</v>
      </c>
      <c r="C753" s="1" t="n">
        <v>45357</v>
      </c>
      <c r="D753" t="inlineStr">
        <is>
          <t>GÄVLEBORGS LÄN</t>
        </is>
      </c>
      <c r="E753" t="inlineStr">
        <is>
          <t>OCKELBO</t>
        </is>
      </c>
      <c r="G753" t="n">
        <v>0.9</v>
      </c>
      <c r="H753" t="n">
        <v>0</v>
      </c>
      <c r="I753" t="n">
        <v>0</v>
      </c>
      <c r="J753" t="n">
        <v>0</v>
      </c>
      <c r="K753" t="n">
        <v>0</v>
      </c>
      <c r="L753" t="n">
        <v>0</v>
      </c>
      <c r="M753" t="n">
        <v>0</v>
      </c>
      <c r="N753" t="n">
        <v>0</v>
      </c>
      <c r="O753" t="n">
        <v>0</v>
      </c>
      <c r="P753" t="n">
        <v>0</v>
      </c>
      <c r="Q753" t="n">
        <v>0</v>
      </c>
      <c r="R753" s="2" t="inlineStr"/>
    </row>
    <row r="754" ht="15" customHeight="1">
      <c r="A754" t="inlineStr">
        <is>
          <t>A 68278-2018</t>
        </is>
      </c>
      <c r="B754" s="1" t="n">
        <v>43441</v>
      </c>
      <c r="C754" s="1" t="n">
        <v>45357</v>
      </c>
      <c r="D754" t="inlineStr">
        <is>
          <t>GÄVLEBORGS LÄN</t>
        </is>
      </c>
      <c r="E754" t="inlineStr">
        <is>
          <t>BOLLNÄS</t>
        </is>
      </c>
      <c r="G754" t="n">
        <v>3.6</v>
      </c>
      <c r="H754" t="n">
        <v>0</v>
      </c>
      <c r="I754" t="n">
        <v>0</v>
      </c>
      <c r="J754" t="n">
        <v>0</v>
      </c>
      <c r="K754" t="n">
        <v>0</v>
      </c>
      <c r="L754" t="n">
        <v>0</v>
      </c>
      <c r="M754" t="n">
        <v>0</v>
      </c>
      <c r="N754" t="n">
        <v>0</v>
      </c>
      <c r="O754" t="n">
        <v>0</v>
      </c>
      <c r="P754" t="n">
        <v>0</v>
      </c>
      <c r="Q754" t="n">
        <v>0</v>
      </c>
      <c r="R754" s="2" t="inlineStr"/>
    </row>
    <row r="755" ht="15" customHeight="1">
      <c r="A755" t="inlineStr">
        <is>
          <t>A 68129-2018</t>
        </is>
      </c>
      <c r="B755" s="1" t="n">
        <v>43441</v>
      </c>
      <c r="C755" s="1" t="n">
        <v>45357</v>
      </c>
      <c r="D755" t="inlineStr">
        <is>
          <t>GÄVLEBORGS LÄN</t>
        </is>
      </c>
      <c r="E755" t="inlineStr">
        <is>
          <t>LJUSDAL</t>
        </is>
      </c>
      <c r="G755" t="n">
        <v>2.3</v>
      </c>
      <c r="H755" t="n">
        <v>0</v>
      </c>
      <c r="I755" t="n">
        <v>0</v>
      </c>
      <c r="J755" t="n">
        <v>0</v>
      </c>
      <c r="K755" t="n">
        <v>0</v>
      </c>
      <c r="L755" t="n">
        <v>0</v>
      </c>
      <c r="M755" t="n">
        <v>0</v>
      </c>
      <c r="N755" t="n">
        <v>0</v>
      </c>
      <c r="O755" t="n">
        <v>0</v>
      </c>
      <c r="P755" t="n">
        <v>0</v>
      </c>
      <c r="Q755" t="n">
        <v>0</v>
      </c>
      <c r="R755" s="2" t="inlineStr"/>
    </row>
    <row r="756" ht="15" customHeight="1">
      <c r="A756" t="inlineStr">
        <is>
          <t>A 68264-2018</t>
        </is>
      </c>
      <c r="B756" s="1" t="n">
        <v>43441</v>
      </c>
      <c r="C756" s="1" t="n">
        <v>45357</v>
      </c>
      <c r="D756" t="inlineStr">
        <is>
          <t>GÄVLEBORGS LÄN</t>
        </is>
      </c>
      <c r="E756" t="inlineStr">
        <is>
          <t>LJUSDAL</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68329-2018</t>
        </is>
      </c>
      <c r="B757" s="1" t="n">
        <v>43441</v>
      </c>
      <c r="C757" s="1" t="n">
        <v>45357</v>
      </c>
      <c r="D757" t="inlineStr">
        <is>
          <t>GÄVLEBORGS LÄN</t>
        </is>
      </c>
      <c r="E757" t="inlineStr">
        <is>
          <t>NORDANSTIG</t>
        </is>
      </c>
      <c r="G757" t="n">
        <v>5.2</v>
      </c>
      <c r="H757" t="n">
        <v>0</v>
      </c>
      <c r="I757" t="n">
        <v>0</v>
      </c>
      <c r="J757" t="n">
        <v>0</v>
      </c>
      <c r="K757" t="n">
        <v>0</v>
      </c>
      <c r="L757" t="n">
        <v>0</v>
      </c>
      <c r="M757" t="n">
        <v>0</v>
      </c>
      <c r="N757" t="n">
        <v>0</v>
      </c>
      <c r="O757" t="n">
        <v>0</v>
      </c>
      <c r="P757" t="n">
        <v>0</v>
      </c>
      <c r="Q757" t="n">
        <v>0</v>
      </c>
      <c r="R757" s="2" t="inlineStr"/>
    </row>
    <row r="758" ht="15" customHeight="1">
      <c r="A758" t="inlineStr">
        <is>
          <t>A 68227-2018</t>
        </is>
      </c>
      <c r="B758" s="1" t="n">
        <v>43441</v>
      </c>
      <c r="C758" s="1" t="n">
        <v>45357</v>
      </c>
      <c r="D758" t="inlineStr">
        <is>
          <t>GÄVLEBORGS LÄN</t>
        </is>
      </c>
      <c r="E758" t="inlineStr">
        <is>
          <t>SÖDERHAMN</t>
        </is>
      </c>
      <c r="G758" t="n">
        <v>8</v>
      </c>
      <c r="H758" t="n">
        <v>0</v>
      </c>
      <c r="I758" t="n">
        <v>0</v>
      </c>
      <c r="J758" t="n">
        <v>0</v>
      </c>
      <c r="K758" t="n">
        <v>0</v>
      </c>
      <c r="L758" t="n">
        <v>0</v>
      </c>
      <c r="M758" t="n">
        <v>0</v>
      </c>
      <c r="N758" t="n">
        <v>0</v>
      </c>
      <c r="O758" t="n">
        <v>0</v>
      </c>
      <c r="P758" t="n">
        <v>0</v>
      </c>
      <c r="Q758" t="n">
        <v>0</v>
      </c>
      <c r="R758" s="2" t="inlineStr"/>
    </row>
    <row r="759" ht="15" customHeight="1">
      <c r="A759" t="inlineStr">
        <is>
          <t>A 68488-2018</t>
        </is>
      </c>
      <c r="B759" s="1" t="n">
        <v>43442</v>
      </c>
      <c r="C759" s="1" t="n">
        <v>45357</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68573-2018</t>
        </is>
      </c>
      <c r="B760" s="1" t="n">
        <v>43444</v>
      </c>
      <c r="C760" s="1" t="n">
        <v>45357</v>
      </c>
      <c r="D760" t="inlineStr">
        <is>
          <t>GÄVLEBORGS LÄN</t>
        </is>
      </c>
      <c r="E760" t="inlineStr">
        <is>
          <t>OVANÅKER</t>
        </is>
      </c>
      <c r="G760" t="n">
        <v>3.8</v>
      </c>
      <c r="H760" t="n">
        <v>0</v>
      </c>
      <c r="I760" t="n">
        <v>0</v>
      </c>
      <c r="J760" t="n">
        <v>0</v>
      </c>
      <c r="K760" t="n">
        <v>0</v>
      </c>
      <c r="L760" t="n">
        <v>0</v>
      </c>
      <c r="M760" t="n">
        <v>0</v>
      </c>
      <c r="N760" t="n">
        <v>0</v>
      </c>
      <c r="O760" t="n">
        <v>0</v>
      </c>
      <c r="P760" t="n">
        <v>0</v>
      </c>
      <c r="Q760" t="n">
        <v>0</v>
      </c>
      <c r="R760" s="2" t="inlineStr"/>
    </row>
    <row r="761" ht="15" customHeight="1">
      <c r="A761" t="inlineStr">
        <is>
          <t>A 68703-2018</t>
        </is>
      </c>
      <c r="B761" s="1" t="n">
        <v>43444</v>
      </c>
      <c r="C761" s="1" t="n">
        <v>45357</v>
      </c>
      <c r="D761" t="inlineStr">
        <is>
          <t>GÄVLEBORGS LÄN</t>
        </is>
      </c>
      <c r="E761" t="inlineStr">
        <is>
          <t>OCKELBO</t>
        </is>
      </c>
      <c r="G761" t="n">
        <v>4</v>
      </c>
      <c r="H761" t="n">
        <v>0</v>
      </c>
      <c r="I761" t="n">
        <v>0</v>
      </c>
      <c r="J761" t="n">
        <v>0</v>
      </c>
      <c r="K761" t="n">
        <v>0</v>
      </c>
      <c r="L761" t="n">
        <v>0</v>
      </c>
      <c r="M761" t="n">
        <v>0</v>
      </c>
      <c r="N761" t="n">
        <v>0</v>
      </c>
      <c r="O761" t="n">
        <v>0</v>
      </c>
      <c r="P761" t="n">
        <v>0</v>
      </c>
      <c r="Q761" t="n">
        <v>0</v>
      </c>
      <c r="R761" s="2" t="inlineStr"/>
    </row>
    <row r="762" ht="15" customHeight="1">
      <c r="A762" t="inlineStr">
        <is>
          <t>A 68578-2018</t>
        </is>
      </c>
      <c r="B762" s="1" t="n">
        <v>43444</v>
      </c>
      <c r="C762" s="1" t="n">
        <v>45357</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69675-2018</t>
        </is>
      </c>
      <c r="B763" s="1" t="n">
        <v>43444</v>
      </c>
      <c r="C763" s="1" t="n">
        <v>45357</v>
      </c>
      <c r="D763" t="inlineStr">
        <is>
          <t>GÄVLEBORGS LÄN</t>
        </is>
      </c>
      <c r="E763" t="inlineStr">
        <is>
          <t>HOFORS</t>
        </is>
      </c>
      <c r="G763" t="n">
        <v>2.7</v>
      </c>
      <c r="H763" t="n">
        <v>0</v>
      </c>
      <c r="I763" t="n">
        <v>0</v>
      </c>
      <c r="J763" t="n">
        <v>0</v>
      </c>
      <c r="K763" t="n">
        <v>0</v>
      </c>
      <c r="L763" t="n">
        <v>0</v>
      </c>
      <c r="M763" t="n">
        <v>0</v>
      </c>
      <c r="N763" t="n">
        <v>0</v>
      </c>
      <c r="O763" t="n">
        <v>0</v>
      </c>
      <c r="P763" t="n">
        <v>0</v>
      </c>
      <c r="Q763" t="n">
        <v>0</v>
      </c>
      <c r="R763" s="2" t="inlineStr"/>
    </row>
    <row r="764" ht="15" customHeight="1">
      <c r="A764" t="inlineStr">
        <is>
          <t>A 69550-2018</t>
        </is>
      </c>
      <c r="B764" s="1" t="n">
        <v>43444</v>
      </c>
      <c r="C764" s="1" t="n">
        <v>45357</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68824-2018</t>
        </is>
      </c>
      <c r="B765" s="1" t="n">
        <v>43444</v>
      </c>
      <c r="C765" s="1" t="n">
        <v>45357</v>
      </c>
      <c r="D765" t="inlineStr">
        <is>
          <t>GÄVLEBORGS LÄN</t>
        </is>
      </c>
      <c r="E765" t="inlineStr">
        <is>
          <t>LJUSDAL</t>
        </is>
      </c>
      <c r="G765" t="n">
        <v>4.5</v>
      </c>
      <c r="H765" t="n">
        <v>0</v>
      </c>
      <c r="I765" t="n">
        <v>0</v>
      </c>
      <c r="J765" t="n">
        <v>0</v>
      </c>
      <c r="K765" t="n">
        <v>0</v>
      </c>
      <c r="L765" t="n">
        <v>0</v>
      </c>
      <c r="M765" t="n">
        <v>0</v>
      </c>
      <c r="N765" t="n">
        <v>0</v>
      </c>
      <c r="O765" t="n">
        <v>0</v>
      </c>
      <c r="P765" t="n">
        <v>0</v>
      </c>
      <c r="Q765" t="n">
        <v>0</v>
      </c>
      <c r="R765" s="2" t="inlineStr"/>
    </row>
    <row r="766" ht="15" customHeight="1">
      <c r="A766" t="inlineStr">
        <is>
          <t>A 68583-2018</t>
        </is>
      </c>
      <c r="B766" s="1" t="n">
        <v>43444</v>
      </c>
      <c r="C766" s="1" t="n">
        <v>45357</v>
      </c>
      <c r="D766" t="inlineStr">
        <is>
          <t>GÄVLEBORGS LÄN</t>
        </is>
      </c>
      <c r="E766" t="inlineStr">
        <is>
          <t>OVANÅKER</t>
        </is>
      </c>
      <c r="G766" t="n">
        <v>2.1</v>
      </c>
      <c r="H766" t="n">
        <v>0</v>
      </c>
      <c r="I766" t="n">
        <v>0</v>
      </c>
      <c r="J766" t="n">
        <v>0</v>
      </c>
      <c r="K766" t="n">
        <v>0</v>
      </c>
      <c r="L766" t="n">
        <v>0</v>
      </c>
      <c r="M766" t="n">
        <v>0</v>
      </c>
      <c r="N766" t="n">
        <v>0</v>
      </c>
      <c r="O766" t="n">
        <v>0</v>
      </c>
      <c r="P766" t="n">
        <v>0</v>
      </c>
      <c r="Q766" t="n">
        <v>0</v>
      </c>
      <c r="R766" s="2" t="inlineStr"/>
    </row>
    <row r="767" ht="15" customHeight="1">
      <c r="A767" t="inlineStr">
        <is>
          <t>A 68840-2018</t>
        </is>
      </c>
      <c r="B767" s="1" t="n">
        <v>43444</v>
      </c>
      <c r="C767" s="1" t="n">
        <v>45357</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68770-2018</t>
        </is>
      </c>
      <c r="B768" s="1" t="n">
        <v>43444</v>
      </c>
      <c r="C768" s="1" t="n">
        <v>45357</v>
      </c>
      <c r="D768" t="inlineStr">
        <is>
          <t>GÄVLEBORGS LÄN</t>
        </is>
      </c>
      <c r="E768" t="inlineStr">
        <is>
          <t>OCKELBO</t>
        </is>
      </c>
      <c r="G768" t="n">
        <v>2.4</v>
      </c>
      <c r="H768" t="n">
        <v>0</v>
      </c>
      <c r="I768" t="n">
        <v>0</v>
      </c>
      <c r="J768" t="n">
        <v>0</v>
      </c>
      <c r="K768" t="n">
        <v>0</v>
      </c>
      <c r="L768" t="n">
        <v>0</v>
      </c>
      <c r="M768" t="n">
        <v>0</v>
      </c>
      <c r="N768" t="n">
        <v>0</v>
      </c>
      <c r="O768" t="n">
        <v>0</v>
      </c>
      <c r="P768" t="n">
        <v>0</v>
      </c>
      <c r="Q768" t="n">
        <v>0</v>
      </c>
      <c r="R768" s="2" t="inlineStr"/>
    </row>
    <row r="769" ht="15" customHeight="1">
      <c r="A769" t="inlineStr">
        <is>
          <t>A 68753-2018</t>
        </is>
      </c>
      <c r="B769" s="1" t="n">
        <v>43444</v>
      </c>
      <c r="C769" s="1" t="n">
        <v>45357</v>
      </c>
      <c r="D769" t="inlineStr">
        <is>
          <t>GÄVLEBORGS LÄN</t>
        </is>
      </c>
      <c r="E769" t="inlineStr">
        <is>
          <t>OCKELBO</t>
        </is>
      </c>
      <c r="G769" t="n">
        <v>2.6</v>
      </c>
      <c r="H769" t="n">
        <v>0</v>
      </c>
      <c r="I769" t="n">
        <v>0</v>
      </c>
      <c r="J769" t="n">
        <v>0</v>
      </c>
      <c r="K769" t="n">
        <v>0</v>
      </c>
      <c r="L769" t="n">
        <v>0</v>
      </c>
      <c r="M769" t="n">
        <v>0</v>
      </c>
      <c r="N769" t="n">
        <v>0</v>
      </c>
      <c r="O769" t="n">
        <v>0</v>
      </c>
      <c r="P769" t="n">
        <v>0</v>
      </c>
      <c r="Q769" t="n">
        <v>0</v>
      </c>
      <c r="R769" s="2" t="inlineStr"/>
    </row>
    <row r="770" ht="15" customHeight="1">
      <c r="A770" t="inlineStr">
        <is>
          <t>A 68517-2018</t>
        </is>
      </c>
      <c r="B770" s="1" t="n">
        <v>43444</v>
      </c>
      <c r="C770" s="1" t="n">
        <v>45357</v>
      </c>
      <c r="D770" t="inlineStr">
        <is>
          <t>GÄVLEBORGS LÄN</t>
        </is>
      </c>
      <c r="E770" t="inlineStr">
        <is>
          <t>BOLLNÄS</t>
        </is>
      </c>
      <c r="G770" t="n">
        <v>3.3</v>
      </c>
      <c r="H770" t="n">
        <v>0</v>
      </c>
      <c r="I770" t="n">
        <v>0</v>
      </c>
      <c r="J770" t="n">
        <v>0</v>
      </c>
      <c r="K770" t="n">
        <v>0</v>
      </c>
      <c r="L770" t="n">
        <v>0</v>
      </c>
      <c r="M770" t="n">
        <v>0</v>
      </c>
      <c r="N770" t="n">
        <v>0</v>
      </c>
      <c r="O770" t="n">
        <v>0</v>
      </c>
      <c r="P770" t="n">
        <v>0</v>
      </c>
      <c r="Q770" t="n">
        <v>0</v>
      </c>
      <c r="R770" s="2" t="inlineStr"/>
    </row>
    <row r="771" ht="15" customHeight="1">
      <c r="A771" t="inlineStr">
        <is>
          <t>A 68549-2018</t>
        </is>
      </c>
      <c r="B771" s="1" t="n">
        <v>43444</v>
      </c>
      <c r="C771" s="1" t="n">
        <v>45357</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69205-2018</t>
        </is>
      </c>
      <c r="B772" s="1" t="n">
        <v>43445</v>
      </c>
      <c r="C772" s="1" t="n">
        <v>45357</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69237-2018</t>
        </is>
      </c>
      <c r="B773" s="1" t="n">
        <v>43445</v>
      </c>
      <c r="C773" s="1" t="n">
        <v>45357</v>
      </c>
      <c r="D773" t="inlineStr">
        <is>
          <t>GÄVLEBORGS LÄN</t>
        </is>
      </c>
      <c r="E773" t="inlineStr">
        <is>
          <t>NORDANSTIG</t>
        </is>
      </c>
      <c r="G773" t="n">
        <v>1.6</v>
      </c>
      <c r="H773" t="n">
        <v>0</v>
      </c>
      <c r="I773" t="n">
        <v>0</v>
      </c>
      <c r="J773" t="n">
        <v>0</v>
      </c>
      <c r="K773" t="n">
        <v>0</v>
      </c>
      <c r="L773" t="n">
        <v>0</v>
      </c>
      <c r="M773" t="n">
        <v>0</v>
      </c>
      <c r="N773" t="n">
        <v>0</v>
      </c>
      <c r="O773" t="n">
        <v>0</v>
      </c>
      <c r="P773" t="n">
        <v>0</v>
      </c>
      <c r="Q773" t="n">
        <v>0</v>
      </c>
      <c r="R773" s="2" t="inlineStr"/>
    </row>
    <row r="774" ht="15" customHeight="1">
      <c r="A774" t="inlineStr">
        <is>
          <t>A 69225-2018</t>
        </is>
      </c>
      <c r="B774" s="1" t="n">
        <v>43445</v>
      </c>
      <c r="C774" s="1" t="n">
        <v>45357</v>
      </c>
      <c r="D774" t="inlineStr">
        <is>
          <t>GÄVLEBORGS LÄN</t>
        </is>
      </c>
      <c r="E774" t="inlineStr">
        <is>
          <t>LJUSDAL</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69227-2018</t>
        </is>
      </c>
      <c r="B775" s="1" t="n">
        <v>43445</v>
      </c>
      <c r="C775" s="1" t="n">
        <v>45357</v>
      </c>
      <c r="D775" t="inlineStr">
        <is>
          <t>GÄVLEBORGS LÄN</t>
        </is>
      </c>
      <c r="E775" t="inlineStr">
        <is>
          <t>HUDIKSVALL</t>
        </is>
      </c>
      <c r="G775" t="n">
        <v>3.7</v>
      </c>
      <c r="H775" t="n">
        <v>0</v>
      </c>
      <c r="I775" t="n">
        <v>0</v>
      </c>
      <c r="J775" t="n">
        <v>0</v>
      </c>
      <c r="K775" t="n">
        <v>0</v>
      </c>
      <c r="L775" t="n">
        <v>0</v>
      </c>
      <c r="M775" t="n">
        <v>0</v>
      </c>
      <c r="N775" t="n">
        <v>0</v>
      </c>
      <c r="O775" t="n">
        <v>0</v>
      </c>
      <c r="P775" t="n">
        <v>0</v>
      </c>
      <c r="Q775" t="n">
        <v>0</v>
      </c>
      <c r="R775" s="2" t="inlineStr"/>
    </row>
    <row r="776" ht="15" customHeight="1">
      <c r="A776" t="inlineStr">
        <is>
          <t>A 68990-2018</t>
        </is>
      </c>
      <c r="B776" s="1" t="n">
        <v>43445</v>
      </c>
      <c r="C776" s="1" t="n">
        <v>45357</v>
      </c>
      <c r="D776" t="inlineStr">
        <is>
          <t>GÄVLEBORGS LÄN</t>
        </is>
      </c>
      <c r="E776" t="inlineStr">
        <is>
          <t>LJUSDAL</t>
        </is>
      </c>
      <c r="F776" t="inlineStr">
        <is>
          <t>Sveaskog</t>
        </is>
      </c>
      <c r="G776" t="n">
        <v>19.4</v>
      </c>
      <c r="H776" t="n">
        <v>0</v>
      </c>
      <c r="I776" t="n">
        <v>0</v>
      </c>
      <c r="J776" t="n">
        <v>0</v>
      </c>
      <c r="K776" t="n">
        <v>0</v>
      </c>
      <c r="L776" t="n">
        <v>0</v>
      </c>
      <c r="M776" t="n">
        <v>0</v>
      </c>
      <c r="N776" t="n">
        <v>0</v>
      </c>
      <c r="O776" t="n">
        <v>0</v>
      </c>
      <c r="P776" t="n">
        <v>0</v>
      </c>
      <c r="Q776" t="n">
        <v>0</v>
      </c>
      <c r="R776" s="2" t="inlineStr"/>
    </row>
    <row r="777" ht="15" customHeight="1">
      <c r="A777" t="inlineStr">
        <is>
          <t>A 69236-2018</t>
        </is>
      </c>
      <c r="B777" s="1" t="n">
        <v>43445</v>
      </c>
      <c r="C777" s="1" t="n">
        <v>45357</v>
      </c>
      <c r="D777" t="inlineStr">
        <is>
          <t>GÄVLEBORGS LÄN</t>
        </is>
      </c>
      <c r="E777" t="inlineStr">
        <is>
          <t>NORDANSTIG</t>
        </is>
      </c>
      <c r="G777" t="n">
        <v>1.2</v>
      </c>
      <c r="H777" t="n">
        <v>0</v>
      </c>
      <c r="I777" t="n">
        <v>0</v>
      </c>
      <c r="J777" t="n">
        <v>0</v>
      </c>
      <c r="K777" t="n">
        <v>0</v>
      </c>
      <c r="L777" t="n">
        <v>0</v>
      </c>
      <c r="M777" t="n">
        <v>0</v>
      </c>
      <c r="N777" t="n">
        <v>0</v>
      </c>
      <c r="O777" t="n">
        <v>0</v>
      </c>
      <c r="P777" t="n">
        <v>0</v>
      </c>
      <c r="Q777" t="n">
        <v>0</v>
      </c>
      <c r="R777" s="2" t="inlineStr"/>
    </row>
    <row r="778" ht="15" customHeight="1">
      <c r="A778" t="inlineStr">
        <is>
          <t>A 69192-2018</t>
        </is>
      </c>
      <c r="B778" s="1" t="n">
        <v>43445</v>
      </c>
      <c r="C778" s="1" t="n">
        <v>45357</v>
      </c>
      <c r="D778" t="inlineStr">
        <is>
          <t>GÄVLEBORGS LÄN</t>
        </is>
      </c>
      <c r="E778" t="inlineStr">
        <is>
          <t>BOLLNÄS</t>
        </is>
      </c>
      <c r="G778" t="n">
        <v>15</v>
      </c>
      <c r="H778" t="n">
        <v>0</v>
      </c>
      <c r="I778" t="n">
        <v>0</v>
      </c>
      <c r="J778" t="n">
        <v>0</v>
      </c>
      <c r="K778" t="n">
        <v>0</v>
      </c>
      <c r="L778" t="n">
        <v>0</v>
      </c>
      <c r="M778" t="n">
        <v>0</v>
      </c>
      <c r="N778" t="n">
        <v>0</v>
      </c>
      <c r="O778" t="n">
        <v>0</v>
      </c>
      <c r="P778" t="n">
        <v>0</v>
      </c>
      <c r="Q778" t="n">
        <v>0</v>
      </c>
      <c r="R778" s="2" t="inlineStr"/>
    </row>
    <row r="779" ht="15" customHeight="1">
      <c r="A779" t="inlineStr">
        <is>
          <t>A 69238-2018</t>
        </is>
      </c>
      <c r="B779" s="1" t="n">
        <v>43445</v>
      </c>
      <c r="C779" s="1" t="n">
        <v>45357</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68892-2018</t>
        </is>
      </c>
      <c r="B780" s="1" t="n">
        <v>43445</v>
      </c>
      <c r="C780" s="1" t="n">
        <v>45357</v>
      </c>
      <c r="D780" t="inlineStr">
        <is>
          <t>GÄVLEBORGS LÄN</t>
        </is>
      </c>
      <c r="E780" t="inlineStr">
        <is>
          <t>SANDVIKEN</t>
        </is>
      </c>
      <c r="G780" t="n">
        <v>7.3</v>
      </c>
      <c r="H780" t="n">
        <v>0</v>
      </c>
      <c r="I780" t="n">
        <v>0</v>
      </c>
      <c r="J780" t="n">
        <v>0</v>
      </c>
      <c r="K780" t="n">
        <v>0</v>
      </c>
      <c r="L780" t="n">
        <v>0</v>
      </c>
      <c r="M780" t="n">
        <v>0</v>
      </c>
      <c r="N780" t="n">
        <v>0</v>
      </c>
      <c r="O780" t="n">
        <v>0</v>
      </c>
      <c r="P780" t="n">
        <v>0</v>
      </c>
      <c r="Q780" t="n">
        <v>0</v>
      </c>
      <c r="R780" s="2" t="inlineStr"/>
    </row>
    <row r="781" ht="15" customHeight="1">
      <c r="A781" t="inlineStr">
        <is>
          <t>A 69087-2018</t>
        </is>
      </c>
      <c r="B781" s="1" t="n">
        <v>43445</v>
      </c>
      <c r="C781" s="1" t="n">
        <v>45357</v>
      </c>
      <c r="D781" t="inlineStr">
        <is>
          <t>GÄVLEBORGS LÄN</t>
        </is>
      </c>
      <c r="E781" t="inlineStr">
        <is>
          <t>BOLLNÄS</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69239-2018</t>
        </is>
      </c>
      <c r="B782" s="1" t="n">
        <v>43445</v>
      </c>
      <c r="C782" s="1" t="n">
        <v>45357</v>
      </c>
      <c r="D782" t="inlineStr">
        <is>
          <t>GÄVLEBORGS LÄN</t>
        </is>
      </c>
      <c r="E782" t="inlineStr">
        <is>
          <t>NORDANSTIG</t>
        </is>
      </c>
      <c r="G782" t="n">
        <v>5.3</v>
      </c>
      <c r="H782" t="n">
        <v>0</v>
      </c>
      <c r="I782" t="n">
        <v>0</v>
      </c>
      <c r="J782" t="n">
        <v>0</v>
      </c>
      <c r="K782" t="n">
        <v>0</v>
      </c>
      <c r="L782" t="n">
        <v>0</v>
      </c>
      <c r="M782" t="n">
        <v>0</v>
      </c>
      <c r="N782" t="n">
        <v>0</v>
      </c>
      <c r="O782" t="n">
        <v>0</v>
      </c>
      <c r="P782" t="n">
        <v>0</v>
      </c>
      <c r="Q782" t="n">
        <v>0</v>
      </c>
      <c r="R782" s="2" t="inlineStr"/>
    </row>
    <row r="783" ht="15" customHeight="1">
      <c r="A783" t="inlineStr">
        <is>
          <t>A 69232-2018</t>
        </is>
      </c>
      <c r="B783" s="1" t="n">
        <v>43445</v>
      </c>
      <c r="C783" s="1" t="n">
        <v>45357</v>
      </c>
      <c r="D783" t="inlineStr">
        <is>
          <t>GÄVLEBORGS LÄN</t>
        </is>
      </c>
      <c r="E783" t="inlineStr">
        <is>
          <t>NORDANSTIG</t>
        </is>
      </c>
      <c r="G783" t="n">
        <v>5.4</v>
      </c>
      <c r="H783" t="n">
        <v>0</v>
      </c>
      <c r="I783" t="n">
        <v>0</v>
      </c>
      <c r="J783" t="n">
        <v>0</v>
      </c>
      <c r="K783" t="n">
        <v>0</v>
      </c>
      <c r="L783" t="n">
        <v>0</v>
      </c>
      <c r="M783" t="n">
        <v>0</v>
      </c>
      <c r="N783" t="n">
        <v>0</v>
      </c>
      <c r="O783" t="n">
        <v>0</v>
      </c>
      <c r="P783" t="n">
        <v>0</v>
      </c>
      <c r="Q783" t="n">
        <v>0</v>
      </c>
      <c r="R783" s="2" t="inlineStr"/>
    </row>
    <row r="784" ht="15" customHeight="1">
      <c r="A784" t="inlineStr">
        <is>
          <t>A 69271-2018</t>
        </is>
      </c>
      <c r="B784" s="1" t="n">
        <v>43446</v>
      </c>
      <c r="C784" s="1" t="n">
        <v>45357</v>
      </c>
      <c r="D784" t="inlineStr">
        <is>
          <t>GÄVLEBORGS LÄN</t>
        </is>
      </c>
      <c r="E784" t="inlineStr">
        <is>
          <t>BOLLNÄS</t>
        </is>
      </c>
      <c r="G784" t="n">
        <v>2.5</v>
      </c>
      <c r="H784" t="n">
        <v>0</v>
      </c>
      <c r="I784" t="n">
        <v>0</v>
      </c>
      <c r="J784" t="n">
        <v>0</v>
      </c>
      <c r="K784" t="n">
        <v>0</v>
      </c>
      <c r="L784" t="n">
        <v>0</v>
      </c>
      <c r="M784" t="n">
        <v>0</v>
      </c>
      <c r="N784" t="n">
        <v>0</v>
      </c>
      <c r="O784" t="n">
        <v>0</v>
      </c>
      <c r="P784" t="n">
        <v>0</v>
      </c>
      <c r="Q784" t="n">
        <v>0</v>
      </c>
      <c r="R784" s="2" t="inlineStr"/>
    </row>
    <row r="785" ht="15" customHeight="1">
      <c r="A785" t="inlineStr">
        <is>
          <t>A 69416-2018</t>
        </is>
      </c>
      <c r="B785" s="1" t="n">
        <v>43446</v>
      </c>
      <c r="C785" s="1" t="n">
        <v>45357</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69253-2018</t>
        </is>
      </c>
      <c r="B786" s="1" t="n">
        <v>43446</v>
      </c>
      <c r="C786" s="1" t="n">
        <v>45357</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69723-2018</t>
        </is>
      </c>
      <c r="B787" s="1" t="n">
        <v>43447</v>
      </c>
      <c r="C787" s="1" t="n">
        <v>45357</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69772-2018</t>
        </is>
      </c>
      <c r="B788" s="1" t="n">
        <v>43447</v>
      </c>
      <c r="C788" s="1" t="n">
        <v>45357</v>
      </c>
      <c r="D788" t="inlineStr">
        <is>
          <t>GÄVLEBORGS LÄN</t>
        </is>
      </c>
      <c r="E788" t="inlineStr">
        <is>
          <t>GÄVLE</t>
        </is>
      </c>
      <c r="G788" t="n">
        <v>1.7</v>
      </c>
      <c r="H788" t="n">
        <v>0</v>
      </c>
      <c r="I788" t="n">
        <v>0</v>
      </c>
      <c r="J788" t="n">
        <v>0</v>
      </c>
      <c r="K788" t="n">
        <v>0</v>
      </c>
      <c r="L788" t="n">
        <v>0</v>
      </c>
      <c r="M788" t="n">
        <v>0</v>
      </c>
      <c r="N788" t="n">
        <v>0</v>
      </c>
      <c r="O788" t="n">
        <v>0</v>
      </c>
      <c r="P788" t="n">
        <v>0</v>
      </c>
      <c r="Q788" t="n">
        <v>0</v>
      </c>
      <c r="R788" s="2" t="inlineStr"/>
    </row>
    <row r="789" ht="15" customHeight="1">
      <c r="A789" t="inlineStr">
        <is>
          <t>A 69866-2018</t>
        </is>
      </c>
      <c r="B789" s="1" t="n">
        <v>43447</v>
      </c>
      <c r="C789" s="1" t="n">
        <v>45357</v>
      </c>
      <c r="D789" t="inlineStr">
        <is>
          <t>GÄVLEBORGS LÄN</t>
        </is>
      </c>
      <c r="E789" t="inlineStr">
        <is>
          <t>SÖDERHAMN</t>
        </is>
      </c>
      <c r="G789" t="n">
        <v>1.6</v>
      </c>
      <c r="H789" t="n">
        <v>0</v>
      </c>
      <c r="I789" t="n">
        <v>0</v>
      </c>
      <c r="J789" t="n">
        <v>0</v>
      </c>
      <c r="K789" t="n">
        <v>0</v>
      </c>
      <c r="L789" t="n">
        <v>0</v>
      </c>
      <c r="M789" t="n">
        <v>0</v>
      </c>
      <c r="N789" t="n">
        <v>0</v>
      </c>
      <c r="O789" t="n">
        <v>0</v>
      </c>
      <c r="P789" t="n">
        <v>0</v>
      </c>
      <c r="Q789" t="n">
        <v>0</v>
      </c>
      <c r="R789" s="2" t="inlineStr"/>
    </row>
    <row r="790" ht="15" customHeight="1">
      <c r="A790" t="inlineStr">
        <is>
          <t>A 69887-2018</t>
        </is>
      </c>
      <c r="B790" s="1" t="n">
        <v>43447</v>
      </c>
      <c r="C790" s="1" t="n">
        <v>45357</v>
      </c>
      <c r="D790" t="inlineStr">
        <is>
          <t>GÄVLEBORGS LÄN</t>
        </is>
      </c>
      <c r="E790" t="inlineStr">
        <is>
          <t>NORDANSTIG</t>
        </is>
      </c>
      <c r="G790" t="n">
        <v>1</v>
      </c>
      <c r="H790" t="n">
        <v>0</v>
      </c>
      <c r="I790" t="n">
        <v>0</v>
      </c>
      <c r="J790" t="n">
        <v>0</v>
      </c>
      <c r="K790" t="n">
        <v>0</v>
      </c>
      <c r="L790" t="n">
        <v>0</v>
      </c>
      <c r="M790" t="n">
        <v>0</v>
      </c>
      <c r="N790" t="n">
        <v>0</v>
      </c>
      <c r="O790" t="n">
        <v>0</v>
      </c>
      <c r="P790" t="n">
        <v>0</v>
      </c>
      <c r="Q790" t="n">
        <v>0</v>
      </c>
      <c r="R790" s="2" t="inlineStr"/>
    </row>
    <row r="791" ht="15" customHeight="1">
      <c r="A791" t="inlineStr">
        <is>
          <t>A 69719-2018</t>
        </is>
      </c>
      <c r="B791" s="1" t="n">
        <v>43447</v>
      </c>
      <c r="C791" s="1" t="n">
        <v>45357</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69726-2018</t>
        </is>
      </c>
      <c r="B792" s="1" t="n">
        <v>43447</v>
      </c>
      <c r="C792" s="1" t="n">
        <v>45357</v>
      </c>
      <c r="D792" t="inlineStr">
        <is>
          <t>GÄVLEBORGS LÄN</t>
        </is>
      </c>
      <c r="E792" t="inlineStr">
        <is>
          <t>GÄVLE</t>
        </is>
      </c>
      <c r="G792" t="n">
        <v>1.2</v>
      </c>
      <c r="H792" t="n">
        <v>0</v>
      </c>
      <c r="I792" t="n">
        <v>0</v>
      </c>
      <c r="J792" t="n">
        <v>0</v>
      </c>
      <c r="K792" t="n">
        <v>0</v>
      </c>
      <c r="L792" t="n">
        <v>0</v>
      </c>
      <c r="M792" t="n">
        <v>0</v>
      </c>
      <c r="N792" t="n">
        <v>0</v>
      </c>
      <c r="O792" t="n">
        <v>0</v>
      </c>
      <c r="P792" t="n">
        <v>0</v>
      </c>
      <c r="Q792" t="n">
        <v>0</v>
      </c>
      <c r="R792" s="2" t="inlineStr"/>
    </row>
    <row r="793" ht="15" customHeight="1">
      <c r="A793" t="inlineStr">
        <is>
          <t>A 69851-2018</t>
        </is>
      </c>
      <c r="B793" s="1" t="n">
        <v>43447</v>
      </c>
      <c r="C793" s="1" t="n">
        <v>45357</v>
      </c>
      <c r="D793" t="inlineStr">
        <is>
          <t>GÄVLEBORGS LÄN</t>
        </is>
      </c>
      <c r="E793" t="inlineStr">
        <is>
          <t>GÄVLE</t>
        </is>
      </c>
      <c r="G793" t="n">
        <v>2.5</v>
      </c>
      <c r="H793" t="n">
        <v>0</v>
      </c>
      <c r="I793" t="n">
        <v>0</v>
      </c>
      <c r="J793" t="n">
        <v>0</v>
      </c>
      <c r="K793" t="n">
        <v>0</v>
      </c>
      <c r="L793" t="n">
        <v>0</v>
      </c>
      <c r="M793" t="n">
        <v>0</v>
      </c>
      <c r="N793" t="n">
        <v>0</v>
      </c>
      <c r="O793" t="n">
        <v>0</v>
      </c>
      <c r="P793" t="n">
        <v>0</v>
      </c>
      <c r="Q793" t="n">
        <v>0</v>
      </c>
      <c r="R793" s="2" t="inlineStr"/>
    </row>
    <row r="794" ht="15" customHeight="1">
      <c r="A794" t="inlineStr">
        <is>
          <t>A 69868-2018</t>
        </is>
      </c>
      <c r="B794" s="1" t="n">
        <v>43447</v>
      </c>
      <c r="C794" s="1" t="n">
        <v>45357</v>
      </c>
      <c r="D794" t="inlineStr">
        <is>
          <t>GÄVLEBORGS LÄN</t>
        </is>
      </c>
      <c r="E794" t="inlineStr">
        <is>
          <t>SÖDERHAMN</t>
        </is>
      </c>
      <c r="G794" t="n">
        <v>4.4</v>
      </c>
      <c r="H794" t="n">
        <v>0</v>
      </c>
      <c r="I794" t="n">
        <v>0</v>
      </c>
      <c r="J794" t="n">
        <v>0</v>
      </c>
      <c r="K794" t="n">
        <v>0</v>
      </c>
      <c r="L794" t="n">
        <v>0</v>
      </c>
      <c r="M794" t="n">
        <v>0</v>
      </c>
      <c r="N794" t="n">
        <v>0</v>
      </c>
      <c r="O794" t="n">
        <v>0</v>
      </c>
      <c r="P794" t="n">
        <v>0</v>
      </c>
      <c r="Q794" t="n">
        <v>0</v>
      </c>
      <c r="R794" s="2" t="inlineStr"/>
    </row>
    <row r="795" ht="15" customHeight="1">
      <c r="A795" t="inlineStr">
        <is>
          <t>A 69846-2018</t>
        </is>
      </c>
      <c r="B795" s="1" t="n">
        <v>43447</v>
      </c>
      <c r="C795" s="1" t="n">
        <v>45357</v>
      </c>
      <c r="D795" t="inlineStr">
        <is>
          <t>GÄVLEBORGS LÄN</t>
        </is>
      </c>
      <c r="E795" t="inlineStr">
        <is>
          <t>GÄVLE</t>
        </is>
      </c>
      <c r="G795" t="n">
        <v>2.1</v>
      </c>
      <c r="H795" t="n">
        <v>0</v>
      </c>
      <c r="I795" t="n">
        <v>0</v>
      </c>
      <c r="J795" t="n">
        <v>0</v>
      </c>
      <c r="K795" t="n">
        <v>0</v>
      </c>
      <c r="L795" t="n">
        <v>0</v>
      </c>
      <c r="M795" t="n">
        <v>0</v>
      </c>
      <c r="N795" t="n">
        <v>0</v>
      </c>
      <c r="O795" t="n">
        <v>0</v>
      </c>
      <c r="P795" t="n">
        <v>0</v>
      </c>
      <c r="Q795" t="n">
        <v>0</v>
      </c>
      <c r="R795" s="2" t="inlineStr"/>
    </row>
    <row r="796" ht="15" customHeight="1">
      <c r="A796" t="inlineStr">
        <is>
          <t>A 69832-2018</t>
        </is>
      </c>
      <c r="B796" s="1" t="n">
        <v>43447</v>
      </c>
      <c r="C796" s="1" t="n">
        <v>45357</v>
      </c>
      <c r="D796" t="inlineStr">
        <is>
          <t>GÄVLEBORGS LÄN</t>
        </is>
      </c>
      <c r="E796" t="inlineStr">
        <is>
          <t>SANDVIKEN</t>
        </is>
      </c>
      <c r="G796" t="n">
        <v>5.9</v>
      </c>
      <c r="H796" t="n">
        <v>0</v>
      </c>
      <c r="I796" t="n">
        <v>0</v>
      </c>
      <c r="J796" t="n">
        <v>0</v>
      </c>
      <c r="K796" t="n">
        <v>0</v>
      </c>
      <c r="L796" t="n">
        <v>0</v>
      </c>
      <c r="M796" t="n">
        <v>0</v>
      </c>
      <c r="N796" t="n">
        <v>0</v>
      </c>
      <c r="O796" t="n">
        <v>0</v>
      </c>
      <c r="P796" t="n">
        <v>0</v>
      </c>
      <c r="Q796" t="n">
        <v>0</v>
      </c>
      <c r="R796" s="2" t="inlineStr"/>
    </row>
    <row r="797" ht="15" customHeight="1">
      <c r="A797" t="inlineStr">
        <is>
          <t>A 69840-2018</t>
        </is>
      </c>
      <c r="B797" s="1" t="n">
        <v>43447</v>
      </c>
      <c r="C797" s="1" t="n">
        <v>45357</v>
      </c>
      <c r="D797" t="inlineStr">
        <is>
          <t>GÄVLEBORGS LÄN</t>
        </is>
      </c>
      <c r="E797" t="inlineStr">
        <is>
          <t>GÄVLE</t>
        </is>
      </c>
      <c r="G797" t="n">
        <v>3.3</v>
      </c>
      <c r="H797" t="n">
        <v>0</v>
      </c>
      <c r="I797" t="n">
        <v>0</v>
      </c>
      <c r="J797" t="n">
        <v>0</v>
      </c>
      <c r="K797" t="n">
        <v>0</v>
      </c>
      <c r="L797" t="n">
        <v>0</v>
      </c>
      <c r="M797" t="n">
        <v>0</v>
      </c>
      <c r="N797" t="n">
        <v>0</v>
      </c>
      <c r="O797" t="n">
        <v>0</v>
      </c>
      <c r="P797" t="n">
        <v>0</v>
      </c>
      <c r="Q797" t="n">
        <v>0</v>
      </c>
      <c r="R797" s="2" t="inlineStr"/>
    </row>
    <row r="798" ht="15" customHeight="1">
      <c r="A798" t="inlineStr">
        <is>
          <t>A 70151-2018</t>
        </is>
      </c>
      <c r="B798" s="1" t="n">
        <v>43448</v>
      </c>
      <c r="C798" s="1" t="n">
        <v>45357</v>
      </c>
      <c r="D798" t="inlineStr">
        <is>
          <t>GÄVLEBORGS LÄN</t>
        </is>
      </c>
      <c r="E798" t="inlineStr">
        <is>
          <t>OCKELBO</t>
        </is>
      </c>
      <c r="G798" t="n">
        <v>1.4</v>
      </c>
      <c r="H798" t="n">
        <v>0</v>
      </c>
      <c r="I798" t="n">
        <v>0</v>
      </c>
      <c r="J798" t="n">
        <v>0</v>
      </c>
      <c r="K798" t="n">
        <v>0</v>
      </c>
      <c r="L798" t="n">
        <v>0</v>
      </c>
      <c r="M798" t="n">
        <v>0</v>
      </c>
      <c r="N798" t="n">
        <v>0</v>
      </c>
      <c r="O798" t="n">
        <v>0</v>
      </c>
      <c r="P798" t="n">
        <v>0</v>
      </c>
      <c r="Q798" t="n">
        <v>0</v>
      </c>
      <c r="R798" s="2" t="inlineStr"/>
    </row>
    <row r="799" ht="15" customHeight="1">
      <c r="A799" t="inlineStr">
        <is>
          <t>A 70149-2018</t>
        </is>
      </c>
      <c r="B799" s="1" t="n">
        <v>43448</v>
      </c>
      <c r="C799" s="1" t="n">
        <v>45357</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70165-2018</t>
        </is>
      </c>
      <c r="B800" s="1" t="n">
        <v>43448</v>
      </c>
      <c r="C800" s="1" t="n">
        <v>45357</v>
      </c>
      <c r="D800" t="inlineStr">
        <is>
          <t>GÄVLEBORGS LÄN</t>
        </is>
      </c>
      <c r="E800" t="inlineStr">
        <is>
          <t>LJUSDAL</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70182-2018</t>
        </is>
      </c>
      <c r="B801" s="1" t="n">
        <v>43448</v>
      </c>
      <c r="C801" s="1" t="n">
        <v>45357</v>
      </c>
      <c r="D801" t="inlineStr">
        <is>
          <t>GÄVLEBORGS LÄN</t>
        </is>
      </c>
      <c r="E801" t="inlineStr">
        <is>
          <t>HUDIKSVALL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70127-2018</t>
        </is>
      </c>
      <c r="B802" s="1" t="n">
        <v>43448</v>
      </c>
      <c r="C802" s="1" t="n">
        <v>45357</v>
      </c>
      <c r="D802" t="inlineStr">
        <is>
          <t>GÄVLEBORGS LÄN</t>
        </is>
      </c>
      <c r="E802" t="inlineStr">
        <is>
          <t>OCKELBO</t>
        </is>
      </c>
      <c r="G802" t="n">
        <v>1.3</v>
      </c>
      <c r="H802" t="n">
        <v>0</v>
      </c>
      <c r="I802" t="n">
        <v>0</v>
      </c>
      <c r="J802" t="n">
        <v>0</v>
      </c>
      <c r="K802" t="n">
        <v>0</v>
      </c>
      <c r="L802" t="n">
        <v>0</v>
      </c>
      <c r="M802" t="n">
        <v>0</v>
      </c>
      <c r="N802" t="n">
        <v>0</v>
      </c>
      <c r="O802" t="n">
        <v>0</v>
      </c>
      <c r="P802" t="n">
        <v>0</v>
      </c>
      <c r="Q802" t="n">
        <v>0</v>
      </c>
      <c r="R802" s="2" t="inlineStr"/>
    </row>
    <row r="803" ht="15" customHeight="1">
      <c r="A803" t="inlineStr">
        <is>
          <t>A 70255-2018</t>
        </is>
      </c>
      <c r="B803" s="1" t="n">
        <v>43448</v>
      </c>
      <c r="C803" s="1" t="n">
        <v>45357</v>
      </c>
      <c r="D803" t="inlineStr">
        <is>
          <t>GÄVLEBORGS LÄN</t>
        </is>
      </c>
      <c r="E803" t="inlineStr">
        <is>
          <t>NORDANSTIG</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70237-2018</t>
        </is>
      </c>
      <c r="B804" s="1" t="n">
        <v>43448</v>
      </c>
      <c r="C804" s="1" t="n">
        <v>45357</v>
      </c>
      <c r="D804" t="inlineStr">
        <is>
          <t>GÄVLEBORGS LÄN</t>
        </is>
      </c>
      <c r="E804" t="inlineStr">
        <is>
          <t>NORDANSTIG</t>
        </is>
      </c>
      <c r="G804" t="n">
        <v>1.6</v>
      </c>
      <c r="H804" t="n">
        <v>0</v>
      </c>
      <c r="I804" t="n">
        <v>0</v>
      </c>
      <c r="J804" t="n">
        <v>0</v>
      </c>
      <c r="K804" t="n">
        <v>0</v>
      </c>
      <c r="L804" t="n">
        <v>0</v>
      </c>
      <c r="M804" t="n">
        <v>0</v>
      </c>
      <c r="N804" t="n">
        <v>0</v>
      </c>
      <c r="O804" t="n">
        <v>0</v>
      </c>
      <c r="P804" t="n">
        <v>0</v>
      </c>
      <c r="Q804" t="n">
        <v>0</v>
      </c>
      <c r="R804" s="2" t="inlineStr"/>
    </row>
    <row r="805" ht="15" customHeight="1">
      <c r="A805" t="inlineStr">
        <is>
          <t>A 70183-2018</t>
        </is>
      </c>
      <c r="B805" s="1" t="n">
        <v>43448</v>
      </c>
      <c r="C805" s="1" t="n">
        <v>45357</v>
      </c>
      <c r="D805" t="inlineStr">
        <is>
          <t>GÄVLEBORGS LÄN</t>
        </is>
      </c>
      <c r="E805" t="inlineStr">
        <is>
          <t>OCKELBO</t>
        </is>
      </c>
      <c r="G805" t="n">
        <v>1.2</v>
      </c>
      <c r="H805" t="n">
        <v>0</v>
      </c>
      <c r="I805" t="n">
        <v>0</v>
      </c>
      <c r="J805" t="n">
        <v>0</v>
      </c>
      <c r="K805" t="n">
        <v>0</v>
      </c>
      <c r="L805" t="n">
        <v>0</v>
      </c>
      <c r="M805" t="n">
        <v>0</v>
      </c>
      <c r="N805" t="n">
        <v>0</v>
      </c>
      <c r="O805" t="n">
        <v>0</v>
      </c>
      <c r="P805" t="n">
        <v>0</v>
      </c>
      <c r="Q805" t="n">
        <v>0</v>
      </c>
      <c r="R805" s="2" t="inlineStr"/>
    </row>
    <row r="806" ht="15" customHeight="1">
      <c r="A806" t="inlineStr">
        <is>
          <t>A 70238-2018</t>
        </is>
      </c>
      <c r="B806" s="1" t="n">
        <v>43448</v>
      </c>
      <c r="C806" s="1" t="n">
        <v>45357</v>
      </c>
      <c r="D806" t="inlineStr">
        <is>
          <t>GÄVLEBORGS LÄN</t>
        </is>
      </c>
      <c r="E806" t="inlineStr">
        <is>
          <t>NORDANSTIG</t>
        </is>
      </c>
      <c r="G806" t="n">
        <v>1.5</v>
      </c>
      <c r="H806" t="n">
        <v>0</v>
      </c>
      <c r="I806" t="n">
        <v>0</v>
      </c>
      <c r="J806" t="n">
        <v>0</v>
      </c>
      <c r="K806" t="n">
        <v>0</v>
      </c>
      <c r="L806" t="n">
        <v>0</v>
      </c>
      <c r="M806" t="n">
        <v>0</v>
      </c>
      <c r="N806" t="n">
        <v>0</v>
      </c>
      <c r="O806" t="n">
        <v>0</v>
      </c>
      <c r="P806" t="n">
        <v>0</v>
      </c>
      <c r="Q806" t="n">
        <v>0</v>
      </c>
      <c r="R806" s="2" t="inlineStr"/>
    </row>
    <row r="807" ht="15" customHeight="1">
      <c r="A807" t="inlineStr">
        <is>
          <t>A 70128-2018</t>
        </is>
      </c>
      <c r="B807" s="1" t="n">
        <v>43448</v>
      </c>
      <c r="C807" s="1" t="n">
        <v>45357</v>
      </c>
      <c r="D807" t="inlineStr">
        <is>
          <t>GÄVLEBORGS LÄN</t>
        </is>
      </c>
      <c r="E807" t="inlineStr">
        <is>
          <t>OCKELBO</t>
        </is>
      </c>
      <c r="G807" t="n">
        <v>0.7</v>
      </c>
      <c r="H807" t="n">
        <v>0</v>
      </c>
      <c r="I807" t="n">
        <v>0</v>
      </c>
      <c r="J807" t="n">
        <v>0</v>
      </c>
      <c r="K807" t="n">
        <v>0</v>
      </c>
      <c r="L807" t="n">
        <v>0</v>
      </c>
      <c r="M807" t="n">
        <v>0</v>
      </c>
      <c r="N807" t="n">
        <v>0</v>
      </c>
      <c r="O807" t="n">
        <v>0</v>
      </c>
      <c r="P807" t="n">
        <v>0</v>
      </c>
      <c r="Q807" t="n">
        <v>0</v>
      </c>
      <c r="R807" s="2" t="inlineStr"/>
    </row>
    <row r="808" ht="15" customHeight="1">
      <c r="A808" t="inlineStr">
        <is>
          <t>A 70211-2018</t>
        </is>
      </c>
      <c r="B808" s="1" t="n">
        <v>43448</v>
      </c>
      <c r="C808" s="1" t="n">
        <v>45357</v>
      </c>
      <c r="D808" t="inlineStr">
        <is>
          <t>GÄVLEBORGS LÄN</t>
        </is>
      </c>
      <c r="E808" t="inlineStr">
        <is>
          <t>HUDIKSVALL</t>
        </is>
      </c>
      <c r="G808" t="n">
        <v>2.3</v>
      </c>
      <c r="H808" t="n">
        <v>0</v>
      </c>
      <c r="I808" t="n">
        <v>0</v>
      </c>
      <c r="J808" t="n">
        <v>0</v>
      </c>
      <c r="K808" t="n">
        <v>0</v>
      </c>
      <c r="L808" t="n">
        <v>0</v>
      </c>
      <c r="M808" t="n">
        <v>0</v>
      </c>
      <c r="N808" t="n">
        <v>0</v>
      </c>
      <c r="O808" t="n">
        <v>0</v>
      </c>
      <c r="P808" t="n">
        <v>0</v>
      </c>
      <c r="Q808" t="n">
        <v>0</v>
      </c>
      <c r="R808" s="2" t="inlineStr"/>
    </row>
    <row r="809" ht="15" customHeight="1">
      <c r="A809" t="inlineStr">
        <is>
          <t>A 70236-2018</t>
        </is>
      </c>
      <c r="B809" s="1" t="n">
        <v>43448</v>
      </c>
      <c r="C809" s="1" t="n">
        <v>45357</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70153-2018</t>
        </is>
      </c>
      <c r="B810" s="1" t="n">
        <v>43448</v>
      </c>
      <c r="C810" s="1" t="n">
        <v>45357</v>
      </c>
      <c r="D810" t="inlineStr">
        <is>
          <t>GÄVLEBORGS LÄN</t>
        </is>
      </c>
      <c r="E810" t="inlineStr">
        <is>
          <t>LJUSDAL</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70038-2018</t>
        </is>
      </c>
      <c r="B811" s="1" t="n">
        <v>43448</v>
      </c>
      <c r="C811" s="1" t="n">
        <v>45357</v>
      </c>
      <c r="D811" t="inlineStr">
        <is>
          <t>GÄVLEBORGS LÄN</t>
        </is>
      </c>
      <c r="E811" t="inlineStr">
        <is>
          <t>OCKELBO</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1260-2019</t>
        </is>
      </c>
      <c r="B812" s="1" t="n">
        <v>43448</v>
      </c>
      <c r="C812" s="1" t="n">
        <v>45357</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70283-2018</t>
        </is>
      </c>
      <c r="B813" s="1" t="n">
        <v>43449</v>
      </c>
      <c r="C813" s="1" t="n">
        <v>45357</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70742-2018</t>
        </is>
      </c>
      <c r="B814" s="1" t="n">
        <v>43451</v>
      </c>
      <c r="C814" s="1" t="n">
        <v>45357</v>
      </c>
      <c r="D814" t="inlineStr">
        <is>
          <t>GÄVLEBORGS LÄN</t>
        </is>
      </c>
      <c r="E814" t="inlineStr">
        <is>
          <t>OVANÅKER</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70768-2018</t>
        </is>
      </c>
      <c r="B815" s="1" t="n">
        <v>43451</v>
      </c>
      <c r="C815" s="1" t="n">
        <v>45357</v>
      </c>
      <c r="D815" t="inlineStr">
        <is>
          <t>GÄVLEBORGS LÄN</t>
        </is>
      </c>
      <c r="E815" t="inlineStr">
        <is>
          <t>OCKELBO</t>
        </is>
      </c>
      <c r="G815" t="n">
        <v>2.4</v>
      </c>
      <c r="H815" t="n">
        <v>0</v>
      </c>
      <c r="I815" t="n">
        <v>0</v>
      </c>
      <c r="J815" t="n">
        <v>0</v>
      </c>
      <c r="K815" t="n">
        <v>0</v>
      </c>
      <c r="L815" t="n">
        <v>0</v>
      </c>
      <c r="M815" t="n">
        <v>0</v>
      </c>
      <c r="N815" t="n">
        <v>0</v>
      </c>
      <c r="O815" t="n">
        <v>0</v>
      </c>
      <c r="P815" t="n">
        <v>0</v>
      </c>
      <c r="Q815" t="n">
        <v>0</v>
      </c>
      <c r="R815" s="2" t="inlineStr"/>
    </row>
    <row r="816" ht="15" customHeight="1">
      <c r="A816" t="inlineStr">
        <is>
          <t>A 70731-2018</t>
        </is>
      </c>
      <c r="B816" s="1" t="n">
        <v>43451</v>
      </c>
      <c r="C816" s="1" t="n">
        <v>45357</v>
      </c>
      <c r="D816" t="inlineStr">
        <is>
          <t>GÄVLEBORGS LÄN</t>
        </is>
      </c>
      <c r="E816" t="inlineStr">
        <is>
          <t>OVANÅKER</t>
        </is>
      </c>
      <c r="G816" t="n">
        <v>1.5</v>
      </c>
      <c r="H816" t="n">
        <v>0</v>
      </c>
      <c r="I816" t="n">
        <v>0</v>
      </c>
      <c r="J816" t="n">
        <v>0</v>
      </c>
      <c r="K816" t="n">
        <v>0</v>
      </c>
      <c r="L816" t="n">
        <v>0</v>
      </c>
      <c r="M816" t="n">
        <v>0</v>
      </c>
      <c r="N816" t="n">
        <v>0</v>
      </c>
      <c r="O816" t="n">
        <v>0</v>
      </c>
      <c r="P816" t="n">
        <v>0</v>
      </c>
      <c r="Q816" t="n">
        <v>0</v>
      </c>
      <c r="R816" s="2" t="inlineStr"/>
    </row>
    <row r="817" ht="15" customHeight="1">
      <c r="A817" t="inlineStr">
        <is>
          <t>A 70699-2018</t>
        </is>
      </c>
      <c r="B817" s="1" t="n">
        <v>43451</v>
      </c>
      <c r="C817" s="1" t="n">
        <v>45357</v>
      </c>
      <c r="D817" t="inlineStr">
        <is>
          <t>GÄVLEBORGS LÄN</t>
        </is>
      </c>
      <c r="E817" t="inlineStr">
        <is>
          <t>HOFORS</t>
        </is>
      </c>
      <c r="G817" t="n">
        <v>1.6</v>
      </c>
      <c r="H817" t="n">
        <v>0</v>
      </c>
      <c r="I817" t="n">
        <v>0</v>
      </c>
      <c r="J817" t="n">
        <v>0</v>
      </c>
      <c r="K817" t="n">
        <v>0</v>
      </c>
      <c r="L817" t="n">
        <v>0</v>
      </c>
      <c r="M817" t="n">
        <v>0</v>
      </c>
      <c r="N817" t="n">
        <v>0</v>
      </c>
      <c r="O817" t="n">
        <v>0</v>
      </c>
      <c r="P817" t="n">
        <v>0</v>
      </c>
      <c r="Q817" t="n">
        <v>0</v>
      </c>
      <c r="R817" s="2" t="inlineStr"/>
    </row>
    <row r="818" ht="15" customHeight="1">
      <c r="A818" t="inlineStr">
        <is>
          <t>A 71732-2018</t>
        </is>
      </c>
      <c r="B818" s="1" t="n">
        <v>43451</v>
      </c>
      <c r="C818" s="1" t="n">
        <v>45357</v>
      </c>
      <c r="D818" t="inlineStr">
        <is>
          <t>GÄVLEBORGS LÄN</t>
        </is>
      </c>
      <c r="E818" t="inlineStr">
        <is>
          <t>OVANÅKER</t>
        </is>
      </c>
      <c r="G818" t="n">
        <v>15.6</v>
      </c>
      <c r="H818" t="n">
        <v>0</v>
      </c>
      <c r="I818" t="n">
        <v>0</v>
      </c>
      <c r="J818" t="n">
        <v>0</v>
      </c>
      <c r="K818" t="n">
        <v>0</v>
      </c>
      <c r="L818" t="n">
        <v>0</v>
      </c>
      <c r="M818" t="n">
        <v>0</v>
      </c>
      <c r="N818" t="n">
        <v>0</v>
      </c>
      <c r="O818" t="n">
        <v>0</v>
      </c>
      <c r="P818" t="n">
        <v>0</v>
      </c>
      <c r="Q818" t="n">
        <v>0</v>
      </c>
      <c r="R818" s="2" t="inlineStr"/>
    </row>
    <row r="819" ht="15" customHeight="1">
      <c r="A819" t="inlineStr">
        <is>
          <t>A 71220-2018</t>
        </is>
      </c>
      <c r="B819" s="1" t="n">
        <v>43451</v>
      </c>
      <c r="C819" s="1" t="n">
        <v>45357</v>
      </c>
      <c r="D819" t="inlineStr">
        <is>
          <t>GÄVLEBORGS LÄN</t>
        </is>
      </c>
      <c r="E819" t="inlineStr">
        <is>
          <t>OVANÅKER</t>
        </is>
      </c>
      <c r="G819" t="n">
        <v>9.5</v>
      </c>
      <c r="H819" t="n">
        <v>0</v>
      </c>
      <c r="I819" t="n">
        <v>0</v>
      </c>
      <c r="J819" t="n">
        <v>0</v>
      </c>
      <c r="K819" t="n">
        <v>0</v>
      </c>
      <c r="L819" t="n">
        <v>0</v>
      </c>
      <c r="M819" t="n">
        <v>0</v>
      </c>
      <c r="N819" t="n">
        <v>0</v>
      </c>
      <c r="O819" t="n">
        <v>0</v>
      </c>
      <c r="P819" t="n">
        <v>0</v>
      </c>
      <c r="Q819" t="n">
        <v>0</v>
      </c>
      <c r="R819" s="2" t="inlineStr"/>
    </row>
    <row r="820" ht="15" customHeight="1">
      <c r="A820" t="inlineStr">
        <is>
          <t>A 71212-2018</t>
        </is>
      </c>
      <c r="B820" s="1" t="n">
        <v>43451</v>
      </c>
      <c r="C820" s="1" t="n">
        <v>45357</v>
      </c>
      <c r="D820" t="inlineStr">
        <is>
          <t>GÄVLEBORGS LÄN</t>
        </is>
      </c>
      <c r="E820" t="inlineStr">
        <is>
          <t>OVANÅKER</t>
        </is>
      </c>
      <c r="G820" t="n">
        <v>2</v>
      </c>
      <c r="H820" t="n">
        <v>0</v>
      </c>
      <c r="I820" t="n">
        <v>0</v>
      </c>
      <c r="J820" t="n">
        <v>0</v>
      </c>
      <c r="K820" t="n">
        <v>0</v>
      </c>
      <c r="L820" t="n">
        <v>0</v>
      </c>
      <c r="M820" t="n">
        <v>0</v>
      </c>
      <c r="N820" t="n">
        <v>0</v>
      </c>
      <c r="O820" t="n">
        <v>0</v>
      </c>
      <c r="P820" t="n">
        <v>0</v>
      </c>
      <c r="Q820" t="n">
        <v>0</v>
      </c>
      <c r="R820" s="2" t="inlineStr"/>
    </row>
    <row r="821" ht="15" customHeight="1">
      <c r="A821" t="inlineStr">
        <is>
          <t>A 70961-2018</t>
        </is>
      </c>
      <c r="B821" s="1" t="n">
        <v>43452</v>
      </c>
      <c r="C821" s="1" t="n">
        <v>45357</v>
      </c>
      <c r="D821" t="inlineStr">
        <is>
          <t>GÄVLEBORGS LÄN</t>
        </is>
      </c>
      <c r="E821" t="inlineStr">
        <is>
          <t>BOLLNÄS</t>
        </is>
      </c>
      <c r="G821" t="n">
        <v>1</v>
      </c>
      <c r="H821" t="n">
        <v>0</v>
      </c>
      <c r="I821" t="n">
        <v>0</v>
      </c>
      <c r="J821" t="n">
        <v>0</v>
      </c>
      <c r="K821" t="n">
        <v>0</v>
      </c>
      <c r="L821" t="n">
        <v>0</v>
      </c>
      <c r="M821" t="n">
        <v>0</v>
      </c>
      <c r="N821" t="n">
        <v>0</v>
      </c>
      <c r="O821" t="n">
        <v>0</v>
      </c>
      <c r="P821" t="n">
        <v>0</v>
      </c>
      <c r="Q821" t="n">
        <v>0</v>
      </c>
      <c r="R821" s="2" t="inlineStr"/>
    </row>
    <row r="822" ht="15" customHeight="1">
      <c r="A822" t="inlineStr">
        <is>
          <t>A 71015-2018</t>
        </is>
      </c>
      <c r="B822" s="1" t="n">
        <v>43452</v>
      </c>
      <c r="C822" s="1" t="n">
        <v>45357</v>
      </c>
      <c r="D822" t="inlineStr">
        <is>
          <t>GÄVLEBORGS LÄN</t>
        </is>
      </c>
      <c r="E822" t="inlineStr">
        <is>
          <t>NORDANSTIG</t>
        </is>
      </c>
      <c r="G822" t="n">
        <v>1.6</v>
      </c>
      <c r="H822" t="n">
        <v>0</v>
      </c>
      <c r="I822" t="n">
        <v>0</v>
      </c>
      <c r="J822" t="n">
        <v>0</v>
      </c>
      <c r="K822" t="n">
        <v>0</v>
      </c>
      <c r="L822" t="n">
        <v>0</v>
      </c>
      <c r="M822" t="n">
        <v>0</v>
      </c>
      <c r="N822" t="n">
        <v>0</v>
      </c>
      <c r="O822" t="n">
        <v>0</v>
      </c>
      <c r="P822" t="n">
        <v>0</v>
      </c>
      <c r="Q822" t="n">
        <v>0</v>
      </c>
      <c r="R822" s="2" t="inlineStr"/>
    </row>
    <row r="823" ht="15" customHeight="1">
      <c r="A823" t="inlineStr">
        <is>
          <t>A 70865-2018</t>
        </is>
      </c>
      <c r="B823" s="1" t="n">
        <v>43452</v>
      </c>
      <c r="C823" s="1" t="n">
        <v>45357</v>
      </c>
      <c r="D823" t="inlineStr">
        <is>
          <t>GÄVLEBORGS LÄN</t>
        </is>
      </c>
      <c r="E823" t="inlineStr">
        <is>
          <t>LJUSDAL</t>
        </is>
      </c>
      <c r="G823" t="n">
        <v>11.7</v>
      </c>
      <c r="H823" t="n">
        <v>0</v>
      </c>
      <c r="I823" t="n">
        <v>0</v>
      </c>
      <c r="J823" t="n">
        <v>0</v>
      </c>
      <c r="K823" t="n">
        <v>0</v>
      </c>
      <c r="L823" t="n">
        <v>0</v>
      </c>
      <c r="M823" t="n">
        <v>0</v>
      </c>
      <c r="N823" t="n">
        <v>0</v>
      </c>
      <c r="O823" t="n">
        <v>0</v>
      </c>
      <c r="P823" t="n">
        <v>0</v>
      </c>
      <c r="Q823" t="n">
        <v>0</v>
      </c>
      <c r="R823" s="2" t="inlineStr"/>
    </row>
    <row r="824" ht="15" customHeight="1">
      <c r="A824" t="inlineStr">
        <is>
          <t>A 71032-2018</t>
        </is>
      </c>
      <c r="B824" s="1" t="n">
        <v>43452</v>
      </c>
      <c r="C824" s="1" t="n">
        <v>45357</v>
      </c>
      <c r="D824" t="inlineStr">
        <is>
          <t>GÄVLEBORGS LÄN</t>
        </is>
      </c>
      <c r="E824" t="inlineStr">
        <is>
          <t>LJUSDAL</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70818-2018</t>
        </is>
      </c>
      <c r="B825" s="1" t="n">
        <v>43452</v>
      </c>
      <c r="C825" s="1" t="n">
        <v>45357</v>
      </c>
      <c r="D825" t="inlineStr">
        <is>
          <t>GÄVLEBORGS LÄN</t>
        </is>
      </c>
      <c r="E825" t="inlineStr">
        <is>
          <t>NORDANSTIG</t>
        </is>
      </c>
      <c r="G825" t="n">
        <v>1.6</v>
      </c>
      <c r="H825" t="n">
        <v>0</v>
      </c>
      <c r="I825" t="n">
        <v>0</v>
      </c>
      <c r="J825" t="n">
        <v>0</v>
      </c>
      <c r="K825" t="n">
        <v>0</v>
      </c>
      <c r="L825" t="n">
        <v>0</v>
      </c>
      <c r="M825" t="n">
        <v>0</v>
      </c>
      <c r="N825" t="n">
        <v>0</v>
      </c>
      <c r="O825" t="n">
        <v>0</v>
      </c>
      <c r="P825" t="n">
        <v>0</v>
      </c>
      <c r="Q825" t="n">
        <v>0</v>
      </c>
      <c r="R825" s="2" t="inlineStr"/>
    </row>
    <row r="826" ht="15" customHeight="1">
      <c r="A826" t="inlineStr">
        <is>
          <t>A 71109-2018</t>
        </is>
      </c>
      <c r="B826" s="1" t="n">
        <v>43452</v>
      </c>
      <c r="C826" s="1" t="n">
        <v>45357</v>
      </c>
      <c r="D826" t="inlineStr">
        <is>
          <t>GÄVLEBORGS LÄN</t>
        </is>
      </c>
      <c r="E826" t="inlineStr">
        <is>
          <t>SANDVIKEN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71021-2018</t>
        </is>
      </c>
      <c r="B827" s="1" t="n">
        <v>43452</v>
      </c>
      <c r="C827" s="1" t="n">
        <v>45357</v>
      </c>
      <c r="D827" t="inlineStr">
        <is>
          <t>GÄVLEBORGS LÄN</t>
        </is>
      </c>
      <c r="E827" t="inlineStr">
        <is>
          <t>HUDIKSVALL</t>
        </is>
      </c>
      <c r="G827" t="n">
        <v>2.2</v>
      </c>
      <c r="H827" t="n">
        <v>0</v>
      </c>
      <c r="I827" t="n">
        <v>0</v>
      </c>
      <c r="J827" t="n">
        <v>0</v>
      </c>
      <c r="K827" t="n">
        <v>0</v>
      </c>
      <c r="L827" t="n">
        <v>0</v>
      </c>
      <c r="M827" t="n">
        <v>0</v>
      </c>
      <c r="N827" t="n">
        <v>0</v>
      </c>
      <c r="O827" t="n">
        <v>0</v>
      </c>
      <c r="P827" t="n">
        <v>0</v>
      </c>
      <c r="Q827" t="n">
        <v>0</v>
      </c>
      <c r="R827" s="2" t="inlineStr"/>
    </row>
    <row r="828" ht="15" customHeight="1">
      <c r="A828" t="inlineStr">
        <is>
          <t>A 70963-2018</t>
        </is>
      </c>
      <c r="B828" s="1" t="n">
        <v>43452</v>
      </c>
      <c r="C828" s="1" t="n">
        <v>45357</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71464-2018</t>
        </is>
      </c>
      <c r="B829" s="1" t="n">
        <v>43453</v>
      </c>
      <c r="C829" s="1" t="n">
        <v>45357</v>
      </c>
      <c r="D829" t="inlineStr">
        <is>
          <t>GÄVLEBORGS LÄN</t>
        </is>
      </c>
      <c r="E829" t="inlineStr">
        <is>
          <t>SANDVIKEN</t>
        </is>
      </c>
      <c r="G829" t="n">
        <v>0.6</v>
      </c>
      <c r="H829" t="n">
        <v>0</v>
      </c>
      <c r="I829" t="n">
        <v>0</v>
      </c>
      <c r="J829" t="n">
        <v>0</v>
      </c>
      <c r="K829" t="n">
        <v>0</v>
      </c>
      <c r="L829" t="n">
        <v>0</v>
      </c>
      <c r="M829" t="n">
        <v>0</v>
      </c>
      <c r="N829" t="n">
        <v>0</v>
      </c>
      <c r="O829" t="n">
        <v>0</v>
      </c>
      <c r="P829" t="n">
        <v>0</v>
      </c>
      <c r="Q829" t="n">
        <v>0</v>
      </c>
      <c r="R829" s="2" t="inlineStr"/>
    </row>
    <row r="830" ht="15" customHeight="1">
      <c r="A830" t="inlineStr">
        <is>
          <t>A 71237-2018</t>
        </is>
      </c>
      <c r="B830" s="1" t="n">
        <v>43453</v>
      </c>
      <c r="C830" s="1" t="n">
        <v>45357</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71498-2018</t>
        </is>
      </c>
      <c r="B831" s="1" t="n">
        <v>43453</v>
      </c>
      <c r="C831" s="1" t="n">
        <v>45357</v>
      </c>
      <c r="D831" t="inlineStr">
        <is>
          <t>GÄVLEBORGS LÄN</t>
        </is>
      </c>
      <c r="E831" t="inlineStr">
        <is>
          <t>GÄVLE</t>
        </is>
      </c>
      <c r="G831" t="n">
        <v>0.2</v>
      </c>
      <c r="H831" t="n">
        <v>0</v>
      </c>
      <c r="I831" t="n">
        <v>0</v>
      </c>
      <c r="J831" t="n">
        <v>0</v>
      </c>
      <c r="K831" t="n">
        <v>0</v>
      </c>
      <c r="L831" t="n">
        <v>0</v>
      </c>
      <c r="M831" t="n">
        <v>0</v>
      </c>
      <c r="N831" t="n">
        <v>0</v>
      </c>
      <c r="O831" t="n">
        <v>0</v>
      </c>
      <c r="P831" t="n">
        <v>0</v>
      </c>
      <c r="Q831" t="n">
        <v>0</v>
      </c>
      <c r="R831" s="2" t="inlineStr"/>
    </row>
    <row r="832" ht="15" customHeight="1">
      <c r="A832" t="inlineStr">
        <is>
          <t>A 71669-2018</t>
        </is>
      </c>
      <c r="B832" s="1" t="n">
        <v>43454</v>
      </c>
      <c r="C832" s="1" t="n">
        <v>45357</v>
      </c>
      <c r="D832" t="inlineStr">
        <is>
          <t>GÄVLEBORGS LÄN</t>
        </is>
      </c>
      <c r="E832" t="inlineStr">
        <is>
          <t>OVANÅKER</t>
        </is>
      </c>
      <c r="G832" t="n">
        <v>15.2</v>
      </c>
      <c r="H832" t="n">
        <v>0</v>
      </c>
      <c r="I832" t="n">
        <v>0</v>
      </c>
      <c r="J832" t="n">
        <v>0</v>
      </c>
      <c r="K832" t="n">
        <v>0</v>
      </c>
      <c r="L832" t="n">
        <v>0</v>
      </c>
      <c r="M832" t="n">
        <v>0</v>
      </c>
      <c r="N832" t="n">
        <v>0</v>
      </c>
      <c r="O832" t="n">
        <v>0</v>
      </c>
      <c r="P832" t="n">
        <v>0</v>
      </c>
      <c r="Q832" t="n">
        <v>0</v>
      </c>
      <c r="R832" s="2" t="inlineStr"/>
    </row>
    <row r="833" ht="15" customHeight="1">
      <c r="A833" t="inlineStr">
        <is>
          <t>A 71679-2018</t>
        </is>
      </c>
      <c r="B833" s="1" t="n">
        <v>43454</v>
      </c>
      <c r="C833" s="1" t="n">
        <v>45357</v>
      </c>
      <c r="D833" t="inlineStr">
        <is>
          <t>GÄVLEBORGS LÄN</t>
        </is>
      </c>
      <c r="E833" t="inlineStr">
        <is>
          <t>OVANÅKER</t>
        </is>
      </c>
      <c r="G833" t="n">
        <v>8.6</v>
      </c>
      <c r="H833" t="n">
        <v>0</v>
      </c>
      <c r="I833" t="n">
        <v>0</v>
      </c>
      <c r="J833" t="n">
        <v>0</v>
      </c>
      <c r="K833" t="n">
        <v>0</v>
      </c>
      <c r="L833" t="n">
        <v>0</v>
      </c>
      <c r="M833" t="n">
        <v>0</v>
      </c>
      <c r="N833" t="n">
        <v>0</v>
      </c>
      <c r="O833" t="n">
        <v>0</v>
      </c>
      <c r="P833" t="n">
        <v>0</v>
      </c>
      <c r="Q833" t="n">
        <v>0</v>
      </c>
      <c r="R833" s="2" t="inlineStr"/>
    </row>
    <row r="834" ht="15" customHeight="1">
      <c r="A834" t="inlineStr">
        <is>
          <t>A 71714-2018</t>
        </is>
      </c>
      <c r="B834" s="1" t="n">
        <v>43454</v>
      </c>
      <c r="C834" s="1" t="n">
        <v>45357</v>
      </c>
      <c r="D834" t="inlineStr">
        <is>
          <t>GÄVLEBORGS LÄN</t>
        </is>
      </c>
      <c r="E834" t="inlineStr">
        <is>
          <t>NORDANSTIG</t>
        </is>
      </c>
      <c r="G834" t="n">
        <v>1.4</v>
      </c>
      <c r="H834" t="n">
        <v>0</v>
      </c>
      <c r="I834" t="n">
        <v>0</v>
      </c>
      <c r="J834" t="n">
        <v>0</v>
      </c>
      <c r="K834" t="n">
        <v>0</v>
      </c>
      <c r="L834" t="n">
        <v>0</v>
      </c>
      <c r="M834" t="n">
        <v>0</v>
      </c>
      <c r="N834" t="n">
        <v>0</v>
      </c>
      <c r="O834" t="n">
        <v>0</v>
      </c>
      <c r="P834" t="n">
        <v>0</v>
      </c>
      <c r="Q834" t="n">
        <v>0</v>
      </c>
      <c r="R834" s="2" t="inlineStr"/>
    </row>
    <row r="835" ht="15" customHeight="1">
      <c r="A835" t="inlineStr">
        <is>
          <t>A 71733-2018</t>
        </is>
      </c>
      <c r="B835" s="1" t="n">
        <v>43454</v>
      </c>
      <c r="C835" s="1" t="n">
        <v>45357</v>
      </c>
      <c r="D835" t="inlineStr">
        <is>
          <t>GÄVLEBORGS LÄN</t>
        </is>
      </c>
      <c r="E835" t="inlineStr">
        <is>
          <t>HUDIKSVALL</t>
        </is>
      </c>
      <c r="G835" t="n">
        <v>0.4</v>
      </c>
      <c r="H835" t="n">
        <v>0</v>
      </c>
      <c r="I835" t="n">
        <v>0</v>
      </c>
      <c r="J835" t="n">
        <v>0</v>
      </c>
      <c r="K835" t="n">
        <v>0</v>
      </c>
      <c r="L835" t="n">
        <v>0</v>
      </c>
      <c r="M835" t="n">
        <v>0</v>
      </c>
      <c r="N835" t="n">
        <v>0</v>
      </c>
      <c r="O835" t="n">
        <v>0</v>
      </c>
      <c r="P835" t="n">
        <v>0</v>
      </c>
      <c r="Q835" t="n">
        <v>0</v>
      </c>
      <c r="R835" s="2" t="inlineStr"/>
    </row>
    <row r="836" ht="15" customHeight="1">
      <c r="A836" t="inlineStr">
        <is>
          <t>A 71573-2018</t>
        </is>
      </c>
      <c r="B836" s="1" t="n">
        <v>43454</v>
      </c>
      <c r="C836" s="1" t="n">
        <v>45357</v>
      </c>
      <c r="D836" t="inlineStr">
        <is>
          <t>GÄVLEBORGS LÄN</t>
        </is>
      </c>
      <c r="E836" t="inlineStr">
        <is>
          <t>SÖDERHAMN</t>
        </is>
      </c>
      <c r="G836" t="n">
        <v>2.2</v>
      </c>
      <c r="H836" t="n">
        <v>0</v>
      </c>
      <c r="I836" t="n">
        <v>0</v>
      </c>
      <c r="J836" t="n">
        <v>0</v>
      </c>
      <c r="K836" t="n">
        <v>0</v>
      </c>
      <c r="L836" t="n">
        <v>0</v>
      </c>
      <c r="M836" t="n">
        <v>0</v>
      </c>
      <c r="N836" t="n">
        <v>0</v>
      </c>
      <c r="O836" t="n">
        <v>0</v>
      </c>
      <c r="P836" t="n">
        <v>0</v>
      </c>
      <c r="Q836" t="n">
        <v>0</v>
      </c>
      <c r="R836" s="2" t="inlineStr"/>
    </row>
    <row r="837" ht="15" customHeight="1">
      <c r="A837" t="inlineStr">
        <is>
          <t>A 71808-2018</t>
        </is>
      </c>
      <c r="B837" s="1" t="n">
        <v>43454</v>
      </c>
      <c r="C837" s="1" t="n">
        <v>45357</v>
      </c>
      <c r="D837" t="inlineStr">
        <is>
          <t>GÄVLEBORGS LÄN</t>
        </is>
      </c>
      <c r="E837" t="inlineStr">
        <is>
          <t>BOLLNÄS</t>
        </is>
      </c>
      <c r="G837" t="n">
        <v>0.3</v>
      </c>
      <c r="H837" t="n">
        <v>0</v>
      </c>
      <c r="I837" t="n">
        <v>0</v>
      </c>
      <c r="J837" t="n">
        <v>0</v>
      </c>
      <c r="K837" t="n">
        <v>0</v>
      </c>
      <c r="L837" t="n">
        <v>0</v>
      </c>
      <c r="M837" t="n">
        <v>0</v>
      </c>
      <c r="N837" t="n">
        <v>0</v>
      </c>
      <c r="O837" t="n">
        <v>0</v>
      </c>
      <c r="P837" t="n">
        <v>0</v>
      </c>
      <c r="Q837" t="n">
        <v>0</v>
      </c>
      <c r="R837" s="2" t="inlineStr"/>
    </row>
    <row r="838" ht="15" customHeight="1">
      <c r="A838" t="inlineStr">
        <is>
          <t>A 71687-2018</t>
        </is>
      </c>
      <c r="B838" s="1" t="n">
        <v>43454</v>
      </c>
      <c r="C838" s="1" t="n">
        <v>45357</v>
      </c>
      <c r="D838" t="inlineStr">
        <is>
          <t>GÄVLEBORGS LÄN</t>
        </is>
      </c>
      <c r="E838" t="inlineStr">
        <is>
          <t>OVANÅKER</t>
        </is>
      </c>
      <c r="G838" t="n">
        <v>2.2</v>
      </c>
      <c r="H838" t="n">
        <v>0</v>
      </c>
      <c r="I838" t="n">
        <v>0</v>
      </c>
      <c r="J838" t="n">
        <v>0</v>
      </c>
      <c r="K838" t="n">
        <v>0</v>
      </c>
      <c r="L838" t="n">
        <v>0</v>
      </c>
      <c r="M838" t="n">
        <v>0</v>
      </c>
      <c r="N838" t="n">
        <v>0</v>
      </c>
      <c r="O838" t="n">
        <v>0</v>
      </c>
      <c r="P838" t="n">
        <v>0</v>
      </c>
      <c r="Q838" t="n">
        <v>0</v>
      </c>
      <c r="R838" s="2" t="inlineStr"/>
    </row>
    <row r="839" ht="15" customHeight="1">
      <c r="A839" t="inlineStr">
        <is>
          <t>A 71527-2018</t>
        </is>
      </c>
      <c r="B839" s="1" t="n">
        <v>43454</v>
      </c>
      <c r="C839" s="1" t="n">
        <v>45357</v>
      </c>
      <c r="D839" t="inlineStr">
        <is>
          <t>GÄVLEBORGS LÄN</t>
        </is>
      </c>
      <c r="E839" t="inlineStr">
        <is>
          <t>GÄVLE</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72000-2018</t>
        </is>
      </c>
      <c r="B840" s="1" t="n">
        <v>43455</v>
      </c>
      <c r="C840" s="1" t="n">
        <v>45357</v>
      </c>
      <c r="D840" t="inlineStr">
        <is>
          <t>GÄVLEBORGS LÄN</t>
        </is>
      </c>
      <c r="E840" t="inlineStr">
        <is>
          <t>SANDVIKEN</t>
        </is>
      </c>
      <c r="G840" t="n">
        <v>4.9</v>
      </c>
      <c r="H840" t="n">
        <v>0</v>
      </c>
      <c r="I840" t="n">
        <v>0</v>
      </c>
      <c r="J840" t="n">
        <v>0</v>
      </c>
      <c r="K840" t="n">
        <v>0</v>
      </c>
      <c r="L840" t="n">
        <v>0</v>
      </c>
      <c r="M840" t="n">
        <v>0</v>
      </c>
      <c r="N840" t="n">
        <v>0</v>
      </c>
      <c r="O840" t="n">
        <v>0</v>
      </c>
      <c r="P840" t="n">
        <v>0</v>
      </c>
      <c r="Q840" t="n">
        <v>0</v>
      </c>
      <c r="R840" s="2" t="inlineStr"/>
    </row>
    <row r="841" ht="15" customHeight="1">
      <c r="A841" t="inlineStr">
        <is>
          <t>A 72126-2018</t>
        </is>
      </c>
      <c r="B841" s="1" t="n">
        <v>43455</v>
      </c>
      <c r="C841" s="1" t="n">
        <v>45357</v>
      </c>
      <c r="D841" t="inlineStr">
        <is>
          <t>GÄVLEBORGS LÄN</t>
        </is>
      </c>
      <c r="E841" t="inlineStr">
        <is>
          <t>LJUSDAL</t>
        </is>
      </c>
      <c r="G841" t="n">
        <v>2.7</v>
      </c>
      <c r="H841" t="n">
        <v>0</v>
      </c>
      <c r="I841" t="n">
        <v>0</v>
      </c>
      <c r="J841" t="n">
        <v>0</v>
      </c>
      <c r="K841" t="n">
        <v>0</v>
      </c>
      <c r="L841" t="n">
        <v>0</v>
      </c>
      <c r="M841" t="n">
        <v>0</v>
      </c>
      <c r="N841" t="n">
        <v>0</v>
      </c>
      <c r="O841" t="n">
        <v>0</v>
      </c>
      <c r="P841" t="n">
        <v>0</v>
      </c>
      <c r="Q841" t="n">
        <v>0</v>
      </c>
      <c r="R841" s="2" t="inlineStr"/>
    </row>
    <row r="842" ht="15" customHeight="1">
      <c r="A842" t="inlineStr">
        <is>
          <t>A 72140-2018</t>
        </is>
      </c>
      <c r="B842" s="1" t="n">
        <v>43455</v>
      </c>
      <c r="C842" s="1" t="n">
        <v>45357</v>
      </c>
      <c r="D842" t="inlineStr">
        <is>
          <t>GÄVLEBORGS LÄN</t>
        </is>
      </c>
      <c r="E842" t="inlineStr">
        <is>
          <t>SÖDERHAMN</t>
        </is>
      </c>
      <c r="G842" t="n">
        <v>4.1</v>
      </c>
      <c r="H842" t="n">
        <v>0</v>
      </c>
      <c r="I842" t="n">
        <v>0</v>
      </c>
      <c r="J842" t="n">
        <v>0</v>
      </c>
      <c r="K842" t="n">
        <v>0</v>
      </c>
      <c r="L842" t="n">
        <v>0</v>
      </c>
      <c r="M842" t="n">
        <v>0</v>
      </c>
      <c r="N842" t="n">
        <v>0</v>
      </c>
      <c r="O842" t="n">
        <v>0</v>
      </c>
      <c r="P842" t="n">
        <v>0</v>
      </c>
      <c r="Q842" t="n">
        <v>0</v>
      </c>
      <c r="R842" s="2" t="inlineStr"/>
    </row>
    <row r="843" ht="15" customHeight="1">
      <c r="A843" t="inlineStr">
        <is>
          <t>A 643-2019</t>
        </is>
      </c>
      <c r="B843" s="1" t="n">
        <v>43455</v>
      </c>
      <c r="C843" s="1" t="n">
        <v>45357</v>
      </c>
      <c r="D843" t="inlineStr">
        <is>
          <t>GÄVLEBORGS LÄN</t>
        </is>
      </c>
      <c r="E843" t="inlineStr">
        <is>
          <t>LJUSDAL</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791-2019</t>
        </is>
      </c>
      <c r="B844" s="1" t="n">
        <v>43455</v>
      </c>
      <c r="C844" s="1" t="n">
        <v>45357</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72303-2018</t>
        </is>
      </c>
      <c r="B845" s="1" t="n">
        <v>43455</v>
      </c>
      <c r="C845" s="1" t="n">
        <v>45357</v>
      </c>
      <c r="D845" t="inlineStr">
        <is>
          <t>GÄVLEBORGS LÄN</t>
        </is>
      </c>
      <c r="E845" t="inlineStr">
        <is>
          <t>NORDANSTIG</t>
        </is>
      </c>
      <c r="G845" t="n">
        <v>10.7</v>
      </c>
      <c r="H845" t="n">
        <v>0</v>
      </c>
      <c r="I845" t="n">
        <v>0</v>
      </c>
      <c r="J845" t="n">
        <v>0</v>
      </c>
      <c r="K845" t="n">
        <v>0</v>
      </c>
      <c r="L845" t="n">
        <v>0</v>
      </c>
      <c r="M845" t="n">
        <v>0</v>
      </c>
      <c r="N845" t="n">
        <v>0</v>
      </c>
      <c r="O845" t="n">
        <v>0</v>
      </c>
      <c r="P845" t="n">
        <v>0</v>
      </c>
      <c r="Q845" t="n">
        <v>0</v>
      </c>
      <c r="R845" s="2" t="inlineStr"/>
    </row>
    <row r="846" ht="15" customHeight="1">
      <c r="A846" t="inlineStr">
        <is>
          <t>A 71915-2018</t>
        </is>
      </c>
      <c r="B846" s="1" t="n">
        <v>43455</v>
      </c>
      <c r="C846" s="1" t="n">
        <v>45357</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72305-2018</t>
        </is>
      </c>
      <c r="B847" s="1" t="n">
        <v>43455</v>
      </c>
      <c r="C847" s="1" t="n">
        <v>45357</v>
      </c>
      <c r="D847" t="inlineStr">
        <is>
          <t>GÄVLEBORGS LÄN</t>
        </is>
      </c>
      <c r="E847" t="inlineStr">
        <is>
          <t>NORDANSTIG</t>
        </is>
      </c>
      <c r="G847" t="n">
        <v>10.4</v>
      </c>
      <c r="H847" t="n">
        <v>0</v>
      </c>
      <c r="I847" t="n">
        <v>0</v>
      </c>
      <c r="J847" t="n">
        <v>0</v>
      </c>
      <c r="K847" t="n">
        <v>0</v>
      </c>
      <c r="L847" t="n">
        <v>0</v>
      </c>
      <c r="M847" t="n">
        <v>0</v>
      </c>
      <c r="N847" t="n">
        <v>0</v>
      </c>
      <c r="O847" t="n">
        <v>0</v>
      </c>
      <c r="P847" t="n">
        <v>0</v>
      </c>
      <c r="Q847" t="n">
        <v>0</v>
      </c>
      <c r="R847" s="2" t="inlineStr"/>
    </row>
    <row r="848" ht="15" customHeight="1">
      <c r="A848" t="inlineStr">
        <is>
          <t>A 72462-2018</t>
        </is>
      </c>
      <c r="B848" s="1" t="n">
        <v>43461</v>
      </c>
      <c r="C848" s="1" t="n">
        <v>45357</v>
      </c>
      <c r="D848" t="inlineStr">
        <is>
          <t>GÄVLEBORGS LÄN</t>
        </is>
      </c>
      <c r="E848" t="inlineStr">
        <is>
          <t>SÖDERHAMN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1276-2019</t>
        </is>
      </c>
      <c r="B849" s="1" t="n">
        <v>43461</v>
      </c>
      <c r="C849" s="1" t="n">
        <v>45357</v>
      </c>
      <c r="D849" t="inlineStr">
        <is>
          <t>GÄVLEBORGS LÄN</t>
        </is>
      </c>
      <c r="E849" t="inlineStr">
        <is>
          <t>HUDIKSVALL</t>
        </is>
      </c>
      <c r="G849" t="n">
        <v>1.8</v>
      </c>
      <c r="H849" t="n">
        <v>0</v>
      </c>
      <c r="I849" t="n">
        <v>0</v>
      </c>
      <c r="J849" t="n">
        <v>0</v>
      </c>
      <c r="K849" t="n">
        <v>0</v>
      </c>
      <c r="L849" t="n">
        <v>0</v>
      </c>
      <c r="M849" t="n">
        <v>0</v>
      </c>
      <c r="N849" t="n">
        <v>0</v>
      </c>
      <c r="O849" t="n">
        <v>0</v>
      </c>
      <c r="P849" t="n">
        <v>0</v>
      </c>
      <c r="Q849" t="n">
        <v>0</v>
      </c>
      <c r="R849" s="2" t="inlineStr"/>
    </row>
    <row r="850" ht="15" customHeight="1">
      <c r="A850" t="inlineStr">
        <is>
          <t>A 72447-2018</t>
        </is>
      </c>
      <c r="B850" s="1" t="n">
        <v>43461</v>
      </c>
      <c r="C850" s="1" t="n">
        <v>45357</v>
      </c>
      <c r="D850" t="inlineStr">
        <is>
          <t>GÄVLEBORGS LÄN</t>
        </is>
      </c>
      <c r="E850" t="inlineStr">
        <is>
          <t>SÖDERHAMN</t>
        </is>
      </c>
      <c r="G850" t="n">
        <v>3.6</v>
      </c>
      <c r="H850" t="n">
        <v>0</v>
      </c>
      <c r="I850" t="n">
        <v>0</v>
      </c>
      <c r="J850" t="n">
        <v>0</v>
      </c>
      <c r="K850" t="n">
        <v>0</v>
      </c>
      <c r="L850" t="n">
        <v>0</v>
      </c>
      <c r="M850" t="n">
        <v>0</v>
      </c>
      <c r="N850" t="n">
        <v>0</v>
      </c>
      <c r="O850" t="n">
        <v>0</v>
      </c>
      <c r="P850" t="n">
        <v>0</v>
      </c>
      <c r="Q850" t="n">
        <v>0</v>
      </c>
      <c r="R850" s="2" t="inlineStr"/>
    </row>
    <row r="851" ht="15" customHeight="1">
      <c r="A851" t="inlineStr">
        <is>
          <t>A 72461-2018</t>
        </is>
      </c>
      <c r="B851" s="1" t="n">
        <v>43461</v>
      </c>
      <c r="C851" s="1" t="n">
        <v>45357</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72589-2018</t>
        </is>
      </c>
      <c r="B852" s="1" t="n">
        <v>43462</v>
      </c>
      <c r="C852" s="1" t="n">
        <v>45357</v>
      </c>
      <c r="D852" t="inlineStr">
        <is>
          <t>GÄVLEBORGS LÄN</t>
        </is>
      </c>
      <c r="E852" t="inlineStr">
        <is>
          <t>OVANÅKER</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72553-2018</t>
        </is>
      </c>
      <c r="B853" s="1" t="n">
        <v>43462</v>
      </c>
      <c r="C853" s="1" t="n">
        <v>45357</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72583-2018</t>
        </is>
      </c>
      <c r="B854" s="1" t="n">
        <v>43462</v>
      </c>
      <c r="C854" s="1" t="n">
        <v>45357</v>
      </c>
      <c r="D854" t="inlineStr">
        <is>
          <t>GÄVLEBORGS LÄN</t>
        </is>
      </c>
      <c r="E854" t="inlineStr">
        <is>
          <t>OVANÅKER</t>
        </is>
      </c>
      <c r="F854" t="inlineStr">
        <is>
          <t>Bergvik skog väst AB</t>
        </is>
      </c>
      <c r="G854" t="n">
        <v>2.3</v>
      </c>
      <c r="H854" t="n">
        <v>0</v>
      </c>
      <c r="I854" t="n">
        <v>0</v>
      </c>
      <c r="J854" t="n">
        <v>0</v>
      </c>
      <c r="K854" t="n">
        <v>0</v>
      </c>
      <c r="L854" t="n">
        <v>0</v>
      </c>
      <c r="M854" t="n">
        <v>0</v>
      </c>
      <c r="N854" t="n">
        <v>0</v>
      </c>
      <c r="O854" t="n">
        <v>0</v>
      </c>
      <c r="P854" t="n">
        <v>0</v>
      </c>
      <c r="Q854" t="n">
        <v>0</v>
      </c>
      <c r="R854" s="2" t="inlineStr"/>
    </row>
    <row r="855" ht="15" customHeight="1">
      <c r="A855" t="inlineStr">
        <is>
          <t>A 72557-2018</t>
        </is>
      </c>
      <c r="B855" s="1" t="n">
        <v>43462</v>
      </c>
      <c r="C855" s="1" t="n">
        <v>45357</v>
      </c>
      <c r="D855" t="inlineStr">
        <is>
          <t>GÄVLEBORGS LÄN</t>
        </is>
      </c>
      <c r="E855" t="inlineStr">
        <is>
          <t>HUDIKSVALL</t>
        </is>
      </c>
      <c r="G855" t="n">
        <v>0.4</v>
      </c>
      <c r="H855" t="n">
        <v>0</v>
      </c>
      <c r="I855" t="n">
        <v>0</v>
      </c>
      <c r="J855" t="n">
        <v>0</v>
      </c>
      <c r="K855" t="n">
        <v>0</v>
      </c>
      <c r="L855" t="n">
        <v>0</v>
      </c>
      <c r="M855" t="n">
        <v>0</v>
      </c>
      <c r="N855" t="n">
        <v>0</v>
      </c>
      <c r="O855" t="n">
        <v>0</v>
      </c>
      <c r="P855" t="n">
        <v>0</v>
      </c>
      <c r="Q855" t="n">
        <v>0</v>
      </c>
      <c r="R855" s="2" t="inlineStr"/>
    </row>
    <row r="856" ht="15" customHeight="1">
      <c r="A856" t="inlineStr">
        <is>
          <t>A 74-2019</t>
        </is>
      </c>
      <c r="B856" s="1" t="n">
        <v>43467</v>
      </c>
      <c r="C856" s="1" t="n">
        <v>45357</v>
      </c>
      <c r="D856" t="inlineStr">
        <is>
          <t>GÄVLEBORGS LÄN</t>
        </is>
      </c>
      <c r="E856" t="inlineStr">
        <is>
          <t>OVANÅKER</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170-2019</t>
        </is>
      </c>
      <c r="B857" s="1" t="n">
        <v>43467</v>
      </c>
      <c r="C857" s="1" t="n">
        <v>45357</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246-2019</t>
        </is>
      </c>
      <c r="B858" s="1" t="n">
        <v>43467</v>
      </c>
      <c r="C858" s="1" t="n">
        <v>45357</v>
      </c>
      <c r="D858" t="inlineStr">
        <is>
          <t>GÄVLEBORGS LÄN</t>
        </is>
      </c>
      <c r="E858" t="inlineStr">
        <is>
          <t>NORDANSTIG</t>
        </is>
      </c>
      <c r="G858" t="n">
        <v>7.5</v>
      </c>
      <c r="H858" t="n">
        <v>0</v>
      </c>
      <c r="I858" t="n">
        <v>0</v>
      </c>
      <c r="J858" t="n">
        <v>0</v>
      </c>
      <c r="K858" t="n">
        <v>0</v>
      </c>
      <c r="L858" t="n">
        <v>0</v>
      </c>
      <c r="M858" t="n">
        <v>0</v>
      </c>
      <c r="N858" t="n">
        <v>0</v>
      </c>
      <c r="O858" t="n">
        <v>0</v>
      </c>
      <c r="P858" t="n">
        <v>0</v>
      </c>
      <c r="Q858" t="n">
        <v>0</v>
      </c>
      <c r="R858" s="2" t="inlineStr"/>
    </row>
    <row r="859" ht="15" customHeight="1">
      <c r="A859" t="inlineStr">
        <is>
          <t>A 239-2019</t>
        </is>
      </c>
      <c r="B859" s="1" t="n">
        <v>43467</v>
      </c>
      <c r="C859" s="1" t="n">
        <v>45357</v>
      </c>
      <c r="D859" t="inlineStr">
        <is>
          <t>GÄVLEBORGS LÄN</t>
        </is>
      </c>
      <c r="E859" t="inlineStr">
        <is>
          <t>NORDANSTIG</t>
        </is>
      </c>
      <c r="G859" t="n">
        <v>10.7</v>
      </c>
      <c r="H859" t="n">
        <v>0</v>
      </c>
      <c r="I859" t="n">
        <v>0</v>
      </c>
      <c r="J859" t="n">
        <v>0</v>
      </c>
      <c r="K859" t="n">
        <v>0</v>
      </c>
      <c r="L859" t="n">
        <v>0</v>
      </c>
      <c r="M859" t="n">
        <v>0</v>
      </c>
      <c r="N859" t="n">
        <v>0</v>
      </c>
      <c r="O859" t="n">
        <v>0</v>
      </c>
      <c r="P859" t="n">
        <v>0</v>
      </c>
      <c r="Q859" t="n">
        <v>0</v>
      </c>
      <c r="R859" s="2" t="inlineStr"/>
    </row>
    <row r="860" ht="15" customHeight="1">
      <c r="A860" t="inlineStr">
        <is>
          <t>A 244-2019</t>
        </is>
      </c>
      <c r="B860" s="1" t="n">
        <v>43467</v>
      </c>
      <c r="C860" s="1" t="n">
        <v>45357</v>
      </c>
      <c r="D860" t="inlineStr">
        <is>
          <t>GÄVLEBORGS LÄN</t>
        </is>
      </c>
      <c r="E860" t="inlineStr">
        <is>
          <t>NORDANSTIG</t>
        </is>
      </c>
      <c r="G860" t="n">
        <v>0.8</v>
      </c>
      <c r="H860" t="n">
        <v>0</v>
      </c>
      <c r="I860" t="n">
        <v>0</v>
      </c>
      <c r="J860" t="n">
        <v>0</v>
      </c>
      <c r="K860" t="n">
        <v>0</v>
      </c>
      <c r="L860" t="n">
        <v>0</v>
      </c>
      <c r="M860" t="n">
        <v>0</v>
      </c>
      <c r="N860" t="n">
        <v>0</v>
      </c>
      <c r="O860" t="n">
        <v>0</v>
      </c>
      <c r="P860" t="n">
        <v>0</v>
      </c>
      <c r="Q860" t="n">
        <v>0</v>
      </c>
      <c r="R860" s="2" t="inlineStr"/>
    </row>
    <row r="861" ht="15" customHeight="1">
      <c r="A861" t="inlineStr">
        <is>
          <t>A 173-2019</t>
        </is>
      </c>
      <c r="B861" s="1" t="n">
        <v>43467</v>
      </c>
      <c r="C861" s="1" t="n">
        <v>45357</v>
      </c>
      <c r="D861" t="inlineStr">
        <is>
          <t>GÄVLEBORGS LÄN</t>
        </is>
      </c>
      <c r="E861" t="inlineStr">
        <is>
          <t>HUDIKSVALL</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146-2019</t>
        </is>
      </c>
      <c r="B862" s="1" t="n">
        <v>43467</v>
      </c>
      <c r="C862" s="1" t="n">
        <v>45357</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241-2019</t>
        </is>
      </c>
      <c r="B863" s="1" t="n">
        <v>43467</v>
      </c>
      <c r="C863" s="1" t="n">
        <v>45357</v>
      </c>
      <c r="D863" t="inlineStr">
        <is>
          <t>GÄVLEBORGS LÄN</t>
        </is>
      </c>
      <c r="E863" t="inlineStr">
        <is>
          <t>NORDANSTIG</t>
        </is>
      </c>
      <c r="G863" t="n">
        <v>8.6</v>
      </c>
      <c r="H863" t="n">
        <v>0</v>
      </c>
      <c r="I863" t="n">
        <v>0</v>
      </c>
      <c r="J863" t="n">
        <v>0</v>
      </c>
      <c r="K863" t="n">
        <v>0</v>
      </c>
      <c r="L863" t="n">
        <v>0</v>
      </c>
      <c r="M863" t="n">
        <v>0</v>
      </c>
      <c r="N863" t="n">
        <v>0</v>
      </c>
      <c r="O863" t="n">
        <v>0</v>
      </c>
      <c r="P863" t="n">
        <v>0</v>
      </c>
      <c r="Q863" t="n">
        <v>0</v>
      </c>
      <c r="R863" s="2" t="inlineStr"/>
    </row>
    <row r="864" ht="15" customHeight="1">
      <c r="A864" t="inlineStr">
        <is>
          <t>A 245-2019</t>
        </is>
      </c>
      <c r="B864" s="1" t="n">
        <v>43467</v>
      </c>
      <c r="C864" s="1" t="n">
        <v>45357</v>
      </c>
      <c r="D864" t="inlineStr">
        <is>
          <t>GÄVLEBORGS LÄN</t>
        </is>
      </c>
      <c r="E864" t="inlineStr">
        <is>
          <t>NORDANSTIG</t>
        </is>
      </c>
      <c r="G864" t="n">
        <v>1.7</v>
      </c>
      <c r="H864" t="n">
        <v>0</v>
      </c>
      <c r="I864" t="n">
        <v>0</v>
      </c>
      <c r="J864" t="n">
        <v>0</v>
      </c>
      <c r="K864" t="n">
        <v>0</v>
      </c>
      <c r="L864" t="n">
        <v>0</v>
      </c>
      <c r="M864" t="n">
        <v>0</v>
      </c>
      <c r="N864" t="n">
        <v>0</v>
      </c>
      <c r="O864" t="n">
        <v>0</v>
      </c>
      <c r="P864" t="n">
        <v>0</v>
      </c>
      <c r="Q864" t="n">
        <v>0</v>
      </c>
      <c r="R864" s="2" t="inlineStr"/>
    </row>
    <row r="865" ht="15" customHeight="1">
      <c r="A865" t="inlineStr">
        <is>
          <t>A 31-2019</t>
        </is>
      </c>
      <c r="B865" s="1" t="n">
        <v>43467</v>
      </c>
      <c r="C865" s="1" t="n">
        <v>45357</v>
      </c>
      <c r="D865" t="inlineStr">
        <is>
          <t>GÄVLEBORGS LÄN</t>
        </is>
      </c>
      <c r="E865" t="inlineStr">
        <is>
          <t>BOLLNÄS</t>
        </is>
      </c>
      <c r="G865" t="n">
        <v>1</v>
      </c>
      <c r="H865" t="n">
        <v>0</v>
      </c>
      <c r="I865" t="n">
        <v>0</v>
      </c>
      <c r="J865" t="n">
        <v>0</v>
      </c>
      <c r="K865" t="n">
        <v>0</v>
      </c>
      <c r="L865" t="n">
        <v>0</v>
      </c>
      <c r="M865" t="n">
        <v>0</v>
      </c>
      <c r="N865" t="n">
        <v>0</v>
      </c>
      <c r="O865" t="n">
        <v>0</v>
      </c>
      <c r="P865" t="n">
        <v>0</v>
      </c>
      <c r="Q865" t="n">
        <v>0</v>
      </c>
      <c r="R865" s="2" t="inlineStr"/>
    </row>
    <row r="866" ht="15" customHeight="1">
      <c r="A866" t="inlineStr">
        <is>
          <t>A 298-2019</t>
        </is>
      </c>
      <c r="B866" s="1" t="n">
        <v>43468</v>
      </c>
      <c r="C866" s="1" t="n">
        <v>45357</v>
      </c>
      <c r="D866" t="inlineStr">
        <is>
          <t>GÄVLEBORGS LÄN</t>
        </is>
      </c>
      <c r="E866" t="inlineStr">
        <is>
          <t>NORDANSTIG</t>
        </is>
      </c>
      <c r="G866" t="n">
        <v>3.4</v>
      </c>
      <c r="H866" t="n">
        <v>0</v>
      </c>
      <c r="I866" t="n">
        <v>0</v>
      </c>
      <c r="J866" t="n">
        <v>0</v>
      </c>
      <c r="K866" t="n">
        <v>0</v>
      </c>
      <c r="L866" t="n">
        <v>0</v>
      </c>
      <c r="M866" t="n">
        <v>0</v>
      </c>
      <c r="N866" t="n">
        <v>0</v>
      </c>
      <c r="O866" t="n">
        <v>0</v>
      </c>
      <c r="P866" t="n">
        <v>0</v>
      </c>
      <c r="Q866" t="n">
        <v>0</v>
      </c>
      <c r="R866" s="2" t="inlineStr"/>
    </row>
    <row r="867" ht="15" customHeight="1">
      <c r="A867" t="inlineStr">
        <is>
          <t>A 386-2019</t>
        </is>
      </c>
      <c r="B867" s="1" t="n">
        <v>43468</v>
      </c>
      <c r="C867" s="1" t="n">
        <v>45357</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477-2019</t>
        </is>
      </c>
      <c r="B868" s="1" t="n">
        <v>43468</v>
      </c>
      <c r="C868" s="1" t="n">
        <v>45357</v>
      </c>
      <c r="D868" t="inlineStr">
        <is>
          <t>GÄVLEBORGS LÄN</t>
        </is>
      </c>
      <c r="E868" t="inlineStr">
        <is>
          <t>NORDANSTIG</t>
        </is>
      </c>
      <c r="G868" t="n">
        <v>1</v>
      </c>
      <c r="H868" t="n">
        <v>0</v>
      </c>
      <c r="I868" t="n">
        <v>0</v>
      </c>
      <c r="J868" t="n">
        <v>0</v>
      </c>
      <c r="K868" t="n">
        <v>0</v>
      </c>
      <c r="L868" t="n">
        <v>0</v>
      </c>
      <c r="M868" t="n">
        <v>0</v>
      </c>
      <c r="N868" t="n">
        <v>0</v>
      </c>
      <c r="O868" t="n">
        <v>0</v>
      </c>
      <c r="P868" t="n">
        <v>0</v>
      </c>
      <c r="Q868" t="n">
        <v>0</v>
      </c>
      <c r="R868" s="2" t="inlineStr"/>
    </row>
    <row r="869" ht="15" customHeight="1">
      <c r="A869" t="inlineStr">
        <is>
          <t>A 422-2019</t>
        </is>
      </c>
      <c r="B869" s="1" t="n">
        <v>43468</v>
      </c>
      <c r="C869" s="1" t="n">
        <v>45357</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475-2019</t>
        </is>
      </c>
      <c r="B870" s="1" t="n">
        <v>43468</v>
      </c>
      <c r="C870" s="1" t="n">
        <v>45357</v>
      </c>
      <c r="D870" t="inlineStr">
        <is>
          <t>GÄVLEBORGS LÄN</t>
        </is>
      </c>
      <c r="E870" t="inlineStr">
        <is>
          <t>NORDANSTIG</t>
        </is>
      </c>
      <c r="G870" t="n">
        <v>3.1</v>
      </c>
      <c r="H870" t="n">
        <v>0</v>
      </c>
      <c r="I870" t="n">
        <v>0</v>
      </c>
      <c r="J870" t="n">
        <v>0</v>
      </c>
      <c r="K870" t="n">
        <v>0</v>
      </c>
      <c r="L870" t="n">
        <v>0</v>
      </c>
      <c r="M870" t="n">
        <v>0</v>
      </c>
      <c r="N870" t="n">
        <v>0</v>
      </c>
      <c r="O870" t="n">
        <v>0</v>
      </c>
      <c r="P870" t="n">
        <v>0</v>
      </c>
      <c r="Q870" t="n">
        <v>0</v>
      </c>
      <c r="R870" s="2" t="inlineStr"/>
    </row>
    <row r="871" ht="15" customHeight="1">
      <c r="A871" t="inlineStr">
        <is>
          <t>A 387-2019</t>
        </is>
      </c>
      <c r="B871" s="1" t="n">
        <v>43468</v>
      </c>
      <c r="C871" s="1" t="n">
        <v>45357</v>
      </c>
      <c r="D871" t="inlineStr">
        <is>
          <t>GÄVLEBORGS LÄN</t>
        </is>
      </c>
      <c r="E871" t="inlineStr">
        <is>
          <t>HUDIKSVALL</t>
        </is>
      </c>
      <c r="G871" t="n">
        <v>2.2</v>
      </c>
      <c r="H871" t="n">
        <v>0</v>
      </c>
      <c r="I871" t="n">
        <v>0</v>
      </c>
      <c r="J871" t="n">
        <v>0</v>
      </c>
      <c r="K871" t="n">
        <v>0</v>
      </c>
      <c r="L871" t="n">
        <v>0</v>
      </c>
      <c r="M871" t="n">
        <v>0</v>
      </c>
      <c r="N871" t="n">
        <v>0</v>
      </c>
      <c r="O871" t="n">
        <v>0</v>
      </c>
      <c r="P871" t="n">
        <v>0</v>
      </c>
      <c r="Q871" t="n">
        <v>0</v>
      </c>
      <c r="R871" s="2" t="inlineStr"/>
    </row>
    <row r="872" ht="15" customHeight="1">
      <c r="A872" t="inlineStr">
        <is>
          <t>A 314-2019</t>
        </is>
      </c>
      <c r="B872" s="1" t="n">
        <v>43468</v>
      </c>
      <c r="C872" s="1" t="n">
        <v>45357</v>
      </c>
      <c r="D872" t="inlineStr">
        <is>
          <t>GÄVLEBORGS LÄN</t>
        </is>
      </c>
      <c r="E872" t="inlineStr">
        <is>
          <t>NORDANSTIG</t>
        </is>
      </c>
      <c r="G872" t="n">
        <v>1</v>
      </c>
      <c r="H872" t="n">
        <v>0</v>
      </c>
      <c r="I872" t="n">
        <v>0</v>
      </c>
      <c r="J872" t="n">
        <v>0</v>
      </c>
      <c r="K872" t="n">
        <v>0</v>
      </c>
      <c r="L872" t="n">
        <v>0</v>
      </c>
      <c r="M872" t="n">
        <v>0</v>
      </c>
      <c r="N872" t="n">
        <v>0</v>
      </c>
      <c r="O872" t="n">
        <v>0</v>
      </c>
      <c r="P872" t="n">
        <v>0</v>
      </c>
      <c r="Q872" t="n">
        <v>0</v>
      </c>
      <c r="R872" s="2" t="inlineStr"/>
    </row>
    <row r="873" ht="15" customHeight="1">
      <c r="A873" t="inlineStr">
        <is>
          <t>A 496-2019</t>
        </is>
      </c>
      <c r="B873" s="1" t="n">
        <v>43469</v>
      </c>
      <c r="C873" s="1" t="n">
        <v>45357</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816-2019</t>
        </is>
      </c>
      <c r="B874" s="1" t="n">
        <v>43472</v>
      </c>
      <c r="C874" s="1" t="n">
        <v>45357</v>
      </c>
      <c r="D874" t="inlineStr">
        <is>
          <t>GÄVLEBORGS LÄN</t>
        </is>
      </c>
      <c r="E874" t="inlineStr">
        <is>
          <t>SANDVIKEN</t>
        </is>
      </c>
      <c r="G874" t="n">
        <v>1.9</v>
      </c>
      <c r="H874" t="n">
        <v>0</v>
      </c>
      <c r="I874" t="n">
        <v>0</v>
      </c>
      <c r="J874" t="n">
        <v>0</v>
      </c>
      <c r="K874" t="n">
        <v>0</v>
      </c>
      <c r="L874" t="n">
        <v>0</v>
      </c>
      <c r="M874" t="n">
        <v>0</v>
      </c>
      <c r="N874" t="n">
        <v>0</v>
      </c>
      <c r="O874" t="n">
        <v>0</v>
      </c>
      <c r="P874" t="n">
        <v>0</v>
      </c>
      <c r="Q874" t="n">
        <v>0</v>
      </c>
      <c r="R874" s="2" t="inlineStr"/>
    </row>
    <row r="875" ht="15" customHeight="1">
      <c r="A875" t="inlineStr">
        <is>
          <t>A 867-2019</t>
        </is>
      </c>
      <c r="B875" s="1" t="n">
        <v>43472</v>
      </c>
      <c r="C875" s="1" t="n">
        <v>45357</v>
      </c>
      <c r="D875" t="inlineStr">
        <is>
          <t>GÄVLEBORGS LÄN</t>
        </is>
      </c>
      <c r="E875" t="inlineStr">
        <is>
          <t>HOFORS</t>
        </is>
      </c>
      <c r="G875" t="n">
        <v>7.2</v>
      </c>
      <c r="H875" t="n">
        <v>0</v>
      </c>
      <c r="I875" t="n">
        <v>0</v>
      </c>
      <c r="J875" t="n">
        <v>0</v>
      </c>
      <c r="K875" t="n">
        <v>0</v>
      </c>
      <c r="L875" t="n">
        <v>0</v>
      </c>
      <c r="M875" t="n">
        <v>0</v>
      </c>
      <c r="N875" t="n">
        <v>0</v>
      </c>
      <c r="O875" t="n">
        <v>0</v>
      </c>
      <c r="P875" t="n">
        <v>0</v>
      </c>
      <c r="Q875" t="n">
        <v>0</v>
      </c>
      <c r="R875" s="2" t="inlineStr"/>
    </row>
    <row r="876" ht="15" customHeight="1">
      <c r="A876" t="inlineStr">
        <is>
          <t>A 905-2019</t>
        </is>
      </c>
      <c r="B876" s="1" t="n">
        <v>43472</v>
      </c>
      <c r="C876" s="1" t="n">
        <v>45357</v>
      </c>
      <c r="D876" t="inlineStr">
        <is>
          <t>GÄVLEBORGS LÄN</t>
        </is>
      </c>
      <c r="E876" t="inlineStr">
        <is>
          <t>BOLLNÄS</t>
        </is>
      </c>
      <c r="G876" t="n">
        <v>5.8</v>
      </c>
      <c r="H876" t="n">
        <v>0</v>
      </c>
      <c r="I876" t="n">
        <v>0</v>
      </c>
      <c r="J876" t="n">
        <v>0</v>
      </c>
      <c r="K876" t="n">
        <v>0</v>
      </c>
      <c r="L876" t="n">
        <v>0</v>
      </c>
      <c r="M876" t="n">
        <v>0</v>
      </c>
      <c r="N876" t="n">
        <v>0</v>
      </c>
      <c r="O876" t="n">
        <v>0</v>
      </c>
      <c r="P876" t="n">
        <v>0</v>
      </c>
      <c r="Q876" t="n">
        <v>0</v>
      </c>
      <c r="R876" s="2" t="inlineStr"/>
    </row>
    <row r="877" ht="15" customHeight="1">
      <c r="A877" t="inlineStr">
        <is>
          <t>A 1048-2019</t>
        </is>
      </c>
      <c r="B877" s="1" t="n">
        <v>43472</v>
      </c>
      <c r="C877" s="1" t="n">
        <v>45357</v>
      </c>
      <c r="D877" t="inlineStr">
        <is>
          <t>GÄVLEBORGS LÄN</t>
        </is>
      </c>
      <c r="E877" t="inlineStr">
        <is>
          <t>BOLLNÄS</t>
        </is>
      </c>
      <c r="G877" t="n">
        <v>1.1</v>
      </c>
      <c r="H877" t="n">
        <v>0</v>
      </c>
      <c r="I877" t="n">
        <v>0</v>
      </c>
      <c r="J877" t="n">
        <v>0</v>
      </c>
      <c r="K877" t="n">
        <v>0</v>
      </c>
      <c r="L877" t="n">
        <v>0</v>
      </c>
      <c r="M877" t="n">
        <v>0</v>
      </c>
      <c r="N877" t="n">
        <v>0</v>
      </c>
      <c r="O877" t="n">
        <v>0</v>
      </c>
      <c r="P877" t="n">
        <v>0</v>
      </c>
      <c r="Q877" t="n">
        <v>0</v>
      </c>
      <c r="R877" s="2" t="inlineStr"/>
    </row>
    <row r="878" ht="15" customHeight="1">
      <c r="A878" t="inlineStr">
        <is>
          <t>A 869-2019</t>
        </is>
      </c>
      <c r="B878" s="1" t="n">
        <v>43472</v>
      </c>
      <c r="C878" s="1" t="n">
        <v>45357</v>
      </c>
      <c r="D878" t="inlineStr">
        <is>
          <t>GÄVLEBORGS LÄN</t>
        </is>
      </c>
      <c r="E878" t="inlineStr">
        <is>
          <t>LJUSDAL</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832-2019</t>
        </is>
      </c>
      <c r="B879" s="1" t="n">
        <v>43472</v>
      </c>
      <c r="C879" s="1" t="n">
        <v>45357</v>
      </c>
      <c r="D879" t="inlineStr">
        <is>
          <t>GÄVLEBORGS LÄN</t>
        </is>
      </c>
      <c r="E879" t="inlineStr">
        <is>
          <t>SANDVIKEN</t>
        </is>
      </c>
      <c r="G879" t="n">
        <v>1</v>
      </c>
      <c r="H879" t="n">
        <v>0</v>
      </c>
      <c r="I879" t="n">
        <v>0</v>
      </c>
      <c r="J879" t="n">
        <v>0</v>
      </c>
      <c r="K879" t="n">
        <v>0</v>
      </c>
      <c r="L879" t="n">
        <v>0</v>
      </c>
      <c r="M879" t="n">
        <v>0</v>
      </c>
      <c r="N879" t="n">
        <v>0</v>
      </c>
      <c r="O879" t="n">
        <v>0</v>
      </c>
      <c r="P879" t="n">
        <v>0</v>
      </c>
      <c r="Q879" t="n">
        <v>0</v>
      </c>
      <c r="R879" s="2" t="inlineStr"/>
    </row>
    <row r="880" ht="15" customHeight="1">
      <c r="A880" t="inlineStr">
        <is>
          <t>A 874-2019</t>
        </is>
      </c>
      <c r="B880" s="1" t="n">
        <v>43472</v>
      </c>
      <c r="C880" s="1" t="n">
        <v>45357</v>
      </c>
      <c r="D880" t="inlineStr">
        <is>
          <t>GÄVLEBORGS LÄN</t>
        </is>
      </c>
      <c r="E880" t="inlineStr">
        <is>
          <t>LJUSDAL</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810-2019</t>
        </is>
      </c>
      <c r="B881" s="1" t="n">
        <v>43472</v>
      </c>
      <c r="C881" s="1" t="n">
        <v>45357</v>
      </c>
      <c r="D881" t="inlineStr">
        <is>
          <t>GÄVLEBORGS LÄN</t>
        </is>
      </c>
      <c r="E881" t="inlineStr">
        <is>
          <t>HUDIKSVALL</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862-2019</t>
        </is>
      </c>
      <c r="B882" s="1" t="n">
        <v>43472</v>
      </c>
      <c r="C882" s="1" t="n">
        <v>45357</v>
      </c>
      <c r="D882" t="inlineStr">
        <is>
          <t>GÄVLEBORGS LÄN</t>
        </is>
      </c>
      <c r="E882" t="inlineStr">
        <is>
          <t>SANDVIKEN</t>
        </is>
      </c>
      <c r="G882" t="n">
        <v>1.6</v>
      </c>
      <c r="H882" t="n">
        <v>0</v>
      </c>
      <c r="I882" t="n">
        <v>0</v>
      </c>
      <c r="J882" t="n">
        <v>0</v>
      </c>
      <c r="K882" t="n">
        <v>0</v>
      </c>
      <c r="L882" t="n">
        <v>0</v>
      </c>
      <c r="M882" t="n">
        <v>0</v>
      </c>
      <c r="N882" t="n">
        <v>0</v>
      </c>
      <c r="O882" t="n">
        <v>0</v>
      </c>
      <c r="P882" t="n">
        <v>0</v>
      </c>
      <c r="Q882" t="n">
        <v>0</v>
      </c>
      <c r="R882" s="2" t="inlineStr"/>
    </row>
    <row r="883" ht="15" customHeight="1">
      <c r="A883" t="inlineStr">
        <is>
          <t>A 927-2019</t>
        </is>
      </c>
      <c r="B883" s="1" t="n">
        <v>43472</v>
      </c>
      <c r="C883" s="1" t="n">
        <v>45357</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787-2019</t>
        </is>
      </c>
      <c r="B884" s="1" t="n">
        <v>43472</v>
      </c>
      <c r="C884" s="1" t="n">
        <v>45357</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1332-2019</t>
        </is>
      </c>
      <c r="B885" s="1" t="n">
        <v>43473</v>
      </c>
      <c r="C885" s="1" t="n">
        <v>45357</v>
      </c>
      <c r="D885" t="inlineStr">
        <is>
          <t>GÄVLEBORGS LÄN</t>
        </is>
      </c>
      <c r="E885" t="inlineStr">
        <is>
          <t>HUDIKSVALL</t>
        </is>
      </c>
      <c r="F885" t="inlineStr">
        <is>
          <t>Holmen skog AB</t>
        </is>
      </c>
      <c r="G885" t="n">
        <v>8.4</v>
      </c>
      <c r="H885" t="n">
        <v>0</v>
      </c>
      <c r="I885" t="n">
        <v>0</v>
      </c>
      <c r="J885" t="n">
        <v>0</v>
      </c>
      <c r="K885" t="n">
        <v>0</v>
      </c>
      <c r="L885" t="n">
        <v>0</v>
      </c>
      <c r="M885" t="n">
        <v>0</v>
      </c>
      <c r="N885" t="n">
        <v>0</v>
      </c>
      <c r="O885" t="n">
        <v>0</v>
      </c>
      <c r="P885" t="n">
        <v>0</v>
      </c>
      <c r="Q885" t="n">
        <v>0</v>
      </c>
      <c r="R885" s="2" t="inlineStr"/>
    </row>
    <row r="886" ht="15" customHeight="1">
      <c r="A886" t="inlineStr">
        <is>
          <t>A 1447-2019</t>
        </is>
      </c>
      <c r="B886" s="1" t="n">
        <v>43473</v>
      </c>
      <c r="C886" s="1" t="n">
        <v>45357</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1426-2019</t>
        </is>
      </c>
      <c r="B887" s="1" t="n">
        <v>43473</v>
      </c>
      <c r="C887" s="1" t="n">
        <v>45357</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1588-2019</t>
        </is>
      </c>
      <c r="B888" s="1" t="n">
        <v>43474</v>
      </c>
      <c r="C888" s="1" t="n">
        <v>45357</v>
      </c>
      <c r="D888" t="inlineStr">
        <is>
          <t>GÄVLEBORGS LÄN</t>
        </is>
      </c>
      <c r="E888" t="inlineStr">
        <is>
          <t>HUDIKSVALL</t>
        </is>
      </c>
      <c r="G888" t="n">
        <v>2.1</v>
      </c>
      <c r="H888" t="n">
        <v>0</v>
      </c>
      <c r="I888" t="n">
        <v>0</v>
      </c>
      <c r="J888" t="n">
        <v>0</v>
      </c>
      <c r="K888" t="n">
        <v>0</v>
      </c>
      <c r="L888" t="n">
        <v>0</v>
      </c>
      <c r="M888" t="n">
        <v>0</v>
      </c>
      <c r="N888" t="n">
        <v>0</v>
      </c>
      <c r="O888" t="n">
        <v>0</v>
      </c>
      <c r="P888" t="n">
        <v>0</v>
      </c>
      <c r="Q888" t="n">
        <v>0</v>
      </c>
      <c r="R888" s="2" t="inlineStr"/>
    </row>
    <row r="889" ht="15" customHeight="1">
      <c r="A889" t="inlineStr">
        <is>
          <t>A 1752-2019</t>
        </is>
      </c>
      <c r="B889" s="1" t="n">
        <v>43474</v>
      </c>
      <c r="C889" s="1" t="n">
        <v>45357</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1744-2019</t>
        </is>
      </c>
      <c r="B890" s="1" t="n">
        <v>43474</v>
      </c>
      <c r="C890" s="1" t="n">
        <v>45357</v>
      </c>
      <c r="D890" t="inlineStr">
        <is>
          <t>GÄVLEBORGS LÄN</t>
        </is>
      </c>
      <c r="E890" t="inlineStr">
        <is>
          <t>LJUSDAL</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1741-2019</t>
        </is>
      </c>
      <c r="B891" s="1" t="n">
        <v>43474</v>
      </c>
      <c r="C891" s="1" t="n">
        <v>45357</v>
      </c>
      <c r="D891" t="inlineStr">
        <is>
          <t>GÄVLEBORGS LÄN</t>
        </is>
      </c>
      <c r="E891" t="inlineStr">
        <is>
          <t>SÖDERHAMN</t>
        </is>
      </c>
      <c r="G891" t="n">
        <v>2.9</v>
      </c>
      <c r="H891" t="n">
        <v>0</v>
      </c>
      <c r="I891" t="n">
        <v>0</v>
      </c>
      <c r="J891" t="n">
        <v>0</v>
      </c>
      <c r="K891" t="n">
        <v>0</v>
      </c>
      <c r="L891" t="n">
        <v>0</v>
      </c>
      <c r="M891" t="n">
        <v>0</v>
      </c>
      <c r="N891" t="n">
        <v>0</v>
      </c>
      <c r="O891" t="n">
        <v>0</v>
      </c>
      <c r="P891" t="n">
        <v>0</v>
      </c>
      <c r="Q891" t="n">
        <v>0</v>
      </c>
      <c r="R891" s="2" t="inlineStr"/>
    </row>
    <row r="892" ht="15" customHeight="1">
      <c r="A892" t="inlineStr">
        <is>
          <t>A 2219-2019</t>
        </is>
      </c>
      <c r="B892" s="1" t="n">
        <v>43475</v>
      </c>
      <c r="C892" s="1" t="n">
        <v>45357</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2423-2019</t>
        </is>
      </c>
      <c r="B893" s="1" t="n">
        <v>43476</v>
      </c>
      <c r="C893" s="1" t="n">
        <v>45357</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2422-2019</t>
        </is>
      </c>
      <c r="B894" s="1" t="n">
        <v>43476</v>
      </c>
      <c r="C894" s="1" t="n">
        <v>45357</v>
      </c>
      <c r="D894" t="inlineStr">
        <is>
          <t>GÄVLEBORGS LÄN</t>
        </is>
      </c>
      <c r="E894" t="inlineStr">
        <is>
          <t>BOLLNÄS</t>
        </is>
      </c>
      <c r="G894" t="n">
        <v>3.6</v>
      </c>
      <c r="H894" t="n">
        <v>0</v>
      </c>
      <c r="I894" t="n">
        <v>0</v>
      </c>
      <c r="J894" t="n">
        <v>0</v>
      </c>
      <c r="K894" t="n">
        <v>0</v>
      </c>
      <c r="L894" t="n">
        <v>0</v>
      </c>
      <c r="M894" t="n">
        <v>0</v>
      </c>
      <c r="N894" t="n">
        <v>0</v>
      </c>
      <c r="O894" t="n">
        <v>0</v>
      </c>
      <c r="P894" t="n">
        <v>0</v>
      </c>
      <c r="Q894" t="n">
        <v>0</v>
      </c>
      <c r="R894" s="2" t="inlineStr"/>
    </row>
    <row r="895" ht="15" customHeight="1">
      <c r="A895" t="inlineStr">
        <is>
          <t>A 2416-2019</t>
        </is>
      </c>
      <c r="B895" s="1" t="n">
        <v>43476</v>
      </c>
      <c r="C895" s="1" t="n">
        <v>45357</v>
      </c>
      <c r="D895" t="inlineStr">
        <is>
          <t>GÄVLEBORGS LÄN</t>
        </is>
      </c>
      <c r="E895" t="inlineStr">
        <is>
          <t>BOLLNÄS</t>
        </is>
      </c>
      <c r="G895" t="n">
        <v>14.7</v>
      </c>
      <c r="H895" t="n">
        <v>0</v>
      </c>
      <c r="I895" t="n">
        <v>0</v>
      </c>
      <c r="J895" t="n">
        <v>0</v>
      </c>
      <c r="K895" t="n">
        <v>0</v>
      </c>
      <c r="L895" t="n">
        <v>0</v>
      </c>
      <c r="M895" t="n">
        <v>0</v>
      </c>
      <c r="N895" t="n">
        <v>0</v>
      </c>
      <c r="O895" t="n">
        <v>0</v>
      </c>
      <c r="P895" t="n">
        <v>0</v>
      </c>
      <c r="Q895" t="n">
        <v>0</v>
      </c>
      <c r="R895" s="2" t="inlineStr"/>
    </row>
    <row r="896" ht="15" customHeight="1">
      <c r="A896" t="inlineStr">
        <is>
          <t>A 2425-2019</t>
        </is>
      </c>
      <c r="B896" s="1" t="n">
        <v>43476</v>
      </c>
      <c r="C896" s="1" t="n">
        <v>45357</v>
      </c>
      <c r="D896" t="inlineStr">
        <is>
          <t>GÄVLEBORGS LÄN</t>
        </is>
      </c>
      <c r="E896" t="inlineStr">
        <is>
          <t>BOLLNÄS</t>
        </is>
      </c>
      <c r="G896" t="n">
        <v>2.6</v>
      </c>
      <c r="H896" t="n">
        <v>0</v>
      </c>
      <c r="I896" t="n">
        <v>0</v>
      </c>
      <c r="J896" t="n">
        <v>0</v>
      </c>
      <c r="K896" t="n">
        <v>0</v>
      </c>
      <c r="L896" t="n">
        <v>0</v>
      </c>
      <c r="M896" t="n">
        <v>0</v>
      </c>
      <c r="N896" t="n">
        <v>0</v>
      </c>
      <c r="O896" t="n">
        <v>0</v>
      </c>
      <c r="P896" t="n">
        <v>0</v>
      </c>
      <c r="Q896" t="n">
        <v>0</v>
      </c>
      <c r="R896" s="2" t="inlineStr"/>
    </row>
    <row r="897" ht="15" customHeight="1">
      <c r="A897" t="inlineStr">
        <is>
          <t>A 2512-2019</t>
        </is>
      </c>
      <c r="B897" s="1" t="n">
        <v>43476</v>
      </c>
      <c r="C897" s="1" t="n">
        <v>45357</v>
      </c>
      <c r="D897" t="inlineStr">
        <is>
          <t>GÄVLEBORGS LÄN</t>
        </is>
      </c>
      <c r="E897" t="inlineStr">
        <is>
          <t>GÄVLE</t>
        </is>
      </c>
      <c r="G897" t="n">
        <v>1.4</v>
      </c>
      <c r="H897" t="n">
        <v>0</v>
      </c>
      <c r="I897" t="n">
        <v>0</v>
      </c>
      <c r="J897" t="n">
        <v>0</v>
      </c>
      <c r="K897" t="n">
        <v>0</v>
      </c>
      <c r="L897" t="n">
        <v>0</v>
      </c>
      <c r="M897" t="n">
        <v>0</v>
      </c>
      <c r="N897" t="n">
        <v>0</v>
      </c>
      <c r="O897" t="n">
        <v>0</v>
      </c>
      <c r="P897" t="n">
        <v>0</v>
      </c>
      <c r="Q897" t="n">
        <v>0</v>
      </c>
      <c r="R897" s="2" t="inlineStr"/>
    </row>
    <row r="898" ht="15" customHeight="1">
      <c r="A898" t="inlineStr">
        <is>
          <t>A 2644-2019</t>
        </is>
      </c>
      <c r="B898" s="1" t="n">
        <v>43478</v>
      </c>
      <c r="C898" s="1" t="n">
        <v>45357</v>
      </c>
      <c r="D898" t="inlineStr">
        <is>
          <t>GÄVLEBORGS LÄN</t>
        </is>
      </c>
      <c r="E898" t="inlineStr">
        <is>
          <t>GÄVLE</t>
        </is>
      </c>
      <c r="G898" t="n">
        <v>1.2</v>
      </c>
      <c r="H898" t="n">
        <v>0</v>
      </c>
      <c r="I898" t="n">
        <v>0</v>
      </c>
      <c r="J898" t="n">
        <v>0</v>
      </c>
      <c r="K898" t="n">
        <v>0</v>
      </c>
      <c r="L898" t="n">
        <v>0</v>
      </c>
      <c r="M898" t="n">
        <v>0</v>
      </c>
      <c r="N898" t="n">
        <v>0</v>
      </c>
      <c r="O898" t="n">
        <v>0</v>
      </c>
      <c r="P898" t="n">
        <v>0</v>
      </c>
      <c r="Q898" t="n">
        <v>0</v>
      </c>
      <c r="R898" s="2" t="inlineStr"/>
    </row>
    <row r="899" ht="15" customHeight="1">
      <c r="A899" t="inlineStr">
        <is>
          <t>A 2926-2019</t>
        </is>
      </c>
      <c r="B899" s="1" t="n">
        <v>43479</v>
      </c>
      <c r="C899" s="1" t="n">
        <v>45357</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2712-2019</t>
        </is>
      </c>
      <c r="B900" s="1" t="n">
        <v>43479</v>
      </c>
      <c r="C900" s="1" t="n">
        <v>45357</v>
      </c>
      <c r="D900" t="inlineStr">
        <is>
          <t>GÄVLEBORGS LÄN</t>
        </is>
      </c>
      <c r="E900" t="inlineStr">
        <is>
          <t>OCKELBO</t>
        </is>
      </c>
      <c r="G900" t="n">
        <v>1</v>
      </c>
      <c r="H900" t="n">
        <v>0</v>
      </c>
      <c r="I900" t="n">
        <v>0</v>
      </c>
      <c r="J900" t="n">
        <v>0</v>
      </c>
      <c r="K900" t="n">
        <v>0</v>
      </c>
      <c r="L900" t="n">
        <v>0</v>
      </c>
      <c r="M900" t="n">
        <v>0</v>
      </c>
      <c r="N900" t="n">
        <v>0</v>
      </c>
      <c r="O900" t="n">
        <v>0</v>
      </c>
      <c r="P900" t="n">
        <v>0</v>
      </c>
      <c r="Q900" t="n">
        <v>0</v>
      </c>
      <c r="R900" s="2" t="inlineStr"/>
    </row>
    <row r="901" ht="15" customHeight="1">
      <c r="A901" t="inlineStr">
        <is>
          <t>A 2840-2019</t>
        </is>
      </c>
      <c r="B901" s="1" t="n">
        <v>43479</v>
      </c>
      <c r="C901" s="1" t="n">
        <v>45357</v>
      </c>
      <c r="D901" t="inlineStr">
        <is>
          <t>GÄVLEBORGS LÄN</t>
        </is>
      </c>
      <c r="E901" t="inlineStr">
        <is>
          <t>GÄVLE</t>
        </is>
      </c>
      <c r="G901" t="n">
        <v>1.6</v>
      </c>
      <c r="H901" t="n">
        <v>0</v>
      </c>
      <c r="I901" t="n">
        <v>0</v>
      </c>
      <c r="J901" t="n">
        <v>0</v>
      </c>
      <c r="K901" t="n">
        <v>0</v>
      </c>
      <c r="L901" t="n">
        <v>0</v>
      </c>
      <c r="M901" t="n">
        <v>0</v>
      </c>
      <c r="N901" t="n">
        <v>0</v>
      </c>
      <c r="O901" t="n">
        <v>0</v>
      </c>
      <c r="P901" t="n">
        <v>0</v>
      </c>
      <c r="Q901" t="n">
        <v>0</v>
      </c>
      <c r="R901" s="2" t="inlineStr"/>
    </row>
    <row r="902" ht="15" customHeight="1">
      <c r="A902" t="inlineStr">
        <is>
          <t>A 3356-2019</t>
        </is>
      </c>
      <c r="B902" s="1" t="n">
        <v>43480</v>
      </c>
      <c r="C902" s="1" t="n">
        <v>45357</v>
      </c>
      <c r="D902" t="inlineStr">
        <is>
          <t>GÄVLEBORGS LÄN</t>
        </is>
      </c>
      <c r="E902" t="inlineStr">
        <is>
          <t>GÄVLE</t>
        </is>
      </c>
      <c r="G902" t="n">
        <v>5.5</v>
      </c>
      <c r="H902" t="n">
        <v>0</v>
      </c>
      <c r="I902" t="n">
        <v>0</v>
      </c>
      <c r="J902" t="n">
        <v>0</v>
      </c>
      <c r="K902" t="n">
        <v>0</v>
      </c>
      <c r="L902" t="n">
        <v>0</v>
      </c>
      <c r="M902" t="n">
        <v>0</v>
      </c>
      <c r="N902" t="n">
        <v>0</v>
      </c>
      <c r="O902" t="n">
        <v>0</v>
      </c>
      <c r="P902" t="n">
        <v>0</v>
      </c>
      <c r="Q902" t="n">
        <v>0</v>
      </c>
      <c r="R902" s="2" t="inlineStr"/>
    </row>
    <row r="903" ht="15" customHeight="1">
      <c r="A903" t="inlineStr">
        <is>
          <t>A 3240-2019</t>
        </is>
      </c>
      <c r="B903" s="1" t="n">
        <v>43480</v>
      </c>
      <c r="C903" s="1" t="n">
        <v>45357</v>
      </c>
      <c r="D903" t="inlineStr">
        <is>
          <t>GÄVLEBORGS LÄN</t>
        </is>
      </c>
      <c r="E903" t="inlineStr">
        <is>
          <t>OVANÅKER</t>
        </is>
      </c>
      <c r="G903" t="n">
        <v>3.8</v>
      </c>
      <c r="H903" t="n">
        <v>0</v>
      </c>
      <c r="I903" t="n">
        <v>0</v>
      </c>
      <c r="J903" t="n">
        <v>0</v>
      </c>
      <c r="K903" t="n">
        <v>0</v>
      </c>
      <c r="L903" t="n">
        <v>0</v>
      </c>
      <c r="M903" t="n">
        <v>0</v>
      </c>
      <c r="N903" t="n">
        <v>0</v>
      </c>
      <c r="O903" t="n">
        <v>0</v>
      </c>
      <c r="P903" t="n">
        <v>0</v>
      </c>
      <c r="Q903" t="n">
        <v>0</v>
      </c>
      <c r="R903" s="2" t="inlineStr"/>
    </row>
    <row r="904" ht="15" customHeight="1">
      <c r="A904" t="inlineStr">
        <is>
          <t>A 3230-2019</t>
        </is>
      </c>
      <c r="B904" s="1" t="n">
        <v>43480</v>
      </c>
      <c r="C904" s="1" t="n">
        <v>45357</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3508-2019</t>
        </is>
      </c>
      <c r="B905" s="1" t="n">
        <v>43481</v>
      </c>
      <c r="C905" s="1" t="n">
        <v>45357</v>
      </c>
      <c r="D905" t="inlineStr">
        <is>
          <t>GÄVLEBORGS LÄN</t>
        </is>
      </c>
      <c r="E905" t="inlineStr">
        <is>
          <t>GÄVLE</t>
        </is>
      </c>
      <c r="G905" t="n">
        <v>0.7</v>
      </c>
      <c r="H905" t="n">
        <v>0</v>
      </c>
      <c r="I905" t="n">
        <v>0</v>
      </c>
      <c r="J905" t="n">
        <v>0</v>
      </c>
      <c r="K905" t="n">
        <v>0</v>
      </c>
      <c r="L905" t="n">
        <v>0</v>
      </c>
      <c r="M905" t="n">
        <v>0</v>
      </c>
      <c r="N905" t="n">
        <v>0</v>
      </c>
      <c r="O905" t="n">
        <v>0</v>
      </c>
      <c r="P905" t="n">
        <v>0</v>
      </c>
      <c r="Q905" t="n">
        <v>0</v>
      </c>
      <c r="R905" s="2" t="inlineStr"/>
    </row>
    <row r="906" ht="15" customHeight="1">
      <c r="A906" t="inlineStr">
        <is>
          <t>A 3655-2019</t>
        </is>
      </c>
      <c r="B906" s="1" t="n">
        <v>43481</v>
      </c>
      <c r="C906" s="1" t="n">
        <v>45357</v>
      </c>
      <c r="D906" t="inlineStr">
        <is>
          <t>GÄVLEBORGS LÄN</t>
        </is>
      </c>
      <c r="E906" t="inlineStr">
        <is>
          <t>LJUSDAL</t>
        </is>
      </c>
      <c r="G906" t="n">
        <v>16.5</v>
      </c>
      <c r="H906" t="n">
        <v>0</v>
      </c>
      <c r="I906" t="n">
        <v>0</v>
      </c>
      <c r="J906" t="n">
        <v>0</v>
      </c>
      <c r="K906" t="n">
        <v>0</v>
      </c>
      <c r="L906" t="n">
        <v>0</v>
      </c>
      <c r="M906" t="n">
        <v>0</v>
      </c>
      <c r="N906" t="n">
        <v>0</v>
      </c>
      <c r="O906" t="n">
        <v>0</v>
      </c>
      <c r="P906" t="n">
        <v>0</v>
      </c>
      <c r="Q906" t="n">
        <v>0</v>
      </c>
      <c r="R906" s="2" t="inlineStr"/>
    </row>
    <row r="907" ht="15" customHeight="1">
      <c r="A907" t="inlineStr">
        <is>
          <t>A 5308-2019</t>
        </is>
      </c>
      <c r="B907" s="1" t="n">
        <v>43481</v>
      </c>
      <c r="C907" s="1" t="n">
        <v>45357</v>
      </c>
      <c r="D907" t="inlineStr">
        <is>
          <t>GÄVLEBORGS LÄN</t>
        </is>
      </c>
      <c r="E907" t="inlineStr">
        <is>
          <t>NORDANSTIG</t>
        </is>
      </c>
      <c r="G907" t="n">
        <v>0.5</v>
      </c>
      <c r="H907" t="n">
        <v>0</v>
      </c>
      <c r="I907" t="n">
        <v>0</v>
      </c>
      <c r="J907" t="n">
        <v>0</v>
      </c>
      <c r="K907" t="n">
        <v>0</v>
      </c>
      <c r="L907" t="n">
        <v>0</v>
      </c>
      <c r="M907" t="n">
        <v>0</v>
      </c>
      <c r="N907" t="n">
        <v>0</v>
      </c>
      <c r="O907" t="n">
        <v>0</v>
      </c>
      <c r="P907" t="n">
        <v>0</v>
      </c>
      <c r="Q907" t="n">
        <v>0</v>
      </c>
      <c r="R907" s="2" t="inlineStr"/>
    </row>
    <row r="908" ht="15" customHeight="1">
      <c r="A908" t="inlineStr">
        <is>
          <t>A 3670-2019</t>
        </is>
      </c>
      <c r="B908" s="1" t="n">
        <v>43481</v>
      </c>
      <c r="C908" s="1" t="n">
        <v>45357</v>
      </c>
      <c r="D908" t="inlineStr">
        <is>
          <t>GÄVLEBORGS LÄN</t>
        </is>
      </c>
      <c r="E908" t="inlineStr">
        <is>
          <t>OVANÅKER</t>
        </is>
      </c>
      <c r="G908" t="n">
        <v>6.3</v>
      </c>
      <c r="H908" t="n">
        <v>0</v>
      </c>
      <c r="I908" t="n">
        <v>0</v>
      </c>
      <c r="J908" t="n">
        <v>0</v>
      </c>
      <c r="K908" t="n">
        <v>0</v>
      </c>
      <c r="L908" t="n">
        <v>0</v>
      </c>
      <c r="M908" t="n">
        <v>0</v>
      </c>
      <c r="N908" t="n">
        <v>0</v>
      </c>
      <c r="O908" t="n">
        <v>0</v>
      </c>
      <c r="P908" t="n">
        <v>0</v>
      </c>
      <c r="Q908" t="n">
        <v>0</v>
      </c>
      <c r="R908" s="2" t="inlineStr"/>
    </row>
    <row r="909" ht="15" customHeight="1">
      <c r="A909" t="inlineStr">
        <is>
          <t>A 5309-2019</t>
        </is>
      </c>
      <c r="B909" s="1" t="n">
        <v>43481</v>
      </c>
      <c r="C909" s="1" t="n">
        <v>45357</v>
      </c>
      <c r="D909" t="inlineStr">
        <is>
          <t>GÄVLEBORGS LÄN</t>
        </is>
      </c>
      <c r="E909" t="inlineStr">
        <is>
          <t>NORDANSTIG</t>
        </is>
      </c>
      <c r="G909" t="n">
        <v>5.6</v>
      </c>
      <c r="H909" t="n">
        <v>0</v>
      </c>
      <c r="I909" t="n">
        <v>0</v>
      </c>
      <c r="J909" t="n">
        <v>0</v>
      </c>
      <c r="K909" t="n">
        <v>0</v>
      </c>
      <c r="L909" t="n">
        <v>0</v>
      </c>
      <c r="M909" t="n">
        <v>0</v>
      </c>
      <c r="N909" t="n">
        <v>0</v>
      </c>
      <c r="O909" t="n">
        <v>0</v>
      </c>
      <c r="P909" t="n">
        <v>0</v>
      </c>
      <c r="Q909" t="n">
        <v>0</v>
      </c>
      <c r="R909" s="2" t="inlineStr"/>
    </row>
    <row r="910" ht="15" customHeight="1">
      <c r="A910" t="inlineStr">
        <is>
          <t>A 3797-2019</t>
        </is>
      </c>
      <c r="B910" s="1" t="n">
        <v>43482</v>
      </c>
      <c r="C910" s="1" t="n">
        <v>45357</v>
      </c>
      <c r="D910" t="inlineStr">
        <is>
          <t>GÄVLEBORGS LÄN</t>
        </is>
      </c>
      <c r="E910" t="inlineStr">
        <is>
          <t>HOFORS</t>
        </is>
      </c>
      <c r="G910" t="n">
        <v>0.6</v>
      </c>
      <c r="H910" t="n">
        <v>0</v>
      </c>
      <c r="I910" t="n">
        <v>0</v>
      </c>
      <c r="J910" t="n">
        <v>0</v>
      </c>
      <c r="K910" t="n">
        <v>0</v>
      </c>
      <c r="L910" t="n">
        <v>0</v>
      </c>
      <c r="M910" t="n">
        <v>0</v>
      </c>
      <c r="N910" t="n">
        <v>0</v>
      </c>
      <c r="O910" t="n">
        <v>0</v>
      </c>
      <c r="P910" t="n">
        <v>0</v>
      </c>
      <c r="Q910" t="n">
        <v>0</v>
      </c>
      <c r="R910" s="2" t="inlineStr"/>
    </row>
    <row r="911" ht="15" customHeight="1">
      <c r="A911" t="inlineStr">
        <is>
          <t>A 4061-2019</t>
        </is>
      </c>
      <c r="B911" s="1" t="n">
        <v>43482</v>
      </c>
      <c r="C911" s="1" t="n">
        <v>45357</v>
      </c>
      <c r="D911" t="inlineStr">
        <is>
          <t>GÄVLEBORGS LÄN</t>
        </is>
      </c>
      <c r="E911" t="inlineStr">
        <is>
          <t>OVANÅKER</t>
        </is>
      </c>
      <c r="G911" t="n">
        <v>2.2</v>
      </c>
      <c r="H911" t="n">
        <v>0</v>
      </c>
      <c r="I911" t="n">
        <v>0</v>
      </c>
      <c r="J911" t="n">
        <v>0</v>
      </c>
      <c r="K911" t="n">
        <v>0</v>
      </c>
      <c r="L911" t="n">
        <v>0</v>
      </c>
      <c r="M911" t="n">
        <v>0</v>
      </c>
      <c r="N911" t="n">
        <v>0</v>
      </c>
      <c r="O911" t="n">
        <v>0</v>
      </c>
      <c r="P911" t="n">
        <v>0</v>
      </c>
      <c r="Q911" t="n">
        <v>0</v>
      </c>
      <c r="R911" s="2" t="inlineStr"/>
    </row>
    <row r="912" ht="15" customHeight="1">
      <c r="A912" t="inlineStr">
        <is>
          <t>A 3917-2019</t>
        </is>
      </c>
      <c r="B912" s="1" t="n">
        <v>43482</v>
      </c>
      <c r="C912" s="1" t="n">
        <v>45357</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3796-2019</t>
        </is>
      </c>
      <c r="B913" s="1" t="n">
        <v>43482</v>
      </c>
      <c r="C913" s="1" t="n">
        <v>45357</v>
      </c>
      <c r="D913" t="inlineStr">
        <is>
          <t>GÄVLEBORGS LÄN</t>
        </is>
      </c>
      <c r="E913" t="inlineStr">
        <is>
          <t>HOFORS</t>
        </is>
      </c>
      <c r="G913" t="n">
        <v>0.9</v>
      </c>
      <c r="H913" t="n">
        <v>0</v>
      </c>
      <c r="I913" t="n">
        <v>0</v>
      </c>
      <c r="J913" t="n">
        <v>0</v>
      </c>
      <c r="K913" t="n">
        <v>0</v>
      </c>
      <c r="L913" t="n">
        <v>0</v>
      </c>
      <c r="M913" t="n">
        <v>0</v>
      </c>
      <c r="N913" t="n">
        <v>0</v>
      </c>
      <c r="O913" t="n">
        <v>0</v>
      </c>
      <c r="P913" t="n">
        <v>0</v>
      </c>
      <c r="Q913" t="n">
        <v>0</v>
      </c>
      <c r="R913" s="2" t="inlineStr"/>
    </row>
    <row r="914" ht="15" customHeight="1">
      <c r="A914" t="inlineStr">
        <is>
          <t>A 4019-2019</t>
        </is>
      </c>
      <c r="B914" s="1" t="n">
        <v>43482</v>
      </c>
      <c r="C914" s="1" t="n">
        <v>45357</v>
      </c>
      <c r="D914" t="inlineStr">
        <is>
          <t>GÄVLEBORGS LÄN</t>
        </is>
      </c>
      <c r="E914" t="inlineStr">
        <is>
          <t>GÄVLE</t>
        </is>
      </c>
      <c r="G914" t="n">
        <v>4.6</v>
      </c>
      <c r="H914" t="n">
        <v>0</v>
      </c>
      <c r="I914" t="n">
        <v>0</v>
      </c>
      <c r="J914" t="n">
        <v>0</v>
      </c>
      <c r="K914" t="n">
        <v>0</v>
      </c>
      <c r="L914" t="n">
        <v>0</v>
      </c>
      <c r="M914" t="n">
        <v>0</v>
      </c>
      <c r="N914" t="n">
        <v>0</v>
      </c>
      <c r="O914" t="n">
        <v>0</v>
      </c>
      <c r="P914" t="n">
        <v>0</v>
      </c>
      <c r="Q914" t="n">
        <v>0</v>
      </c>
      <c r="R914" s="2" t="inlineStr"/>
    </row>
    <row r="915" ht="15" customHeight="1">
      <c r="A915" t="inlineStr">
        <is>
          <t>A 3924-2019</t>
        </is>
      </c>
      <c r="B915" s="1" t="n">
        <v>43482</v>
      </c>
      <c r="C915" s="1" t="n">
        <v>45357</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3794-2019</t>
        </is>
      </c>
      <c r="B916" s="1" t="n">
        <v>43482</v>
      </c>
      <c r="C916" s="1" t="n">
        <v>45357</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4222-2019</t>
        </is>
      </c>
      <c r="B917" s="1" t="n">
        <v>43483</v>
      </c>
      <c r="C917" s="1" t="n">
        <v>45357</v>
      </c>
      <c r="D917" t="inlineStr">
        <is>
          <t>GÄVLEBORGS LÄN</t>
        </is>
      </c>
      <c r="E917" t="inlineStr">
        <is>
          <t>LJUSDAL</t>
        </is>
      </c>
      <c r="G917" t="n">
        <v>0.5</v>
      </c>
      <c r="H917" t="n">
        <v>0</v>
      </c>
      <c r="I917" t="n">
        <v>0</v>
      </c>
      <c r="J917" t="n">
        <v>0</v>
      </c>
      <c r="K917" t="n">
        <v>0</v>
      </c>
      <c r="L917" t="n">
        <v>0</v>
      </c>
      <c r="M917" t="n">
        <v>0</v>
      </c>
      <c r="N917" t="n">
        <v>0</v>
      </c>
      <c r="O917" t="n">
        <v>0</v>
      </c>
      <c r="P917" t="n">
        <v>0</v>
      </c>
      <c r="Q917" t="n">
        <v>0</v>
      </c>
      <c r="R917" s="2" t="inlineStr"/>
    </row>
    <row r="918" ht="15" customHeight="1">
      <c r="A918" t="inlineStr">
        <is>
          <t>A 4147-2019</t>
        </is>
      </c>
      <c r="B918" s="1" t="n">
        <v>43483</v>
      </c>
      <c r="C918" s="1" t="n">
        <v>45357</v>
      </c>
      <c r="D918" t="inlineStr">
        <is>
          <t>GÄVLEBORGS LÄN</t>
        </is>
      </c>
      <c r="E918" t="inlineStr">
        <is>
          <t>NORDANSTIG</t>
        </is>
      </c>
      <c r="G918" t="n">
        <v>19.6</v>
      </c>
      <c r="H918" t="n">
        <v>0</v>
      </c>
      <c r="I918" t="n">
        <v>0</v>
      </c>
      <c r="J918" t="n">
        <v>0</v>
      </c>
      <c r="K918" t="n">
        <v>0</v>
      </c>
      <c r="L918" t="n">
        <v>0</v>
      </c>
      <c r="M918" t="n">
        <v>0</v>
      </c>
      <c r="N918" t="n">
        <v>0</v>
      </c>
      <c r="O918" t="n">
        <v>0</v>
      </c>
      <c r="P918" t="n">
        <v>0</v>
      </c>
      <c r="Q918" t="n">
        <v>0</v>
      </c>
      <c r="R918" s="2" t="inlineStr"/>
    </row>
    <row r="919" ht="15" customHeight="1">
      <c r="A919" t="inlineStr">
        <is>
          <t>A 4347-2019</t>
        </is>
      </c>
      <c r="B919" s="1" t="n">
        <v>43483</v>
      </c>
      <c r="C919" s="1" t="n">
        <v>45357</v>
      </c>
      <c r="D919" t="inlineStr">
        <is>
          <t>GÄVLEBORGS LÄN</t>
        </is>
      </c>
      <c r="E919" t="inlineStr">
        <is>
          <t>OCKELBO</t>
        </is>
      </c>
      <c r="G919" t="n">
        <v>3.2</v>
      </c>
      <c r="H919" t="n">
        <v>0</v>
      </c>
      <c r="I919" t="n">
        <v>0</v>
      </c>
      <c r="J919" t="n">
        <v>0</v>
      </c>
      <c r="K919" t="n">
        <v>0</v>
      </c>
      <c r="L919" t="n">
        <v>0</v>
      </c>
      <c r="M919" t="n">
        <v>0</v>
      </c>
      <c r="N919" t="n">
        <v>0</v>
      </c>
      <c r="O919" t="n">
        <v>0</v>
      </c>
      <c r="P919" t="n">
        <v>0</v>
      </c>
      <c r="Q919" t="n">
        <v>0</v>
      </c>
      <c r="R919" s="2" t="inlineStr"/>
    </row>
    <row r="920" ht="15" customHeight="1">
      <c r="A920" t="inlineStr">
        <is>
          <t>A 4358-2019</t>
        </is>
      </c>
      <c r="B920" s="1" t="n">
        <v>43483</v>
      </c>
      <c r="C920" s="1" t="n">
        <v>45357</v>
      </c>
      <c r="D920" t="inlineStr">
        <is>
          <t>GÄVLEBORGS LÄN</t>
        </is>
      </c>
      <c r="E920" t="inlineStr">
        <is>
          <t>OCKELBO</t>
        </is>
      </c>
      <c r="G920" t="n">
        <v>2.4</v>
      </c>
      <c r="H920" t="n">
        <v>0</v>
      </c>
      <c r="I920" t="n">
        <v>0</v>
      </c>
      <c r="J920" t="n">
        <v>0</v>
      </c>
      <c r="K920" t="n">
        <v>0</v>
      </c>
      <c r="L920" t="n">
        <v>0</v>
      </c>
      <c r="M920" t="n">
        <v>0</v>
      </c>
      <c r="N920" t="n">
        <v>0</v>
      </c>
      <c r="O920" t="n">
        <v>0</v>
      </c>
      <c r="P920" t="n">
        <v>0</v>
      </c>
      <c r="Q920" t="n">
        <v>0</v>
      </c>
      <c r="R920" s="2" t="inlineStr"/>
    </row>
    <row r="921" ht="15" customHeight="1">
      <c r="A921" t="inlineStr">
        <is>
          <t>A 4361-2019</t>
        </is>
      </c>
      <c r="B921" s="1" t="n">
        <v>43483</v>
      </c>
      <c r="C921" s="1" t="n">
        <v>45357</v>
      </c>
      <c r="D921" t="inlineStr">
        <is>
          <t>GÄVLEBORGS LÄN</t>
        </is>
      </c>
      <c r="E921" t="inlineStr">
        <is>
          <t>NORDANSTIG</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6191-2019</t>
        </is>
      </c>
      <c r="B922" s="1" t="n">
        <v>43486</v>
      </c>
      <c r="C922" s="1" t="n">
        <v>45357</v>
      </c>
      <c r="D922" t="inlineStr">
        <is>
          <t>GÄVLEBORGS LÄN</t>
        </is>
      </c>
      <c r="E922" t="inlineStr">
        <is>
          <t>GÄVLE</t>
        </is>
      </c>
      <c r="G922" t="n">
        <v>9.4</v>
      </c>
      <c r="H922" t="n">
        <v>0</v>
      </c>
      <c r="I922" t="n">
        <v>0</v>
      </c>
      <c r="J922" t="n">
        <v>0</v>
      </c>
      <c r="K922" t="n">
        <v>0</v>
      </c>
      <c r="L922" t="n">
        <v>0</v>
      </c>
      <c r="M922" t="n">
        <v>0</v>
      </c>
      <c r="N922" t="n">
        <v>0</v>
      </c>
      <c r="O922" t="n">
        <v>0</v>
      </c>
      <c r="P922" t="n">
        <v>0</v>
      </c>
      <c r="Q922" t="n">
        <v>0</v>
      </c>
      <c r="R922" s="2" t="inlineStr"/>
    </row>
    <row r="923" ht="15" customHeight="1">
      <c r="A923" t="inlineStr">
        <is>
          <t>A 4571-2019</t>
        </is>
      </c>
      <c r="B923" s="1" t="n">
        <v>43486</v>
      </c>
      <c r="C923" s="1" t="n">
        <v>45357</v>
      </c>
      <c r="D923" t="inlineStr">
        <is>
          <t>GÄVLEBORGS LÄN</t>
        </is>
      </c>
      <c r="E923" t="inlineStr">
        <is>
          <t>HUDIKSVALL</t>
        </is>
      </c>
      <c r="G923" t="n">
        <v>3.2</v>
      </c>
      <c r="H923" t="n">
        <v>0</v>
      </c>
      <c r="I923" t="n">
        <v>0</v>
      </c>
      <c r="J923" t="n">
        <v>0</v>
      </c>
      <c r="K923" t="n">
        <v>0</v>
      </c>
      <c r="L923" t="n">
        <v>0</v>
      </c>
      <c r="M923" t="n">
        <v>0</v>
      </c>
      <c r="N923" t="n">
        <v>0</v>
      </c>
      <c r="O923" t="n">
        <v>0</v>
      </c>
      <c r="P923" t="n">
        <v>0</v>
      </c>
      <c r="Q923" t="n">
        <v>0</v>
      </c>
      <c r="R923" s="2" t="inlineStr"/>
    </row>
    <row r="924" ht="15" customHeight="1">
      <c r="A924" t="inlineStr">
        <is>
          <t>A 4599-2019</t>
        </is>
      </c>
      <c r="B924" s="1" t="n">
        <v>43486</v>
      </c>
      <c r="C924" s="1" t="n">
        <v>45357</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4689-2019</t>
        </is>
      </c>
      <c r="B925" s="1" t="n">
        <v>43486</v>
      </c>
      <c r="C925" s="1" t="n">
        <v>45357</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6234-2019</t>
        </is>
      </c>
      <c r="B926" s="1" t="n">
        <v>43486</v>
      </c>
      <c r="C926" s="1" t="n">
        <v>45357</v>
      </c>
      <c r="D926" t="inlineStr">
        <is>
          <t>GÄVLEBORGS LÄN</t>
        </is>
      </c>
      <c r="E926" t="inlineStr">
        <is>
          <t>GÄVLE</t>
        </is>
      </c>
      <c r="G926" t="n">
        <v>2</v>
      </c>
      <c r="H926" t="n">
        <v>0</v>
      </c>
      <c r="I926" t="n">
        <v>0</v>
      </c>
      <c r="J926" t="n">
        <v>0</v>
      </c>
      <c r="K926" t="n">
        <v>0</v>
      </c>
      <c r="L926" t="n">
        <v>0</v>
      </c>
      <c r="M926" t="n">
        <v>0</v>
      </c>
      <c r="N926" t="n">
        <v>0</v>
      </c>
      <c r="O926" t="n">
        <v>0</v>
      </c>
      <c r="P926" t="n">
        <v>0</v>
      </c>
      <c r="Q926" t="n">
        <v>0</v>
      </c>
      <c r="R926" s="2" t="inlineStr"/>
    </row>
    <row r="927" ht="15" customHeight="1">
      <c r="A927" t="inlineStr">
        <is>
          <t>A 4746-2019</t>
        </is>
      </c>
      <c r="B927" s="1" t="n">
        <v>43486</v>
      </c>
      <c r="C927" s="1" t="n">
        <v>45357</v>
      </c>
      <c r="D927" t="inlineStr">
        <is>
          <t>GÄVLEBORGS LÄN</t>
        </is>
      </c>
      <c r="E927" t="inlineStr">
        <is>
          <t>HUDIKSVALL</t>
        </is>
      </c>
      <c r="G927" t="n">
        <v>4.7</v>
      </c>
      <c r="H927" t="n">
        <v>0</v>
      </c>
      <c r="I927" t="n">
        <v>0</v>
      </c>
      <c r="J927" t="n">
        <v>0</v>
      </c>
      <c r="K927" t="n">
        <v>0</v>
      </c>
      <c r="L927" t="n">
        <v>0</v>
      </c>
      <c r="M927" t="n">
        <v>0</v>
      </c>
      <c r="N927" t="n">
        <v>0</v>
      </c>
      <c r="O927" t="n">
        <v>0</v>
      </c>
      <c r="P927" t="n">
        <v>0</v>
      </c>
      <c r="Q927" t="n">
        <v>0</v>
      </c>
      <c r="R927" s="2" t="inlineStr"/>
    </row>
    <row r="928" ht="15" customHeight="1">
      <c r="A928" t="inlineStr">
        <is>
          <t>A 6215-2019</t>
        </is>
      </c>
      <c r="B928" s="1" t="n">
        <v>43486</v>
      </c>
      <c r="C928" s="1" t="n">
        <v>45357</v>
      </c>
      <c r="D928" t="inlineStr">
        <is>
          <t>GÄVLEBORGS LÄN</t>
        </is>
      </c>
      <c r="E928" t="inlineStr">
        <is>
          <t>GÄVLE</t>
        </is>
      </c>
      <c r="G928" t="n">
        <v>3.3</v>
      </c>
      <c r="H928" t="n">
        <v>0</v>
      </c>
      <c r="I928" t="n">
        <v>0</v>
      </c>
      <c r="J928" t="n">
        <v>0</v>
      </c>
      <c r="K928" t="n">
        <v>0</v>
      </c>
      <c r="L928" t="n">
        <v>0</v>
      </c>
      <c r="M928" t="n">
        <v>0</v>
      </c>
      <c r="N928" t="n">
        <v>0</v>
      </c>
      <c r="O928" t="n">
        <v>0</v>
      </c>
      <c r="P928" t="n">
        <v>0</v>
      </c>
      <c r="Q928" t="n">
        <v>0</v>
      </c>
      <c r="R928" s="2" t="inlineStr"/>
    </row>
    <row r="929" ht="15" customHeight="1">
      <c r="A929" t="inlineStr">
        <is>
          <t>A 4558-2019</t>
        </is>
      </c>
      <c r="B929" s="1" t="n">
        <v>43486</v>
      </c>
      <c r="C929" s="1" t="n">
        <v>45357</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4791-2019</t>
        </is>
      </c>
      <c r="B930" s="1" t="n">
        <v>43486</v>
      </c>
      <c r="C930" s="1" t="n">
        <v>45357</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4556-2019</t>
        </is>
      </c>
      <c r="B931" s="1" t="n">
        <v>43486</v>
      </c>
      <c r="C931" s="1" t="n">
        <v>45357</v>
      </c>
      <c r="D931" t="inlineStr">
        <is>
          <t>GÄVLEBORGS LÄN</t>
        </is>
      </c>
      <c r="E931" t="inlineStr">
        <is>
          <t>LJUSDAL</t>
        </is>
      </c>
      <c r="F931" t="inlineStr">
        <is>
          <t>Kyrkan</t>
        </is>
      </c>
      <c r="G931" t="n">
        <v>17.3</v>
      </c>
      <c r="H931" t="n">
        <v>0</v>
      </c>
      <c r="I931" t="n">
        <v>0</v>
      </c>
      <c r="J931" t="n">
        <v>0</v>
      </c>
      <c r="K931" t="n">
        <v>0</v>
      </c>
      <c r="L931" t="n">
        <v>0</v>
      </c>
      <c r="M931" t="n">
        <v>0</v>
      </c>
      <c r="N931" t="n">
        <v>0</v>
      </c>
      <c r="O931" t="n">
        <v>0</v>
      </c>
      <c r="P931" t="n">
        <v>0</v>
      </c>
      <c r="Q931" t="n">
        <v>0</v>
      </c>
      <c r="R931" s="2" t="inlineStr"/>
    </row>
    <row r="932" ht="15" customHeight="1">
      <c r="A932" t="inlineStr">
        <is>
          <t>A 4598-2019</t>
        </is>
      </c>
      <c r="B932" s="1" t="n">
        <v>43486</v>
      </c>
      <c r="C932" s="1" t="n">
        <v>45357</v>
      </c>
      <c r="D932" t="inlineStr">
        <is>
          <t>GÄVLEBORGS LÄN</t>
        </is>
      </c>
      <c r="E932" t="inlineStr">
        <is>
          <t>HUDIKSVALL</t>
        </is>
      </c>
      <c r="G932" t="n">
        <v>1.2</v>
      </c>
      <c r="H932" t="n">
        <v>0</v>
      </c>
      <c r="I932" t="n">
        <v>0</v>
      </c>
      <c r="J932" t="n">
        <v>0</v>
      </c>
      <c r="K932" t="n">
        <v>0</v>
      </c>
      <c r="L932" t="n">
        <v>0</v>
      </c>
      <c r="M932" t="n">
        <v>0</v>
      </c>
      <c r="N932" t="n">
        <v>0</v>
      </c>
      <c r="O932" t="n">
        <v>0</v>
      </c>
      <c r="P932" t="n">
        <v>0</v>
      </c>
      <c r="Q932" t="n">
        <v>0</v>
      </c>
      <c r="R932" s="2" t="inlineStr"/>
    </row>
    <row r="933" ht="15" customHeight="1">
      <c r="A933" t="inlineStr">
        <is>
          <t>A 4880-2019</t>
        </is>
      </c>
      <c r="B933" s="1" t="n">
        <v>43487</v>
      </c>
      <c r="C933" s="1" t="n">
        <v>45357</v>
      </c>
      <c r="D933" t="inlineStr">
        <is>
          <t>GÄVLEBORGS LÄN</t>
        </is>
      </c>
      <c r="E933" t="inlineStr">
        <is>
          <t>OVANÅKER</t>
        </is>
      </c>
      <c r="G933" t="n">
        <v>7.2</v>
      </c>
      <c r="H933" t="n">
        <v>0</v>
      </c>
      <c r="I933" t="n">
        <v>0</v>
      </c>
      <c r="J933" t="n">
        <v>0</v>
      </c>
      <c r="K933" t="n">
        <v>0</v>
      </c>
      <c r="L933" t="n">
        <v>0</v>
      </c>
      <c r="M933" t="n">
        <v>0</v>
      </c>
      <c r="N933" t="n">
        <v>0</v>
      </c>
      <c r="O933" t="n">
        <v>0</v>
      </c>
      <c r="P933" t="n">
        <v>0</v>
      </c>
      <c r="Q933" t="n">
        <v>0</v>
      </c>
      <c r="R933" s="2" t="inlineStr"/>
    </row>
    <row r="934" ht="15" customHeight="1">
      <c r="A934" t="inlineStr">
        <is>
          <t>A 5076-2019</t>
        </is>
      </c>
      <c r="B934" s="1" t="n">
        <v>43487</v>
      </c>
      <c r="C934" s="1" t="n">
        <v>45357</v>
      </c>
      <c r="D934" t="inlineStr">
        <is>
          <t>GÄVLEBORGS LÄN</t>
        </is>
      </c>
      <c r="E934" t="inlineStr">
        <is>
          <t>SÖDERHAMN</t>
        </is>
      </c>
      <c r="G934" t="n">
        <v>3.7</v>
      </c>
      <c r="H934" t="n">
        <v>0</v>
      </c>
      <c r="I934" t="n">
        <v>0</v>
      </c>
      <c r="J934" t="n">
        <v>0</v>
      </c>
      <c r="K934" t="n">
        <v>0</v>
      </c>
      <c r="L934" t="n">
        <v>0</v>
      </c>
      <c r="M934" t="n">
        <v>0</v>
      </c>
      <c r="N934" t="n">
        <v>0</v>
      </c>
      <c r="O934" t="n">
        <v>0</v>
      </c>
      <c r="P934" t="n">
        <v>0</v>
      </c>
      <c r="Q934" t="n">
        <v>0</v>
      </c>
      <c r="R934" s="2" t="inlineStr"/>
    </row>
    <row r="935" ht="15" customHeight="1">
      <c r="A935" t="inlineStr">
        <is>
          <t>A 5057-2019</t>
        </is>
      </c>
      <c r="B935" s="1" t="n">
        <v>43487</v>
      </c>
      <c r="C935" s="1" t="n">
        <v>45357</v>
      </c>
      <c r="D935" t="inlineStr">
        <is>
          <t>GÄVLEBORGS LÄN</t>
        </is>
      </c>
      <c r="E935" t="inlineStr">
        <is>
          <t>LJUSDAL</t>
        </is>
      </c>
      <c r="G935" t="n">
        <v>12.1</v>
      </c>
      <c r="H935" t="n">
        <v>0</v>
      </c>
      <c r="I935" t="n">
        <v>0</v>
      </c>
      <c r="J935" t="n">
        <v>0</v>
      </c>
      <c r="K935" t="n">
        <v>0</v>
      </c>
      <c r="L935" t="n">
        <v>0</v>
      </c>
      <c r="M935" t="n">
        <v>0</v>
      </c>
      <c r="N935" t="n">
        <v>0</v>
      </c>
      <c r="O935" t="n">
        <v>0</v>
      </c>
      <c r="P935" t="n">
        <v>0</v>
      </c>
      <c r="Q935" t="n">
        <v>0</v>
      </c>
      <c r="R935" s="2" t="inlineStr"/>
    </row>
    <row r="936" ht="15" customHeight="1">
      <c r="A936" t="inlineStr">
        <is>
          <t>A 5017-2019</t>
        </is>
      </c>
      <c r="B936" s="1" t="n">
        <v>43487</v>
      </c>
      <c r="C936" s="1" t="n">
        <v>45357</v>
      </c>
      <c r="D936" t="inlineStr">
        <is>
          <t>GÄVLEBORGS LÄN</t>
        </is>
      </c>
      <c r="E936" t="inlineStr">
        <is>
          <t>SANDVIKEN</t>
        </is>
      </c>
      <c r="G936" t="n">
        <v>8.5</v>
      </c>
      <c r="H936" t="n">
        <v>0</v>
      </c>
      <c r="I936" t="n">
        <v>0</v>
      </c>
      <c r="J936" t="n">
        <v>0</v>
      </c>
      <c r="K936" t="n">
        <v>0</v>
      </c>
      <c r="L936" t="n">
        <v>0</v>
      </c>
      <c r="M936" t="n">
        <v>0</v>
      </c>
      <c r="N936" t="n">
        <v>0</v>
      </c>
      <c r="O936" t="n">
        <v>0</v>
      </c>
      <c r="P936" t="n">
        <v>0</v>
      </c>
      <c r="Q936" t="n">
        <v>0</v>
      </c>
      <c r="R936" s="2" t="inlineStr"/>
    </row>
    <row r="937" ht="15" customHeight="1">
      <c r="A937" t="inlineStr">
        <is>
          <t>A 4930-2019</t>
        </is>
      </c>
      <c r="B937" s="1" t="n">
        <v>43487</v>
      </c>
      <c r="C937" s="1" t="n">
        <v>45357</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5418-2019</t>
        </is>
      </c>
      <c r="B938" s="1" t="n">
        <v>43488</v>
      </c>
      <c r="C938" s="1" t="n">
        <v>45357</v>
      </c>
      <c r="D938" t="inlineStr">
        <is>
          <t>GÄVLEBORGS LÄN</t>
        </is>
      </c>
      <c r="E938" t="inlineStr">
        <is>
          <t>NORDANSTIG</t>
        </is>
      </c>
      <c r="G938" t="n">
        <v>7.2</v>
      </c>
      <c r="H938" t="n">
        <v>0</v>
      </c>
      <c r="I938" t="n">
        <v>0</v>
      </c>
      <c r="J938" t="n">
        <v>0</v>
      </c>
      <c r="K938" t="n">
        <v>0</v>
      </c>
      <c r="L938" t="n">
        <v>0</v>
      </c>
      <c r="M938" t="n">
        <v>0</v>
      </c>
      <c r="N938" t="n">
        <v>0</v>
      </c>
      <c r="O938" t="n">
        <v>0</v>
      </c>
      <c r="P938" t="n">
        <v>0</v>
      </c>
      <c r="Q938" t="n">
        <v>0</v>
      </c>
      <c r="R938" s="2" t="inlineStr"/>
    </row>
    <row r="939" ht="15" customHeight="1">
      <c r="A939" t="inlineStr">
        <is>
          <t>A 5641-2019</t>
        </is>
      </c>
      <c r="B939" s="1" t="n">
        <v>43489</v>
      </c>
      <c r="C939" s="1" t="n">
        <v>45357</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5671-2019</t>
        </is>
      </c>
      <c r="B940" s="1" t="n">
        <v>43489</v>
      </c>
      <c r="C940" s="1" t="n">
        <v>45357</v>
      </c>
      <c r="D940" t="inlineStr">
        <is>
          <t>GÄVLEBORGS LÄN</t>
        </is>
      </c>
      <c r="E940" t="inlineStr">
        <is>
          <t>NORDANSTIG</t>
        </is>
      </c>
      <c r="G940" t="n">
        <v>18.4</v>
      </c>
      <c r="H940" t="n">
        <v>0</v>
      </c>
      <c r="I940" t="n">
        <v>0</v>
      </c>
      <c r="J940" t="n">
        <v>0</v>
      </c>
      <c r="K940" t="n">
        <v>0</v>
      </c>
      <c r="L940" t="n">
        <v>0</v>
      </c>
      <c r="M940" t="n">
        <v>0</v>
      </c>
      <c r="N940" t="n">
        <v>0</v>
      </c>
      <c r="O940" t="n">
        <v>0</v>
      </c>
      <c r="P940" t="n">
        <v>0</v>
      </c>
      <c r="Q940" t="n">
        <v>0</v>
      </c>
      <c r="R940" s="2" t="inlineStr"/>
    </row>
    <row r="941" ht="15" customHeight="1">
      <c r="A941" t="inlineStr">
        <is>
          <t>A 5608-2019</t>
        </is>
      </c>
      <c r="B941" s="1" t="n">
        <v>43489</v>
      </c>
      <c r="C941" s="1" t="n">
        <v>45357</v>
      </c>
      <c r="D941" t="inlineStr">
        <is>
          <t>GÄVLEBORGS LÄN</t>
        </is>
      </c>
      <c r="E941" t="inlineStr">
        <is>
          <t>GÄVLE</t>
        </is>
      </c>
      <c r="G941" t="n">
        <v>2.6</v>
      </c>
      <c r="H941" t="n">
        <v>0</v>
      </c>
      <c r="I941" t="n">
        <v>0</v>
      </c>
      <c r="J941" t="n">
        <v>0</v>
      </c>
      <c r="K941" t="n">
        <v>0</v>
      </c>
      <c r="L941" t="n">
        <v>0</v>
      </c>
      <c r="M941" t="n">
        <v>0</v>
      </c>
      <c r="N941" t="n">
        <v>0</v>
      </c>
      <c r="O941" t="n">
        <v>0</v>
      </c>
      <c r="P941" t="n">
        <v>0</v>
      </c>
      <c r="Q941" t="n">
        <v>0</v>
      </c>
      <c r="R941" s="2" t="inlineStr"/>
    </row>
    <row r="942" ht="15" customHeight="1">
      <c r="A942" t="inlineStr">
        <is>
          <t>A 5581-2019</t>
        </is>
      </c>
      <c r="B942" s="1" t="n">
        <v>43489</v>
      </c>
      <c r="C942" s="1" t="n">
        <v>45357</v>
      </c>
      <c r="D942" t="inlineStr">
        <is>
          <t>GÄVLEBORGS LÄN</t>
        </is>
      </c>
      <c r="E942" t="inlineStr">
        <is>
          <t>GÄVLE</t>
        </is>
      </c>
      <c r="G942" t="n">
        <v>6.2</v>
      </c>
      <c r="H942" t="n">
        <v>0</v>
      </c>
      <c r="I942" t="n">
        <v>0</v>
      </c>
      <c r="J942" t="n">
        <v>0</v>
      </c>
      <c r="K942" t="n">
        <v>0</v>
      </c>
      <c r="L942" t="n">
        <v>0</v>
      </c>
      <c r="M942" t="n">
        <v>0</v>
      </c>
      <c r="N942" t="n">
        <v>0</v>
      </c>
      <c r="O942" t="n">
        <v>0</v>
      </c>
      <c r="P942" t="n">
        <v>0</v>
      </c>
      <c r="Q942" t="n">
        <v>0</v>
      </c>
      <c r="R942" s="2" t="inlineStr"/>
    </row>
    <row r="943" ht="15" customHeight="1">
      <c r="A943" t="inlineStr">
        <is>
          <t>A 7093-2019</t>
        </is>
      </c>
      <c r="B943" s="1" t="n">
        <v>43489</v>
      </c>
      <c r="C943" s="1" t="n">
        <v>45357</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5675-2019</t>
        </is>
      </c>
      <c r="B944" s="1" t="n">
        <v>43489</v>
      </c>
      <c r="C944" s="1" t="n">
        <v>45357</v>
      </c>
      <c r="D944" t="inlineStr">
        <is>
          <t>GÄVLEBORGS LÄN</t>
        </is>
      </c>
      <c r="E944" t="inlineStr">
        <is>
          <t>SÖDERHAMN</t>
        </is>
      </c>
      <c r="G944" t="n">
        <v>0.9</v>
      </c>
      <c r="H944" t="n">
        <v>0</v>
      </c>
      <c r="I944" t="n">
        <v>0</v>
      </c>
      <c r="J944" t="n">
        <v>0</v>
      </c>
      <c r="K944" t="n">
        <v>0</v>
      </c>
      <c r="L944" t="n">
        <v>0</v>
      </c>
      <c r="M944" t="n">
        <v>0</v>
      </c>
      <c r="N944" t="n">
        <v>0</v>
      </c>
      <c r="O944" t="n">
        <v>0</v>
      </c>
      <c r="P944" t="n">
        <v>0</v>
      </c>
      <c r="Q944" t="n">
        <v>0</v>
      </c>
      <c r="R944" s="2" t="inlineStr"/>
    </row>
    <row r="945" ht="15" customHeight="1">
      <c r="A945" t="inlineStr">
        <is>
          <t>A 5634-2019</t>
        </is>
      </c>
      <c r="B945" s="1" t="n">
        <v>43489</v>
      </c>
      <c r="C945" s="1" t="n">
        <v>45357</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5777-2019</t>
        </is>
      </c>
      <c r="B946" s="1" t="n">
        <v>43490</v>
      </c>
      <c r="C946" s="1" t="n">
        <v>45357</v>
      </c>
      <c r="D946" t="inlineStr">
        <is>
          <t>GÄVLEBORGS LÄN</t>
        </is>
      </c>
      <c r="E946" t="inlineStr">
        <is>
          <t>LJUSDAL</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5739-2019</t>
        </is>
      </c>
      <c r="B947" s="1" t="n">
        <v>43490</v>
      </c>
      <c r="C947" s="1" t="n">
        <v>45357</v>
      </c>
      <c r="D947" t="inlineStr">
        <is>
          <t>GÄVLEBORGS LÄN</t>
        </is>
      </c>
      <c r="E947" t="inlineStr">
        <is>
          <t>OCKELBO</t>
        </is>
      </c>
      <c r="G947" t="n">
        <v>7</v>
      </c>
      <c r="H947" t="n">
        <v>0</v>
      </c>
      <c r="I947" t="n">
        <v>0</v>
      </c>
      <c r="J947" t="n">
        <v>0</v>
      </c>
      <c r="K947" t="n">
        <v>0</v>
      </c>
      <c r="L947" t="n">
        <v>0</v>
      </c>
      <c r="M947" t="n">
        <v>0</v>
      </c>
      <c r="N947" t="n">
        <v>0</v>
      </c>
      <c r="O947" t="n">
        <v>0</v>
      </c>
      <c r="P947" t="n">
        <v>0</v>
      </c>
      <c r="Q947" t="n">
        <v>0</v>
      </c>
      <c r="R947" s="2" t="inlineStr"/>
    </row>
    <row r="948" ht="15" customHeight="1">
      <c r="A948" t="inlineStr">
        <is>
          <t>A 5746-2019</t>
        </is>
      </c>
      <c r="B948" s="1" t="n">
        <v>43490</v>
      </c>
      <c r="C948" s="1" t="n">
        <v>45357</v>
      </c>
      <c r="D948" t="inlineStr">
        <is>
          <t>GÄVLEBORGS LÄN</t>
        </is>
      </c>
      <c r="E948" t="inlineStr">
        <is>
          <t>HOFORS</t>
        </is>
      </c>
      <c r="G948" t="n">
        <v>3.1</v>
      </c>
      <c r="H948" t="n">
        <v>0</v>
      </c>
      <c r="I948" t="n">
        <v>0</v>
      </c>
      <c r="J948" t="n">
        <v>0</v>
      </c>
      <c r="K948" t="n">
        <v>0</v>
      </c>
      <c r="L948" t="n">
        <v>0</v>
      </c>
      <c r="M948" t="n">
        <v>0</v>
      </c>
      <c r="N948" t="n">
        <v>0</v>
      </c>
      <c r="O948" t="n">
        <v>0</v>
      </c>
      <c r="P948" t="n">
        <v>0</v>
      </c>
      <c r="Q948" t="n">
        <v>0</v>
      </c>
      <c r="R948" s="2" t="inlineStr"/>
    </row>
    <row r="949" ht="15" customHeight="1">
      <c r="A949" t="inlineStr">
        <is>
          <t>A 5898-2019</t>
        </is>
      </c>
      <c r="B949" s="1" t="n">
        <v>43490</v>
      </c>
      <c r="C949" s="1" t="n">
        <v>45357</v>
      </c>
      <c r="D949" t="inlineStr">
        <is>
          <t>GÄVLEBORGS LÄN</t>
        </is>
      </c>
      <c r="E949" t="inlineStr">
        <is>
          <t>OCKELBO</t>
        </is>
      </c>
      <c r="G949" t="n">
        <v>4.8</v>
      </c>
      <c r="H949" t="n">
        <v>0</v>
      </c>
      <c r="I949" t="n">
        <v>0</v>
      </c>
      <c r="J949" t="n">
        <v>0</v>
      </c>
      <c r="K949" t="n">
        <v>0</v>
      </c>
      <c r="L949" t="n">
        <v>0</v>
      </c>
      <c r="M949" t="n">
        <v>0</v>
      </c>
      <c r="N949" t="n">
        <v>0</v>
      </c>
      <c r="O949" t="n">
        <v>0</v>
      </c>
      <c r="P949" t="n">
        <v>0</v>
      </c>
      <c r="Q949" t="n">
        <v>0</v>
      </c>
      <c r="R949" s="2" t="inlineStr"/>
    </row>
    <row r="950" ht="15" customHeight="1">
      <c r="A950" t="inlineStr">
        <is>
          <t>A 6119-2019</t>
        </is>
      </c>
      <c r="B950" s="1" t="n">
        <v>43493</v>
      </c>
      <c r="C950" s="1" t="n">
        <v>45357</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6244-2019</t>
        </is>
      </c>
      <c r="B951" s="1" t="n">
        <v>43493</v>
      </c>
      <c r="C951" s="1" t="n">
        <v>45357</v>
      </c>
      <c r="D951" t="inlineStr">
        <is>
          <t>GÄVLEBORGS LÄN</t>
        </is>
      </c>
      <c r="E951" t="inlineStr">
        <is>
          <t>OCKELBO</t>
        </is>
      </c>
      <c r="G951" t="n">
        <v>1.1</v>
      </c>
      <c r="H951" t="n">
        <v>0</v>
      </c>
      <c r="I951" t="n">
        <v>0</v>
      </c>
      <c r="J951" t="n">
        <v>0</v>
      </c>
      <c r="K951" t="n">
        <v>0</v>
      </c>
      <c r="L951" t="n">
        <v>0</v>
      </c>
      <c r="M951" t="n">
        <v>0</v>
      </c>
      <c r="N951" t="n">
        <v>0</v>
      </c>
      <c r="O951" t="n">
        <v>0</v>
      </c>
      <c r="P951" t="n">
        <v>0</v>
      </c>
      <c r="Q951" t="n">
        <v>0</v>
      </c>
      <c r="R951" s="2" t="inlineStr"/>
    </row>
    <row r="952" ht="15" customHeight="1">
      <c r="A952" t="inlineStr">
        <is>
          <t>A 7664-2019</t>
        </is>
      </c>
      <c r="B952" s="1" t="n">
        <v>43493</v>
      </c>
      <c r="C952" s="1" t="n">
        <v>45357</v>
      </c>
      <c r="D952" t="inlineStr">
        <is>
          <t>GÄVLEBORGS LÄN</t>
        </is>
      </c>
      <c r="E952" t="inlineStr">
        <is>
          <t>OVANÅKER</t>
        </is>
      </c>
      <c r="G952" t="n">
        <v>9.4</v>
      </c>
      <c r="H952" t="n">
        <v>0</v>
      </c>
      <c r="I952" t="n">
        <v>0</v>
      </c>
      <c r="J952" t="n">
        <v>0</v>
      </c>
      <c r="K952" t="n">
        <v>0</v>
      </c>
      <c r="L952" t="n">
        <v>0</v>
      </c>
      <c r="M952" t="n">
        <v>0</v>
      </c>
      <c r="N952" t="n">
        <v>0</v>
      </c>
      <c r="O952" t="n">
        <v>0</v>
      </c>
      <c r="P952" t="n">
        <v>0</v>
      </c>
      <c r="Q952" t="n">
        <v>0</v>
      </c>
      <c r="R952" s="2" t="inlineStr"/>
    </row>
    <row r="953" ht="15" customHeight="1">
      <c r="A953" t="inlineStr">
        <is>
          <t>A 7684-2019</t>
        </is>
      </c>
      <c r="B953" s="1" t="n">
        <v>43493</v>
      </c>
      <c r="C953" s="1" t="n">
        <v>45357</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7676-2019</t>
        </is>
      </c>
      <c r="B954" s="1" t="n">
        <v>43493</v>
      </c>
      <c r="C954" s="1" t="n">
        <v>45357</v>
      </c>
      <c r="D954" t="inlineStr">
        <is>
          <t>GÄVLEBORGS LÄN</t>
        </is>
      </c>
      <c r="E954" t="inlineStr">
        <is>
          <t>OVANÅKER</t>
        </is>
      </c>
      <c r="G954" t="n">
        <v>1.1</v>
      </c>
      <c r="H954" t="n">
        <v>0</v>
      </c>
      <c r="I954" t="n">
        <v>0</v>
      </c>
      <c r="J954" t="n">
        <v>0</v>
      </c>
      <c r="K954" t="n">
        <v>0</v>
      </c>
      <c r="L954" t="n">
        <v>0</v>
      </c>
      <c r="M954" t="n">
        <v>0</v>
      </c>
      <c r="N954" t="n">
        <v>0</v>
      </c>
      <c r="O954" t="n">
        <v>0</v>
      </c>
      <c r="P954" t="n">
        <v>0</v>
      </c>
      <c r="Q954" t="n">
        <v>0</v>
      </c>
      <c r="R954" s="2" t="inlineStr"/>
    </row>
    <row r="955" ht="15" customHeight="1">
      <c r="A955" t="inlineStr">
        <is>
          <t>A 6279-2019</t>
        </is>
      </c>
      <c r="B955" s="1" t="n">
        <v>43493</v>
      </c>
      <c r="C955" s="1" t="n">
        <v>45357</v>
      </c>
      <c r="D955" t="inlineStr">
        <is>
          <t>GÄVLEBORGS LÄN</t>
        </is>
      </c>
      <c r="E955" t="inlineStr">
        <is>
          <t>NORDANSTIG</t>
        </is>
      </c>
      <c r="G955" t="n">
        <v>3.2</v>
      </c>
      <c r="H955" t="n">
        <v>0</v>
      </c>
      <c r="I955" t="n">
        <v>0</v>
      </c>
      <c r="J955" t="n">
        <v>0</v>
      </c>
      <c r="K955" t="n">
        <v>0</v>
      </c>
      <c r="L955" t="n">
        <v>0</v>
      </c>
      <c r="M955" t="n">
        <v>0</v>
      </c>
      <c r="N955" t="n">
        <v>0</v>
      </c>
      <c r="O955" t="n">
        <v>0</v>
      </c>
      <c r="P955" t="n">
        <v>0</v>
      </c>
      <c r="Q955" t="n">
        <v>0</v>
      </c>
      <c r="R955" s="2" t="inlineStr"/>
    </row>
    <row r="956" ht="15" customHeight="1">
      <c r="A956" t="inlineStr">
        <is>
          <t>A 6488-2019</t>
        </is>
      </c>
      <c r="B956" s="1" t="n">
        <v>43494</v>
      </c>
      <c r="C956" s="1" t="n">
        <v>45357</v>
      </c>
      <c r="D956" t="inlineStr">
        <is>
          <t>GÄVLEBORGS LÄN</t>
        </is>
      </c>
      <c r="E956" t="inlineStr">
        <is>
          <t>SÖDERHAMN</t>
        </is>
      </c>
      <c r="F956" t="inlineStr">
        <is>
          <t>Bergvik skog väst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6864-2019</t>
        </is>
      </c>
      <c r="B957" s="1" t="n">
        <v>43495</v>
      </c>
      <c r="C957" s="1" t="n">
        <v>45357</v>
      </c>
      <c r="D957" t="inlineStr">
        <is>
          <t>GÄVLEBORGS LÄN</t>
        </is>
      </c>
      <c r="E957" t="inlineStr">
        <is>
          <t>GÄVLE</t>
        </is>
      </c>
      <c r="G957" t="n">
        <v>4</v>
      </c>
      <c r="H957" t="n">
        <v>0</v>
      </c>
      <c r="I957" t="n">
        <v>0</v>
      </c>
      <c r="J957" t="n">
        <v>0</v>
      </c>
      <c r="K957" t="n">
        <v>0</v>
      </c>
      <c r="L957" t="n">
        <v>0</v>
      </c>
      <c r="M957" t="n">
        <v>0</v>
      </c>
      <c r="N957" t="n">
        <v>0</v>
      </c>
      <c r="O957" t="n">
        <v>0</v>
      </c>
      <c r="P957" t="n">
        <v>0</v>
      </c>
      <c r="Q957" t="n">
        <v>0</v>
      </c>
      <c r="R957" s="2" t="inlineStr"/>
    </row>
    <row r="958" ht="15" customHeight="1">
      <c r="A958" t="inlineStr">
        <is>
          <t>A 7162-2019</t>
        </is>
      </c>
      <c r="B958" s="1" t="n">
        <v>43496</v>
      </c>
      <c r="C958" s="1" t="n">
        <v>45357</v>
      </c>
      <c r="D958" t="inlineStr">
        <is>
          <t>GÄVLEBORGS LÄN</t>
        </is>
      </c>
      <c r="E958" t="inlineStr">
        <is>
          <t>OCKELBO</t>
        </is>
      </c>
      <c r="G958" t="n">
        <v>4.4</v>
      </c>
      <c r="H958" t="n">
        <v>0</v>
      </c>
      <c r="I958" t="n">
        <v>0</v>
      </c>
      <c r="J958" t="n">
        <v>0</v>
      </c>
      <c r="K958" t="n">
        <v>0</v>
      </c>
      <c r="L958" t="n">
        <v>0</v>
      </c>
      <c r="M958" t="n">
        <v>0</v>
      </c>
      <c r="N958" t="n">
        <v>0</v>
      </c>
      <c r="O958" t="n">
        <v>0</v>
      </c>
      <c r="P958" t="n">
        <v>0</v>
      </c>
      <c r="Q958" t="n">
        <v>0</v>
      </c>
      <c r="R958" s="2" t="inlineStr"/>
    </row>
    <row r="959" ht="15" customHeight="1">
      <c r="A959" t="inlineStr">
        <is>
          <t>A 7289-2019</t>
        </is>
      </c>
      <c r="B959" s="1" t="n">
        <v>43496</v>
      </c>
      <c r="C959" s="1" t="n">
        <v>45357</v>
      </c>
      <c r="D959" t="inlineStr">
        <is>
          <t>GÄVLEBORGS LÄN</t>
        </is>
      </c>
      <c r="E959" t="inlineStr">
        <is>
          <t>SANDVIKEN</t>
        </is>
      </c>
      <c r="G959" t="n">
        <v>0.7</v>
      </c>
      <c r="H959" t="n">
        <v>0</v>
      </c>
      <c r="I959" t="n">
        <v>0</v>
      </c>
      <c r="J959" t="n">
        <v>0</v>
      </c>
      <c r="K959" t="n">
        <v>0</v>
      </c>
      <c r="L959" t="n">
        <v>0</v>
      </c>
      <c r="M959" t="n">
        <v>0</v>
      </c>
      <c r="N959" t="n">
        <v>0</v>
      </c>
      <c r="O959" t="n">
        <v>0</v>
      </c>
      <c r="P959" t="n">
        <v>0</v>
      </c>
      <c r="Q959" t="n">
        <v>0</v>
      </c>
      <c r="R959" s="2" t="inlineStr"/>
    </row>
    <row r="960" ht="15" customHeight="1">
      <c r="A960" t="inlineStr">
        <is>
          <t>A 7207-2019</t>
        </is>
      </c>
      <c r="B960" s="1" t="n">
        <v>43496</v>
      </c>
      <c r="C960" s="1" t="n">
        <v>45357</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7375-2019</t>
        </is>
      </c>
      <c r="B961" s="1" t="n">
        <v>43497</v>
      </c>
      <c r="C961" s="1" t="n">
        <v>45357</v>
      </c>
      <c r="D961" t="inlineStr">
        <is>
          <t>GÄVLEBORGS LÄN</t>
        </is>
      </c>
      <c r="E961" t="inlineStr">
        <is>
          <t>LJUSDAL</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7454-2019</t>
        </is>
      </c>
      <c r="B962" s="1" t="n">
        <v>43497</v>
      </c>
      <c r="C962" s="1" t="n">
        <v>45357</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7450-2019</t>
        </is>
      </c>
      <c r="B963" s="1" t="n">
        <v>43497</v>
      </c>
      <c r="C963" s="1" t="n">
        <v>45357</v>
      </c>
      <c r="D963" t="inlineStr">
        <is>
          <t>GÄVLEBORGS LÄN</t>
        </is>
      </c>
      <c r="E963" t="inlineStr">
        <is>
          <t>HUDIKSVALL</t>
        </is>
      </c>
      <c r="G963" t="n">
        <v>5.1</v>
      </c>
      <c r="H963" t="n">
        <v>0</v>
      </c>
      <c r="I963" t="n">
        <v>0</v>
      </c>
      <c r="J963" t="n">
        <v>0</v>
      </c>
      <c r="K963" t="n">
        <v>0</v>
      </c>
      <c r="L963" t="n">
        <v>0</v>
      </c>
      <c r="M963" t="n">
        <v>0</v>
      </c>
      <c r="N963" t="n">
        <v>0</v>
      </c>
      <c r="O963" t="n">
        <v>0</v>
      </c>
      <c r="P963" t="n">
        <v>0</v>
      </c>
      <c r="Q963" t="n">
        <v>0</v>
      </c>
      <c r="R963" s="2" t="inlineStr"/>
    </row>
    <row r="964" ht="15" customHeight="1">
      <c r="A964" t="inlineStr">
        <is>
          <t>A 7590-2019</t>
        </is>
      </c>
      <c r="B964" s="1" t="n">
        <v>43498</v>
      </c>
      <c r="C964" s="1" t="n">
        <v>45357</v>
      </c>
      <c r="D964" t="inlineStr">
        <is>
          <t>GÄVLEBORGS LÄN</t>
        </is>
      </c>
      <c r="E964" t="inlineStr">
        <is>
          <t>NORDANSTIG</t>
        </is>
      </c>
      <c r="G964" t="n">
        <v>7.5</v>
      </c>
      <c r="H964" t="n">
        <v>0</v>
      </c>
      <c r="I964" t="n">
        <v>0</v>
      </c>
      <c r="J964" t="n">
        <v>0</v>
      </c>
      <c r="K964" t="n">
        <v>0</v>
      </c>
      <c r="L964" t="n">
        <v>0</v>
      </c>
      <c r="M964" t="n">
        <v>0</v>
      </c>
      <c r="N964" t="n">
        <v>0</v>
      </c>
      <c r="O964" t="n">
        <v>0</v>
      </c>
      <c r="P964" t="n">
        <v>0</v>
      </c>
      <c r="Q964" t="n">
        <v>0</v>
      </c>
      <c r="R964" s="2" t="inlineStr"/>
    </row>
    <row r="965" ht="15" customHeight="1">
      <c r="A965" t="inlineStr">
        <is>
          <t>A 7802-2019</t>
        </is>
      </c>
      <c r="B965" s="1" t="n">
        <v>43500</v>
      </c>
      <c r="C965" s="1" t="n">
        <v>45357</v>
      </c>
      <c r="D965" t="inlineStr">
        <is>
          <t>GÄVLEBORGS LÄN</t>
        </is>
      </c>
      <c r="E965" t="inlineStr">
        <is>
          <t>NORDANSTIG</t>
        </is>
      </c>
      <c r="G965" t="n">
        <v>3.9</v>
      </c>
      <c r="H965" t="n">
        <v>0</v>
      </c>
      <c r="I965" t="n">
        <v>0</v>
      </c>
      <c r="J965" t="n">
        <v>0</v>
      </c>
      <c r="K965" t="n">
        <v>0</v>
      </c>
      <c r="L965" t="n">
        <v>0</v>
      </c>
      <c r="M965" t="n">
        <v>0</v>
      </c>
      <c r="N965" t="n">
        <v>0</v>
      </c>
      <c r="O965" t="n">
        <v>0</v>
      </c>
      <c r="P965" t="n">
        <v>0</v>
      </c>
      <c r="Q965" t="n">
        <v>0</v>
      </c>
      <c r="R965" s="2" t="inlineStr"/>
    </row>
    <row r="966" ht="15" customHeight="1">
      <c r="A966" t="inlineStr">
        <is>
          <t>A 7904-2019</t>
        </is>
      </c>
      <c r="B966" s="1" t="n">
        <v>43500</v>
      </c>
      <c r="C966" s="1" t="n">
        <v>45357</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7780-2019</t>
        </is>
      </c>
      <c r="B967" s="1" t="n">
        <v>43500</v>
      </c>
      <c r="C967" s="1" t="n">
        <v>45357</v>
      </c>
      <c r="D967" t="inlineStr">
        <is>
          <t>GÄVLEBORGS LÄN</t>
        </is>
      </c>
      <c r="E967" t="inlineStr">
        <is>
          <t>NORDANSTIG</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7697-2019</t>
        </is>
      </c>
      <c r="B968" s="1" t="n">
        <v>43500</v>
      </c>
      <c r="C968" s="1" t="n">
        <v>45357</v>
      </c>
      <c r="D968" t="inlineStr">
        <is>
          <t>GÄVLEBORGS LÄN</t>
        </is>
      </c>
      <c r="E968" t="inlineStr">
        <is>
          <t>SÖDERHAMN</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7677-2019</t>
        </is>
      </c>
      <c r="B969" s="1" t="n">
        <v>43500</v>
      </c>
      <c r="C969" s="1" t="n">
        <v>45357</v>
      </c>
      <c r="D969" t="inlineStr">
        <is>
          <t>GÄVLEBORGS LÄN</t>
        </is>
      </c>
      <c r="E969" t="inlineStr">
        <is>
          <t>SÖDERHAMN</t>
        </is>
      </c>
      <c r="F969" t="inlineStr">
        <is>
          <t>Bergvik skog väst AB</t>
        </is>
      </c>
      <c r="G969" t="n">
        <v>9</v>
      </c>
      <c r="H969" t="n">
        <v>0</v>
      </c>
      <c r="I969" t="n">
        <v>0</v>
      </c>
      <c r="J969" t="n">
        <v>0</v>
      </c>
      <c r="K969" t="n">
        <v>0</v>
      </c>
      <c r="L969" t="n">
        <v>0</v>
      </c>
      <c r="M969" t="n">
        <v>0</v>
      </c>
      <c r="N969" t="n">
        <v>0</v>
      </c>
      <c r="O969" t="n">
        <v>0</v>
      </c>
      <c r="P969" t="n">
        <v>0</v>
      </c>
      <c r="Q969" t="n">
        <v>0</v>
      </c>
      <c r="R969" s="2" t="inlineStr"/>
    </row>
    <row r="970" ht="15" customHeight="1">
      <c r="A970" t="inlineStr">
        <is>
          <t>A 7781-2019</t>
        </is>
      </c>
      <c r="B970" s="1" t="n">
        <v>43500</v>
      </c>
      <c r="C970" s="1" t="n">
        <v>45357</v>
      </c>
      <c r="D970" t="inlineStr">
        <is>
          <t>GÄVLEBORGS LÄN</t>
        </is>
      </c>
      <c r="E970" t="inlineStr">
        <is>
          <t>SANDVIKEN</t>
        </is>
      </c>
      <c r="G970" t="n">
        <v>17.2</v>
      </c>
      <c r="H970" t="n">
        <v>0</v>
      </c>
      <c r="I970" t="n">
        <v>0</v>
      </c>
      <c r="J970" t="n">
        <v>0</v>
      </c>
      <c r="K970" t="n">
        <v>0</v>
      </c>
      <c r="L970" t="n">
        <v>0</v>
      </c>
      <c r="M970" t="n">
        <v>0</v>
      </c>
      <c r="N970" t="n">
        <v>0</v>
      </c>
      <c r="O970" t="n">
        <v>0</v>
      </c>
      <c r="P970" t="n">
        <v>0</v>
      </c>
      <c r="Q970" t="n">
        <v>0</v>
      </c>
      <c r="R970" s="2" t="inlineStr"/>
    </row>
    <row r="971" ht="15" customHeight="1">
      <c r="A971" t="inlineStr">
        <is>
          <t>A 8238-2019</t>
        </is>
      </c>
      <c r="B971" s="1" t="n">
        <v>43501</v>
      </c>
      <c r="C971" s="1" t="n">
        <v>45357</v>
      </c>
      <c r="D971" t="inlineStr">
        <is>
          <t>GÄVLEBORGS LÄN</t>
        </is>
      </c>
      <c r="E971" t="inlineStr">
        <is>
          <t>NORDANSTIG</t>
        </is>
      </c>
      <c r="G971" t="n">
        <v>2.9</v>
      </c>
      <c r="H971" t="n">
        <v>0</v>
      </c>
      <c r="I971" t="n">
        <v>0</v>
      </c>
      <c r="J971" t="n">
        <v>0</v>
      </c>
      <c r="K971" t="n">
        <v>0</v>
      </c>
      <c r="L971" t="n">
        <v>0</v>
      </c>
      <c r="M971" t="n">
        <v>0</v>
      </c>
      <c r="N971" t="n">
        <v>0</v>
      </c>
      <c r="O971" t="n">
        <v>0</v>
      </c>
      <c r="P971" t="n">
        <v>0</v>
      </c>
      <c r="Q971" t="n">
        <v>0</v>
      </c>
      <c r="R971" s="2" t="inlineStr"/>
    </row>
    <row r="972" ht="15" customHeight="1">
      <c r="A972" t="inlineStr">
        <is>
          <t>A 7946-2019</t>
        </is>
      </c>
      <c r="B972" s="1" t="n">
        <v>43501</v>
      </c>
      <c r="C972" s="1" t="n">
        <v>45357</v>
      </c>
      <c r="D972" t="inlineStr">
        <is>
          <t>GÄVLEBORGS LÄN</t>
        </is>
      </c>
      <c r="E972" t="inlineStr">
        <is>
          <t>NORDANSTIG</t>
        </is>
      </c>
      <c r="G972" t="n">
        <v>4.2</v>
      </c>
      <c r="H972" t="n">
        <v>0</v>
      </c>
      <c r="I972" t="n">
        <v>0</v>
      </c>
      <c r="J972" t="n">
        <v>0</v>
      </c>
      <c r="K972" t="n">
        <v>0</v>
      </c>
      <c r="L972" t="n">
        <v>0</v>
      </c>
      <c r="M972" t="n">
        <v>0</v>
      </c>
      <c r="N972" t="n">
        <v>0</v>
      </c>
      <c r="O972" t="n">
        <v>0</v>
      </c>
      <c r="P972" t="n">
        <v>0</v>
      </c>
      <c r="Q972" t="n">
        <v>0</v>
      </c>
      <c r="R972" s="2" t="inlineStr"/>
    </row>
    <row r="973" ht="15" customHeight="1">
      <c r="A973" t="inlineStr">
        <is>
          <t>A 8005-2019</t>
        </is>
      </c>
      <c r="B973" s="1" t="n">
        <v>43501</v>
      </c>
      <c r="C973" s="1" t="n">
        <v>45357</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8162-2019</t>
        </is>
      </c>
      <c r="B974" s="1" t="n">
        <v>43501</v>
      </c>
      <c r="C974" s="1" t="n">
        <v>45357</v>
      </c>
      <c r="D974" t="inlineStr">
        <is>
          <t>GÄVLEBORGS LÄN</t>
        </is>
      </c>
      <c r="E974" t="inlineStr">
        <is>
          <t>SANDVIKEN</t>
        </is>
      </c>
      <c r="G974" t="n">
        <v>0.9</v>
      </c>
      <c r="H974" t="n">
        <v>0</v>
      </c>
      <c r="I974" t="n">
        <v>0</v>
      </c>
      <c r="J974" t="n">
        <v>0</v>
      </c>
      <c r="K974" t="n">
        <v>0</v>
      </c>
      <c r="L974" t="n">
        <v>0</v>
      </c>
      <c r="M974" t="n">
        <v>0</v>
      </c>
      <c r="N974" t="n">
        <v>0</v>
      </c>
      <c r="O974" t="n">
        <v>0</v>
      </c>
      <c r="P974" t="n">
        <v>0</v>
      </c>
      <c r="Q974" t="n">
        <v>0</v>
      </c>
      <c r="R974" s="2" t="inlineStr"/>
    </row>
    <row r="975" ht="15" customHeight="1">
      <c r="A975" t="inlineStr">
        <is>
          <t>A 8290-2019</t>
        </is>
      </c>
      <c r="B975" s="1" t="n">
        <v>43502</v>
      </c>
      <c r="C975" s="1" t="n">
        <v>45357</v>
      </c>
      <c r="D975" t="inlineStr">
        <is>
          <t>GÄVLEBORGS LÄN</t>
        </is>
      </c>
      <c r="E975" t="inlineStr">
        <is>
          <t>OCKELBO</t>
        </is>
      </c>
      <c r="F975" t="inlineStr">
        <is>
          <t>Bergvik skog väst AB</t>
        </is>
      </c>
      <c r="G975" t="n">
        <v>12.7</v>
      </c>
      <c r="H975" t="n">
        <v>0</v>
      </c>
      <c r="I975" t="n">
        <v>0</v>
      </c>
      <c r="J975" t="n">
        <v>0</v>
      </c>
      <c r="K975" t="n">
        <v>0</v>
      </c>
      <c r="L975" t="n">
        <v>0</v>
      </c>
      <c r="M975" t="n">
        <v>0</v>
      </c>
      <c r="N975" t="n">
        <v>0</v>
      </c>
      <c r="O975" t="n">
        <v>0</v>
      </c>
      <c r="P975" t="n">
        <v>0</v>
      </c>
      <c r="Q975" t="n">
        <v>0</v>
      </c>
      <c r="R975" s="2" t="inlineStr"/>
    </row>
    <row r="976" ht="15" customHeight="1">
      <c r="A976" t="inlineStr">
        <is>
          <t>A 8287-2019</t>
        </is>
      </c>
      <c r="B976" s="1" t="n">
        <v>43502</v>
      </c>
      <c r="C976" s="1" t="n">
        <v>45357</v>
      </c>
      <c r="D976" t="inlineStr">
        <is>
          <t>GÄVLEBORGS LÄN</t>
        </is>
      </c>
      <c r="E976" t="inlineStr">
        <is>
          <t>OCKELBO</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8310-2019</t>
        </is>
      </c>
      <c r="B977" s="1" t="n">
        <v>43502</v>
      </c>
      <c r="C977" s="1" t="n">
        <v>45357</v>
      </c>
      <c r="D977" t="inlineStr">
        <is>
          <t>GÄVLEBORGS LÄN</t>
        </is>
      </c>
      <c r="E977" t="inlineStr">
        <is>
          <t>GÄVLE</t>
        </is>
      </c>
      <c r="G977" t="n">
        <v>0.6</v>
      </c>
      <c r="H977" t="n">
        <v>0</v>
      </c>
      <c r="I977" t="n">
        <v>0</v>
      </c>
      <c r="J977" t="n">
        <v>0</v>
      </c>
      <c r="K977" t="n">
        <v>0</v>
      </c>
      <c r="L977" t="n">
        <v>0</v>
      </c>
      <c r="M977" t="n">
        <v>0</v>
      </c>
      <c r="N977" t="n">
        <v>0</v>
      </c>
      <c r="O977" t="n">
        <v>0</v>
      </c>
      <c r="P977" t="n">
        <v>0</v>
      </c>
      <c r="Q977" t="n">
        <v>0</v>
      </c>
      <c r="R977" s="2" t="inlineStr"/>
    </row>
    <row r="978" ht="15" customHeight="1">
      <c r="A978" t="inlineStr">
        <is>
          <t>A 8313-2019</t>
        </is>
      </c>
      <c r="B978" s="1" t="n">
        <v>43502</v>
      </c>
      <c r="C978" s="1" t="n">
        <v>45357</v>
      </c>
      <c r="D978" t="inlineStr">
        <is>
          <t>GÄVLEBORGS LÄN</t>
        </is>
      </c>
      <c r="E978" t="inlineStr">
        <is>
          <t>OCKELBO</t>
        </is>
      </c>
      <c r="G978" t="n">
        <v>14.1</v>
      </c>
      <c r="H978" t="n">
        <v>0</v>
      </c>
      <c r="I978" t="n">
        <v>0</v>
      </c>
      <c r="J978" t="n">
        <v>0</v>
      </c>
      <c r="K978" t="n">
        <v>0</v>
      </c>
      <c r="L978" t="n">
        <v>0</v>
      </c>
      <c r="M978" t="n">
        <v>0</v>
      </c>
      <c r="N978" t="n">
        <v>0</v>
      </c>
      <c r="O978" t="n">
        <v>0</v>
      </c>
      <c r="P978" t="n">
        <v>0</v>
      </c>
      <c r="Q978" t="n">
        <v>0</v>
      </c>
      <c r="R978" s="2" t="inlineStr"/>
    </row>
    <row r="979" ht="15" customHeight="1">
      <c r="A979" t="inlineStr">
        <is>
          <t>A 8456-2019</t>
        </is>
      </c>
      <c r="B979" s="1" t="n">
        <v>43502</v>
      </c>
      <c r="C979" s="1" t="n">
        <v>45357</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8625-2019</t>
        </is>
      </c>
      <c r="B980" s="1" t="n">
        <v>43503</v>
      </c>
      <c r="C980" s="1" t="n">
        <v>45357</v>
      </c>
      <c r="D980" t="inlineStr">
        <is>
          <t>GÄVLEBORGS LÄN</t>
        </is>
      </c>
      <c r="E980" t="inlineStr">
        <is>
          <t>SÖDERHAMN</t>
        </is>
      </c>
      <c r="G980" t="n">
        <v>2</v>
      </c>
      <c r="H980" t="n">
        <v>0</v>
      </c>
      <c r="I980" t="n">
        <v>0</v>
      </c>
      <c r="J980" t="n">
        <v>0</v>
      </c>
      <c r="K980" t="n">
        <v>0</v>
      </c>
      <c r="L980" t="n">
        <v>0</v>
      </c>
      <c r="M980" t="n">
        <v>0</v>
      </c>
      <c r="N980" t="n">
        <v>0</v>
      </c>
      <c r="O980" t="n">
        <v>0</v>
      </c>
      <c r="P980" t="n">
        <v>0</v>
      </c>
      <c r="Q980" t="n">
        <v>0</v>
      </c>
      <c r="R980" s="2" t="inlineStr"/>
    </row>
    <row r="981" ht="15" customHeight="1">
      <c r="A981" t="inlineStr">
        <is>
          <t>A 8707-2019</t>
        </is>
      </c>
      <c r="B981" s="1" t="n">
        <v>43503</v>
      </c>
      <c r="C981" s="1" t="n">
        <v>45357</v>
      </c>
      <c r="D981" t="inlineStr">
        <is>
          <t>GÄVLEBORGS LÄN</t>
        </is>
      </c>
      <c r="E981" t="inlineStr">
        <is>
          <t>OVANÅKER</t>
        </is>
      </c>
      <c r="G981" t="n">
        <v>3.5</v>
      </c>
      <c r="H981" t="n">
        <v>0</v>
      </c>
      <c r="I981" t="n">
        <v>0</v>
      </c>
      <c r="J981" t="n">
        <v>0</v>
      </c>
      <c r="K981" t="n">
        <v>0</v>
      </c>
      <c r="L981" t="n">
        <v>0</v>
      </c>
      <c r="M981" t="n">
        <v>0</v>
      </c>
      <c r="N981" t="n">
        <v>0</v>
      </c>
      <c r="O981" t="n">
        <v>0</v>
      </c>
      <c r="P981" t="n">
        <v>0</v>
      </c>
      <c r="Q981" t="n">
        <v>0</v>
      </c>
      <c r="R981" s="2" t="inlineStr"/>
    </row>
    <row r="982" ht="15" customHeight="1">
      <c r="A982" t="inlineStr">
        <is>
          <t>A 9085-2019</t>
        </is>
      </c>
      <c r="B982" s="1" t="n">
        <v>43504</v>
      </c>
      <c r="C982" s="1" t="n">
        <v>45357</v>
      </c>
      <c r="D982" t="inlineStr">
        <is>
          <t>GÄVLEBORGS LÄN</t>
        </is>
      </c>
      <c r="E982" t="inlineStr">
        <is>
          <t>OVANÅKER</t>
        </is>
      </c>
      <c r="G982" t="n">
        <v>0.8</v>
      </c>
      <c r="H982" t="n">
        <v>0</v>
      </c>
      <c r="I982" t="n">
        <v>0</v>
      </c>
      <c r="J982" t="n">
        <v>0</v>
      </c>
      <c r="K982" t="n">
        <v>0</v>
      </c>
      <c r="L982" t="n">
        <v>0</v>
      </c>
      <c r="M982" t="n">
        <v>0</v>
      </c>
      <c r="N982" t="n">
        <v>0</v>
      </c>
      <c r="O982" t="n">
        <v>0</v>
      </c>
      <c r="P982" t="n">
        <v>0</v>
      </c>
      <c r="Q982" t="n">
        <v>0</v>
      </c>
      <c r="R982" s="2" t="inlineStr"/>
    </row>
    <row r="983" ht="15" customHeight="1">
      <c r="A983" t="inlineStr">
        <is>
          <t>A 9305-2019</t>
        </is>
      </c>
      <c r="B983" s="1" t="n">
        <v>43507</v>
      </c>
      <c r="C983" s="1" t="n">
        <v>45357</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9485-2019</t>
        </is>
      </c>
      <c r="B984" s="1" t="n">
        <v>43507</v>
      </c>
      <c r="C984" s="1" t="n">
        <v>45357</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9315-2019</t>
        </is>
      </c>
      <c r="B985" s="1" t="n">
        <v>43507</v>
      </c>
      <c r="C985" s="1" t="n">
        <v>45357</v>
      </c>
      <c r="D985" t="inlineStr">
        <is>
          <t>GÄVLEBORGS LÄN</t>
        </is>
      </c>
      <c r="E985" t="inlineStr">
        <is>
          <t>BOLLNÄS</t>
        </is>
      </c>
      <c r="G985" t="n">
        <v>2.3</v>
      </c>
      <c r="H985" t="n">
        <v>0</v>
      </c>
      <c r="I985" t="n">
        <v>0</v>
      </c>
      <c r="J985" t="n">
        <v>0</v>
      </c>
      <c r="K985" t="n">
        <v>0</v>
      </c>
      <c r="L985" t="n">
        <v>0</v>
      </c>
      <c r="M985" t="n">
        <v>0</v>
      </c>
      <c r="N985" t="n">
        <v>0</v>
      </c>
      <c r="O985" t="n">
        <v>0</v>
      </c>
      <c r="P985" t="n">
        <v>0</v>
      </c>
      <c r="Q985" t="n">
        <v>0</v>
      </c>
      <c r="R985" s="2" t="inlineStr"/>
    </row>
    <row r="986" ht="15" customHeight="1">
      <c r="A986" t="inlineStr">
        <is>
          <t>A 9370-2019</t>
        </is>
      </c>
      <c r="B986" s="1" t="n">
        <v>43507</v>
      </c>
      <c r="C986" s="1" t="n">
        <v>45357</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9629-2019</t>
        </is>
      </c>
      <c r="B987" s="1" t="n">
        <v>43508</v>
      </c>
      <c r="C987" s="1" t="n">
        <v>45357</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9639-2019</t>
        </is>
      </c>
      <c r="B988" s="1" t="n">
        <v>43508</v>
      </c>
      <c r="C988" s="1" t="n">
        <v>45357</v>
      </c>
      <c r="D988" t="inlineStr">
        <is>
          <t>GÄVLEBORGS LÄN</t>
        </is>
      </c>
      <c r="E988" t="inlineStr">
        <is>
          <t>GÄVLE</t>
        </is>
      </c>
      <c r="G988" t="n">
        <v>1.9</v>
      </c>
      <c r="H988" t="n">
        <v>0</v>
      </c>
      <c r="I988" t="n">
        <v>0</v>
      </c>
      <c r="J988" t="n">
        <v>0</v>
      </c>
      <c r="K988" t="n">
        <v>0</v>
      </c>
      <c r="L988" t="n">
        <v>0</v>
      </c>
      <c r="M988" t="n">
        <v>0</v>
      </c>
      <c r="N988" t="n">
        <v>0</v>
      </c>
      <c r="O988" t="n">
        <v>0</v>
      </c>
      <c r="P988" t="n">
        <v>0</v>
      </c>
      <c r="Q988" t="n">
        <v>0</v>
      </c>
      <c r="R988" s="2" t="inlineStr"/>
    </row>
    <row r="989" ht="15" customHeight="1">
      <c r="A989" t="inlineStr">
        <is>
          <t>A 9646-2019</t>
        </is>
      </c>
      <c r="B989" s="1" t="n">
        <v>43508</v>
      </c>
      <c r="C989" s="1" t="n">
        <v>45357</v>
      </c>
      <c r="D989" t="inlineStr">
        <is>
          <t>GÄVLEBORGS LÄN</t>
        </is>
      </c>
      <c r="E989" t="inlineStr">
        <is>
          <t>LJUSDAL</t>
        </is>
      </c>
      <c r="G989" t="n">
        <v>15.8</v>
      </c>
      <c r="H989" t="n">
        <v>0</v>
      </c>
      <c r="I989" t="n">
        <v>0</v>
      </c>
      <c r="J989" t="n">
        <v>0</v>
      </c>
      <c r="K989" t="n">
        <v>0</v>
      </c>
      <c r="L989" t="n">
        <v>0</v>
      </c>
      <c r="M989" t="n">
        <v>0</v>
      </c>
      <c r="N989" t="n">
        <v>0</v>
      </c>
      <c r="O989" t="n">
        <v>0</v>
      </c>
      <c r="P989" t="n">
        <v>0</v>
      </c>
      <c r="Q989" t="n">
        <v>0</v>
      </c>
      <c r="R989" s="2" t="inlineStr"/>
    </row>
    <row r="990" ht="15" customHeight="1">
      <c r="A990" t="inlineStr">
        <is>
          <t>A 9852-2019</t>
        </is>
      </c>
      <c r="B990" s="1" t="n">
        <v>43509</v>
      </c>
      <c r="C990" s="1" t="n">
        <v>45357</v>
      </c>
      <c r="D990" t="inlineStr">
        <is>
          <t>GÄVLEBORGS LÄN</t>
        </is>
      </c>
      <c r="E990" t="inlineStr">
        <is>
          <t>GÄVLE</t>
        </is>
      </c>
      <c r="G990" t="n">
        <v>5.8</v>
      </c>
      <c r="H990" t="n">
        <v>0</v>
      </c>
      <c r="I990" t="n">
        <v>0</v>
      </c>
      <c r="J990" t="n">
        <v>0</v>
      </c>
      <c r="K990" t="n">
        <v>0</v>
      </c>
      <c r="L990" t="n">
        <v>0</v>
      </c>
      <c r="M990" t="n">
        <v>0</v>
      </c>
      <c r="N990" t="n">
        <v>0</v>
      </c>
      <c r="O990" t="n">
        <v>0</v>
      </c>
      <c r="P990" t="n">
        <v>0</v>
      </c>
      <c r="Q990" t="n">
        <v>0</v>
      </c>
      <c r="R990" s="2" t="inlineStr"/>
    </row>
    <row r="991" ht="15" customHeight="1">
      <c r="A991" t="inlineStr">
        <is>
          <t>A 9872-2019</t>
        </is>
      </c>
      <c r="B991" s="1" t="n">
        <v>43509</v>
      </c>
      <c r="C991" s="1" t="n">
        <v>45357</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10005-2019</t>
        </is>
      </c>
      <c r="B992" s="1" t="n">
        <v>43509</v>
      </c>
      <c r="C992" s="1" t="n">
        <v>45357</v>
      </c>
      <c r="D992" t="inlineStr">
        <is>
          <t>GÄVLEBORGS LÄN</t>
        </is>
      </c>
      <c r="E992" t="inlineStr">
        <is>
          <t>OVANÅKER</t>
        </is>
      </c>
      <c r="G992" t="n">
        <v>1</v>
      </c>
      <c r="H992" t="n">
        <v>0</v>
      </c>
      <c r="I992" t="n">
        <v>0</v>
      </c>
      <c r="J992" t="n">
        <v>0</v>
      </c>
      <c r="K992" t="n">
        <v>0</v>
      </c>
      <c r="L992" t="n">
        <v>0</v>
      </c>
      <c r="M992" t="n">
        <v>0</v>
      </c>
      <c r="N992" t="n">
        <v>0</v>
      </c>
      <c r="O992" t="n">
        <v>0</v>
      </c>
      <c r="P992" t="n">
        <v>0</v>
      </c>
      <c r="Q992" t="n">
        <v>0</v>
      </c>
      <c r="R992" s="2" t="inlineStr"/>
    </row>
    <row r="993" ht="15" customHeight="1">
      <c r="A993" t="inlineStr">
        <is>
          <t>A 10088-2019</t>
        </is>
      </c>
      <c r="B993" s="1" t="n">
        <v>43510</v>
      </c>
      <c r="C993" s="1" t="n">
        <v>45357</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10102-2019</t>
        </is>
      </c>
      <c r="B994" s="1" t="n">
        <v>43510</v>
      </c>
      <c r="C994" s="1" t="n">
        <v>45357</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10086-2019</t>
        </is>
      </c>
      <c r="B995" s="1" t="n">
        <v>43510</v>
      </c>
      <c r="C995" s="1" t="n">
        <v>45357</v>
      </c>
      <c r="D995" t="inlineStr">
        <is>
          <t>GÄVLEBORGS LÄN</t>
        </is>
      </c>
      <c r="E995" t="inlineStr">
        <is>
          <t>LJUSDAL</t>
        </is>
      </c>
      <c r="G995" t="n">
        <v>12.2</v>
      </c>
      <c r="H995" t="n">
        <v>0</v>
      </c>
      <c r="I995" t="n">
        <v>0</v>
      </c>
      <c r="J995" t="n">
        <v>0</v>
      </c>
      <c r="K995" t="n">
        <v>0</v>
      </c>
      <c r="L995" t="n">
        <v>0</v>
      </c>
      <c r="M995" t="n">
        <v>0</v>
      </c>
      <c r="N995" t="n">
        <v>0</v>
      </c>
      <c r="O995" t="n">
        <v>0</v>
      </c>
      <c r="P995" t="n">
        <v>0</v>
      </c>
      <c r="Q995" t="n">
        <v>0</v>
      </c>
      <c r="R995" s="2" t="inlineStr"/>
    </row>
    <row r="996" ht="15" customHeight="1">
      <c r="A996" t="inlineStr">
        <is>
          <t>A 10030-2019</t>
        </is>
      </c>
      <c r="B996" s="1" t="n">
        <v>43510</v>
      </c>
      <c r="C996" s="1" t="n">
        <v>45357</v>
      </c>
      <c r="D996" t="inlineStr">
        <is>
          <t>GÄVLEBORGS LÄN</t>
        </is>
      </c>
      <c r="E996" t="inlineStr">
        <is>
          <t>GÄVLE</t>
        </is>
      </c>
      <c r="G996" t="n">
        <v>3.8</v>
      </c>
      <c r="H996" t="n">
        <v>0</v>
      </c>
      <c r="I996" t="n">
        <v>0</v>
      </c>
      <c r="J996" t="n">
        <v>0</v>
      </c>
      <c r="K996" t="n">
        <v>0</v>
      </c>
      <c r="L996" t="n">
        <v>0</v>
      </c>
      <c r="M996" t="n">
        <v>0</v>
      </c>
      <c r="N996" t="n">
        <v>0</v>
      </c>
      <c r="O996" t="n">
        <v>0</v>
      </c>
      <c r="P996" t="n">
        <v>0</v>
      </c>
      <c r="Q996" t="n">
        <v>0</v>
      </c>
      <c r="R996" s="2" t="inlineStr"/>
    </row>
    <row r="997" ht="15" customHeight="1">
      <c r="A997" t="inlineStr">
        <is>
          <t>A 10313-2019</t>
        </is>
      </c>
      <c r="B997" s="1" t="n">
        <v>43511</v>
      </c>
      <c r="C997" s="1" t="n">
        <v>45357</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10446-2019</t>
        </is>
      </c>
      <c r="B998" s="1" t="n">
        <v>43511</v>
      </c>
      <c r="C998" s="1" t="n">
        <v>45357</v>
      </c>
      <c r="D998" t="inlineStr">
        <is>
          <t>GÄVLEBORGS LÄN</t>
        </is>
      </c>
      <c r="E998" t="inlineStr">
        <is>
          <t>SÖDERHAMN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10316-2019</t>
        </is>
      </c>
      <c r="B999" s="1" t="n">
        <v>43511</v>
      </c>
      <c r="C999" s="1" t="n">
        <v>45357</v>
      </c>
      <c r="D999" t="inlineStr">
        <is>
          <t>GÄVLEBORGS LÄN</t>
        </is>
      </c>
      <c r="E999" t="inlineStr">
        <is>
          <t>GÄVLE</t>
        </is>
      </c>
      <c r="G999" t="n">
        <v>0.8</v>
      </c>
      <c r="H999" t="n">
        <v>0</v>
      </c>
      <c r="I999" t="n">
        <v>0</v>
      </c>
      <c r="J999" t="n">
        <v>0</v>
      </c>
      <c r="K999" t="n">
        <v>0</v>
      </c>
      <c r="L999" t="n">
        <v>0</v>
      </c>
      <c r="M999" t="n">
        <v>0</v>
      </c>
      <c r="N999" t="n">
        <v>0</v>
      </c>
      <c r="O999" t="n">
        <v>0</v>
      </c>
      <c r="P999" t="n">
        <v>0</v>
      </c>
      <c r="Q999" t="n">
        <v>0</v>
      </c>
      <c r="R999" s="2" t="inlineStr"/>
    </row>
    <row r="1000" ht="15" customHeight="1">
      <c r="A1000" t="inlineStr">
        <is>
          <t>A 10463-2019</t>
        </is>
      </c>
      <c r="B1000" s="1" t="n">
        <v>43511</v>
      </c>
      <c r="C1000" s="1" t="n">
        <v>45357</v>
      </c>
      <c r="D1000" t="inlineStr">
        <is>
          <t>GÄVLEBORGS LÄN</t>
        </is>
      </c>
      <c r="E1000" t="inlineStr">
        <is>
          <t>LJUSDAL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10315-2019</t>
        </is>
      </c>
      <c r="B1001" s="1" t="n">
        <v>43511</v>
      </c>
      <c r="C1001" s="1" t="n">
        <v>45357</v>
      </c>
      <c r="D1001" t="inlineStr">
        <is>
          <t>GÄVLEBORGS LÄN</t>
        </is>
      </c>
      <c r="E1001" t="inlineStr">
        <is>
          <t>SÖDERHAMN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10785-2019</t>
        </is>
      </c>
      <c r="B1002" s="1" t="n">
        <v>43514</v>
      </c>
      <c r="C1002" s="1" t="n">
        <v>45357</v>
      </c>
      <c r="D1002" t="inlineStr">
        <is>
          <t>GÄVLEBORGS LÄN</t>
        </is>
      </c>
      <c r="E1002" t="inlineStr">
        <is>
          <t>LJUSDAL</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10782-2019</t>
        </is>
      </c>
      <c r="B1003" s="1" t="n">
        <v>43514</v>
      </c>
      <c r="C1003" s="1" t="n">
        <v>45357</v>
      </c>
      <c r="D1003" t="inlineStr">
        <is>
          <t>GÄVLEBORGS LÄN</t>
        </is>
      </c>
      <c r="E1003" t="inlineStr">
        <is>
          <t>LJUSDAL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10877-2019</t>
        </is>
      </c>
      <c r="B1004" s="1" t="n">
        <v>43515</v>
      </c>
      <c r="C1004" s="1" t="n">
        <v>45357</v>
      </c>
      <c r="D1004" t="inlineStr">
        <is>
          <t>GÄVLEBORGS LÄN</t>
        </is>
      </c>
      <c r="E1004" t="inlineStr">
        <is>
          <t>BOLLNÄS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10941-2019</t>
        </is>
      </c>
      <c r="B1005" s="1" t="n">
        <v>43515</v>
      </c>
      <c r="C1005" s="1" t="n">
        <v>45357</v>
      </c>
      <c r="D1005" t="inlineStr">
        <is>
          <t>GÄVLEBORGS LÄN</t>
        </is>
      </c>
      <c r="E1005" t="inlineStr">
        <is>
          <t>OVANÅKER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11045-2019</t>
        </is>
      </c>
      <c r="B1006" s="1" t="n">
        <v>43515</v>
      </c>
      <c r="C1006" s="1" t="n">
        <v>45357</v>
      </c>
      <c r="D1006" t="inlineStr">
        <is>
          <t>GÄVLEBORGS LÄN</t>
        </is>
      </c>
      <c r="E1006" t="inlineStr">
        <is>
          <t>LJUSDAL</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11216-2019</t>
        </is>
      </c>
      <c r="B1007" s="1" t="n">
        <v>43516</v>
      </c>
      <c r="C1007" s="1" t="n">
        <v>45357</v>
      </c>
      <c r="D1007" t="inlineStr">
        <is>
          <t>GÄVLEBORGS LÄN</t>
        </is>
      </c>
      <c r="E1007" t="inlineStr">
        <is>
          <t>LJUSDAL</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11212-2019</t>
        </is>
      </c>
      <c r="B1008" s="1" t="n">
        <v>43516</v>
      </c>
      <c r="C1008" s="1" t="n">
        <v>45357</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11359-2019</t>
        </is>
      </c>
      <c r="B1009" s="1" t="n">
        <v>43517</v>
      </c>
      <c r="C1009" s="1" t="n">
        <v>45357</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11484-2019</t>
        </is>
      </c>
      <c r="B1010" s="1" t="n">
        <v>43517</v>
      </c>
      <c r="C1010" s="1" t="n">
        <v>45357</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11489-2019</t>
        </is>
      </c>
      <c r="B1011" s="1" t="n">
        <v>43517</v>
      </c>
      <c r="C1011" s="1" t="n">
        <v>45357</v>
      </c>
      <c r="D1011" t="inlineStr">
        <is>
          <t>GÄVLEBORGS LÄN</t>
        </is>
      </c>
      <c r="E1011" t="inlineStr">
        <is>
          <t>BOLLNÄS</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11363-2019</t>
        </is>
      </c>
      <c r="B1012" s="1" t="n">
        <v>43517</v>
      </c>
      <c r="C1012" s="1" t="n">
        <v>45357</v>
      </c>
      <c r="D1012" t="inlineStr">
        <is>
          <t>GÄVLEBORGS LÄN</t>
        </is>
      </c>
      <c r="E1012" t="inlineStr">
        <is>
          <t>LJUSDAL</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11652-2019</t>
        </is>
      </c>
      <c r="B1013" s="1" t="n">
        <v>43518</v>
      </c>
      <c r="C1013" s="1" t="n">
        <v>45357</v>
      </c>
      <c r="D1013" t="inlineStr">
        <is>
          <t>GÄVLEBORGS LÄN</t>
        </is>
      </c>
      <c r="E1013" t="inlineStr">
        <is>
          <t>BOLLNÄS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11823-2019</t>
        </is>
      </c>
      <c r="B1014" s="1" t="n">
        <v>43521</v>
      </c>
      <c r="C1014" s="1" t="n">
        <v>45357</v>
      </c>
      <c r="D1014" t="inlineStr">
        <is>
          <t>GÄVLEBORGS LÄN</t>
        </is>
      </c>
      <c r="E1014" t="inlineStr">
        <is>
          <t>HUDIKSVALL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11905-2019</t>
        </is>
      </c>
      <c r="B1015" s="1" t="n">
        <v>43521</v>
      </c>
      <c r="C1015" s="1" t="n">
        <v>45357</v>
      </c>
      <c r="D1015" t="inlineStr">
        <is>
          <t>GÄVLEBORGS LÄN</t>
        </is>
      </c>
      <c r="E1015" t="inlineStr">
        <is>
          <t>HUDIKSVALL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11988-2019</t>
        </is>
      </c>
      <c r="B1016" s="1" t="n">
        <v>43521</v>
      </c>
      <c r="C1016" s="1" t="n">
        <v>45357</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11959-2019</t>
        </is>
      </c>
      <c r="B1017" s="1" t="n">
        <v>43521</v>
      </c>
      <c r="C1017" s="1" t="n">
        <v>45357</v>
      </c>
      <c r="D1017" t="inlineStr">
        <is>
          <t>GÄVLEBORGS LÄN</t>
        </is>
      </c>
      <c r="E1017" t="inlineStr">
        <is>
          <t>OVANÅKER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11908-2019</t>
        </is>
      </c>
      <c r="B1018" s="1" t="n">
        <v>43521</v>
      </c>
      <c r="C1018" s="1" t="n">
        <v>45357</v>
      </c>
      <c r="D1018" t="inlineStr">
        <is>
          <t>GÄVLEBORGS LÄN</t>
        </is>
      </c>
      <c r="E1018" t="inlineStr">
        <is>
          <t>LJUSDAL</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11891-2019</t>
        </is>
      </c>
      <c r="B1019" s="1" t="n">
        <v>43521</v>
      </c>
      <c r="C1019" s="1" t="n">
        <v>45357</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11967-2019</t>
        </is>
      </c>
      <c r="B1020" s="1" t="n">
        <v>43521</v>
      </c>
      <c r="C1020" s="1" t="n">
        <v>45357</v>
      </c>
      <c r="D1020" t="inlineStr">
        <is>
          <t>GÄVLEBORGS LÄN</t>
        </is>
      </c>
      <c r="E1020" t="inlineStr">
        <is>
          <t>OVANÅKER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11920-2019</t>
        </is>
      </c>
      <c r="B1021" s="1" t="n">
        <v>43521</v>
      </c>
      <c r="C1021" s="1" t="n">
        <v>45357</v>
      </c>
      <c r="D1021" t="inlineStr">
        <is>
          <t>GÄVLEBORGS LÄN</t>
        </is>
      </c>
      <c r="E1021" t="inlineStr">
        <is>
          <t>HUDIKSVALL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12118-2019</t>
        </is>
      </c>
      <c r="B1022" s="1" t="n">
        <v>43522</v>
      </c>
      <c r="C1022" s="1" t="n">
        <v>45357</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12319-2019</t>
        </is>
      </c>
      <c r="B1023" s="1" t="n">
        <v>43523</v>
      </c>
      <c r="C1023" s="1" t="n">
        <v>45357</v>
      </c>
      <c r="D1023" t="inlineStr">
        <is>
          <t>GÄVLEBORGS LÄN</t>
        </is>
      </c>
      <c r="E1023" t="inlineStr">
        <is>
          <t>BOLLNÄS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12289-2019</t>
        </is>
      </c>
      <c r="B1024" s="1" t="n">
        <v>43523</v>
      </c>
      <c r="C1024" s="1" t="n">
        <v>45357</v>
      </c>
      <c r="D1024" t="inlineStr">
        <is>
          <t>GÄVLEBORGS LÄN</t>
        </is>
      </c>
      <c r="E1024" t="inlineStr">
        <is>
          <t>HUDIKSVALL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12559-2019</t>
        </is>
      </c>
      <c r="B1025" s="1" t="n">
        <v>43524</v>
      </c>
      <c r="C1025" s="1" t="n">
        <v>45357</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12669-2019</t>
        </is>
      </c>
      <c r="B1026" s="1" t="n">
        <v>43524</v>
      </c>
      <c r="C1026" s="1" t="n">
        <v>45357</v>
      </c>
      <c r="D1026" t="inlineStr">
        <is>
          <t>GÄVLEBORGS LÄN</t>
        </is>
      </c>
      <c r="E1026" t="inlineStr">
        <is>
          <t>LJUSDAL</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12676-2019</t>
        </is>
      </c>
      <c r="B1027" s="1" t="n">
        <v>43524</v>
      </c>
      <c r="C1027" s="1" t="n">
        <v>45357</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12538-2019</t>
        </is>
      </c>
      <c r="B1028" s="1" t="n">
        <v>43524</v>
      </c>
      <c r="C1028" s="1" t="n">
        <v>45357</v>
      </c>
      <c r="D1028" t="inlineStr">
        <is>
          <t>GÄVLEBORGS LÄN</t>
        </is>
      </c>
      <c r="E1028" t="inlineStr">
        <is>
          <t>HOFORS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12779-2019</t>
        </is>
      </c>
      <c r="B1029" s="1" t="n">
        <v>43525</v>
      </c>
      <c r="C1029" s="1" t="n">
        <v>45357</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12845-2019</t>
        </is>
      </c>
      <c r="B1030" s="1" t="n">
        <v>43525</v>
      </c>
      <c r="C1030" s="1" t="n">
        <v>45357</v>
      </c>
      <c r="D1030" t="inlineStr">
        <is>
          <t>GÄVLEBORGS LÄN</t>
        </is>
      </c>
      <c r="E1030" t="inlineStr">
        <is>
          <t>NORDANSTIG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12878-2019</t>
        </is>
      </c>
      <c r="B1031" s="1" t="n">
        <v>43525</v>
      </c>
      <c r="C1031" s="1" t="n">
        <v>45357</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12778-2019</t>
        </is>
      </c>
      <c r="B1032" s="1" t="n">
        <v>43525</v>
      </c>
      <c r="C1032" s="1" t="n">
        <v>45357</v>
      </c>
      <c r="D1032" t="inlineStr">
        <is>
          <t>GÄVLEBORGS LÄN</t>
        </is>
      </c>
      <c r="E1032" t="inlineStr">
        <is>
          <t>LJUSDAL</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12841-2019</t>
        </is>
      </c>
      <c r="B1033" s="1" t="n">
        <v>43525</v>
      </c>
      <c r="C1033" s="1" t="n">
        <v>45357</v>
      </c>
      <c r="D1033" t="inlineStr">
        <is>
          <t>GÄVLEBORGS LÄN</t>
        </is>
      </c>
      <c r="E1033" t="inlineStr">
        <is>
          <t>SÖDERHAMN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13034-2019</t>
        </is>
      </c>
      <c r="B1034" s="1" t="n">
        <v>43528</v>
      </c>
      <c r="C1034" s="1" t="n">
        <v>45357</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13070-2019</t>
        </is>
      </c>
      <c r="B1035" s="1" t="n">
        <v>43528</v>
      </c>
      <c r="C1035" s="1" t="n">
        <v>45357</v>
      </c>
      <c r="D1035" t="inlineStr">
        <is>
          <t>GÄVLEBORGS LÄN</t>
        </is>
      </c>
      <c r="E1035" t="inlineStr">
        <is>
          <t>OCKELBO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13028-2019</t>
        </is>
      </c>
      <c r="B1036" s="1" t="n">
        <v>43528</v>
      </c>
      <c r="C1036" s="1" t="n">
        <v>45357</v>
      </c>
      <c r="D1036" t="inlineStr">
        <is>
          <t>GÄVLEBORGS LÄN</t>
        </is>
      </c>
      <c r="E1036" t="inlineStr">
        <is>
          <t>BOLLNÄS</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13125-2019</t>
        </is>
      </c>
      <c r="B1037" s="1" t="n">
        <v>43528</v>
      </c>
      <c r="C1037" s="1" t="n">
        <v>45357</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13056-2019</t>
        </is>
      </c>
      <c r="B1038" s="1" t="n">
        <v>43528</v>
      </c>
      <c r="C1038" s="1" t="n">
        <v>45357</v>
      </c>
      <c r="D1038" t="inlineStr">
        <is>
          <t>GÄVLEBORGS LÄN</t>
        </is>
      </c>
      <c r="E1038" t="inlineStr">
        <is>
          <t>HUDIKSVALL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13292-2019</t>
        </is>
      </c>
      <c r="B1039" s="1" t="n">
        <v>43529</v>
      </c>
      <c r="C1039" s="1" t="n">
        <v>45357</v>
      </c>
      <c r="D1039" t="inlineStr">
        <is>
          <t>GÄVLEBORGS LÄN</t>
        </is>
      </c>
      <c r="E1039" t="inlineStr">
        <is>
          <t>NORDANSTIG</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13375-2019</t>
        </is>
      </c>
      <c r="B1040" s="1" t="n">
        <v>43529</v>
      </c>
      <c r="C1040" s="1" t="n">
        <v>45357</v>
      </c>
      <c r="D1040" t="inlineStr">
        <is>
          <t>GÄVLEBORGS LÄN</t>
        </is>
      </c>
      <c r="E1040" t="inlineStr">
        <is>
          <t>OVANÅKER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13287-2019</t>
        </is>
      </c>
      <c r="B1041" s="1" t="n">
        <v>43529</v>
      </c>
      <c r="C1041" s="1" t="n">
        <v>45357</v>
      </c>
      <c r="D1041" t="inlineStr">
        <is>
          <t>GÄVLEBORGS LÄN</t>
        </is>
      </c>
      <c r="E1041" t="inlineStr">
        <is>
          <t>BOLLNÄS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13371-2019</t>
        </is>
      </c>
      <c r="B1042" s="1" t="n">
        <v>43529</v>
      </c>
      <c r="C1042" s="1" t="n">
        <v>45357</v>
      </c>
      <c r="D1042" t="inlineStr">
        <is>
          <t>GÄVLEBORGS LÄN</t>
        </is>
      </c>
      <c r="E1042" t="inlineStr">
        <is>
          <t>OVANÅKER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13399-2019</t>
        </is>
      </c>
      <c r="B1043" s="1" t="n">
        <v>43529</v>
      </c>
      <c r="C1043" s="1" t="n">
        <v>45357</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13279-2019</t>
        </is>
      </c>
      <c r="B1044" s="1" t="n">
        <v>43529</v>
      </c>
      <c r="C1044" s="1" t="n">
        <v>45357</v>
      </c>
      <c r="D1044" t="inlineStr">
        <is>
          <t>GÄVLEBORGS LÄN</t>
        </is>
      </c>
      <c r="E1044" t="inlineStr">
        <is>
          <t>NORDANSTIG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13562-2019</t>
        </is>
      </c>
      <c r="B1045" s="1" t="n">
        <v>43530</v>
      </c>
      <c r="C1045" s="1" t="n">
        <v>45357</v>
      </c>
      <c r="D1045" t="inlineStr">
        <is>
          <t>GÄVLEBORGS LÄN</t>
        </is>
      </c>
      <c r="E1045" t="inlineStr">
        <is>
          <t>GÄVLE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13737-2019</t>
        </is>
      </c>
      <c r="B1046" s="1" t="n">
        <v>43531</v>
      </c>
      <c r="C1046" s="1" t="n">
        <v>45357</v>
      </c>
      <c r="D1046" t="inlineStr">
        <is>
          <t>GÄVLEBORGS LÄN</t>
        </is>
      </c>
      <c r="E1046" t="inlineStr">
        <is>
          <t>OVANÅKER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13946-2019</t>
        </is>
      </c>
      <c r="B1047" s="1" t="n">
        <v>43532</v>
      </c>
      <c r="C1047" s="1" t="n">
        <v>45357</v>
      </c>
      <c r="D1047" t="inlineStr">
        <is>
          <t>GÄVLEBORGS LÄN</t>
        </is>
      </c>
      <c r="E1047" t="inlineStr">
        <is>
          <t>BOLLNÄS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13935-2019</t>
        </is>
      </c>
      <c r="B1048" s="1" t="n">
        <v>43532</v>
      </c>
      <c r="C1048" s="1" t="n">
        <v>45357</v>
      </c>
      <c r="D1048" t="inlineStr">
        <is>
          <t>GÄVLEBORGS LÄN</t>
        </is>
      </c>
      <c r="E1048" t="inlineStr">
        <is>
          <t>SANDVIKEN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13997-2019</t>
        </is>
      </c>
      <c r="B1049" s="1" t="n">
        <v>43532</v>
      </c>
      <c r="C1049" s="1" t="n">
        <v>45357</v>
      </c>
      <c r="D1049" t="inlineStr">
        <is>
          <t>GÄVLEBORGS LÄN</t>
        </is>
      </c>
      <c r="E1049" t="inlineStr">
        <is>
          <t>BOLLNÄS</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14214-2019</t>
        </is>
      </c>
      <c r="B1050" s="1" t="n">
        <v>43535</v>
      </c>
      <c r="C1050" s="1" t="n">
        <v>45357</v>
      </c>
      <c r="D1050" t="inlineStr">
        <is>
          <t>GÄVLEBORGS LÄN</t>
        </is>
      </c>
      <c r="E1050" t="inlineStr">
        <is>
          <t>HUDIKSVALL</t>
        </is>
      </c>
      <c r="F1050" t="inlineStr">
        <is>
          <t>Holmen skog AB</t>
        </is>
      </c>
      <c r="G1050" t="n">
        <v>19.9</v>
      </c>
      <c r="H1050" t="n">
        <v>0</v>
      </c>
      <c r="I1050" t="n">
        <v>0</v>
      </c>
      <c r="J1050" t="n">
        <v>0</v>
      </c>
      <c r="K1050" t="n">
        <v>0</v>
      </c>
      <c r="L1050" t="n">
        <v>0</v>
      </c>
      <c r="M1050" t="n">
        <v>0</v>
      </c>
      <c r="N1050" t="n">
        <v>0</v>
      </c>
      <c r="O1050" t="n">
        <v>0</v>
      </c>
      <c r="P1050" t="n">
        <v>0</v>
      </c>
      <c r="Q1050" t="n">
        <v>0</v>
      </c>
      <c r="R1050" s="2" t="inlineStr"/>
    </row>
    <row r="1051" ht="15" customHeight="1">
      <c r="A1051" t="inlineStr">
        <is>
          <t>A 14308-2019</t>
        </is>
      </c>
      <c r="B1051" s="1" t="n">
        <v>43535</v>
      </c>
      <c r="C1051" s="1" t="n">
        <v>45357</v>
      </c>
      <c r="D1051" t="inlineStr">
        <is>
          <t>GÄVLEBORGS LÄN</t>
        </is>
      </c>
      <c r="E1051" t="inlineStr">
        <is>
          <t>SANDVIKEN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14285-2019</t>
        </is>
      </c>
      <c r="B1052" s="1" t="n">
        <v>43535</v>
      </c>
      <c r="C1052" s="1" t="n">
        <v>45357</v>
      </c>
      <c r="D1052" t="inlineStr">
        <is>
          <t>GÄVLEBORGS LÄN</t>
        </is>
      </c>
      <c r="E1052" t="inlineStr">
        <is>
          <t>LJUSDAL</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14216-2019</t>
        </is>
      </c>
      <c r="B1053" s="1" t="n">
        <v>43535</v>
      </c>
      <c r="C1053" s="1" t="n">
        <v>45357</v>
      </c>
      <c r="D1053" t="inlineStr">
        <is>
          <t>GÄVLEBORGS LÄN</t>
        </is>
      </c>
      <c r="E1053" t="inlineStr">
        <is>
          <t>HUDIKSVALL</t>
        </is>
      </c>
      <c r="F1053" t="inlineStr">
        <is>
          <t>Holmen skog AB</t>
        </is>
      </c>
      <c r="G1053" t="n">
        <v>19.9</v>
      </c>
      <c r="H1053" t="n">
        <v>0</v>
      </c>
      <c r="I1053" t="n">
        <v>0</v>
      </c>
      <c r="J1053" t="n">
        <v>0</v>
      </c>
      <c r="K1053" t="n">
        <v>0</v>
      </c>
      <c r="L1053" t="n">
        <v>0</v>
      </c>
      <c r="M1053" t="n">
        <v>0</v>
      </c>
      <c r="N1053" t="n">
        <v>0</v>
      </c>
      <c r="O1053" t="n">
        <v>0</v>
      </c>
      <c r="P1053" t="n">
        <v>0</v>
      </c>
      <c r="Q1053" t="n">
        <v>0</v>
      </c>
      <c r="R1053" s="2" t="inlineStr"/>
    </row>
    <row r="1054" ht="15" customHeight="1">
      <c r="A1054" t="inlineStr">
        <is>
          <t>A 14226-2019</t>
        </is>
      </c>
      <c r="B1054" s="1" t="n">
        <v>43536</v>
      </c>
      <c r="C1054" s="1" t="n">
        <v>45357</v>
      </c>
      <c r="D1054" t="inlineStr">
        <is>
          <t>GÄVLEBORGS LÄN</t>
        </is>
      </c>
      <c r="E1054" t="inlineStr">
        <is>
          <t>LJUSDAL</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14396-2019</t>
        </is>
      </c>
      <c r="B1055" s="1" t="n">
        <v>43536</v>
      </c>
      <c r="C1055" s="1" t="n">
        <v>45357</v>
      </c>
      <c r="D1055" t="inlineStr">
        <is>
          <t>GÄVLEBORGS LÄN</t>
        </is>
      </c>
      <c r="E1055" t="inlineStr">
        <is>
          <t>SÖDERHAMN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14480-2019</t>
        </is>
      </c>
      <c r="B1056" s="1" t="n">
        <v>43536</v>
      </c>
      <c r="C1056" s="1" t="n">
        <v>45357</v>
      </c>
      <c r="D1056" t="inlineStr">
        <is>
          <t>GÄVLEBORGS LÄN</t>
        </is>
      </c>
      <c r="E1056" t="inlineStr">
        <is>
          <t>NORDANSTIG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14354-2019</t>
        </is>
      </c>
      <c r="B1057" s="1" t="n">
        <v>43536</v>
      </c>
      <c r="C1057" s="1" t="n">
        <v>45357</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14390-2019</t>
        </is>
      </c>
      <c r="B1058" s="1" t="n">
        <v>43536</v>
      </c>
      <c r="C1058" s="1" t="n">
        <v>45357</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14790-2019</t>
        </is>
      </c>
      <c r="B1059" s="1" t="n">
        <v>43537</v>
      </c>
      <c r="C1059" s="1" t="n">
        <v>45357</v>
      </c>
      <c r="D1059" t="inlineStr">
        <is>
          <t>GÄVLEBORGS LÄN</t>
        </is>
      </c>
      <c r="E1059" t="inlineStr">
        <is>
          <t>NORDANSTIG</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14981-2019</t>
        </is>
      </c>
      <c r="B1060" s="1" t="n">
        <v>43537</v>
      </c>
      <c r="C1060" s="1" t="n">
        <v>45357</v>
      </c>
      <c r="D1060" t="inlineStr">
        <is>
          <t>GÄVLEBORGS LÄN</t>
        </is>
      </c>
      <c r="E1060" t="inlineStr">
        <is>
          <t>BOLLNÄS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14923-2019</t>
        </is>
      </c>
      <c r="B1061" s="1" t="n">
        <v>43537</v>
      </c>
      <c r="C1061" s="1" t="n">
        <v>45357</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15065-2019</t>
        </is>
      </c>
      <c r="B1062" s="1" t="n">
        <v>43538</v>
      </c>
      <c r="C1062" s="1" t="n">
        <v>45357</v>
      </c>
      <c r="D1062" t="inlineStr">
        <is>
          <t>GÄVLEBORGS LÄN</t>
        </is>
      </c>
      <c r="E1062" t="inlineStr">
        <is>
          <t>HUDIKSVALL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14711-2019</t>
        </is>
      </c>
      <c r="B1063" s="1" t="n">
        <v>43539</v>
      </c>
      <c r="C1063" s="1" t="n">
        <v>45357</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15174-2019</t>
        </is>
      </c>
      <c r="B1064" s="1" t="n">
        <v>43539</v>
      </c>
      <c r="C1064" s="1" t="n">
        <v>45357</v>
      </c>
      <c r="D1064" t="inlineStr">
        <is>
          <t>GÄVLEBORGS LÄN</t>
        </is>
      </c>
      <c r="E1064" t="inlineStr">
        <is>
          <t>OVANÅKER</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15205-2019</t>
        </is>
      </c>
      <c r="B1065" s="1" t="n">
        <v>43542</v>
      </c>
      <c r="C1065" s="1" t="n">
        <v>45357</v>
      </c>
      <c r="D1065" t="inlineStr">
        <is>
          <t>GÄVLEBORGS LÄN</t>
        </is>
      </c>
      <c r="E1065" t="inlineStr">
        <is>
          <t>SÖDERHAMN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15284-2019</t>
        </is>
      </c>
      <c r="B1066" s="1" t="n">
        <v>43542</v>
      </c>
      <c r="C1066" s="1" t="n">
        <v>45357</v>
      </c>
      <c r="D1066" t="inlineStr">
        <is>
          <t>GÄVLEBORGS LÄN</t>
        </is>
      </c>
      <c r="E1066" t="inlineStr">
        <is>
          <t>LJUSDAL</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15456-2019</t>
        </is>
      </c>
      <c r="B1067" s="1" t="n">
        <v>43542</v>
      </c>
      <c r="C1067" s="1" t="n">
        <v>45357</v>
      </c>
      <c r="D1067" t="inlineStr">
        <is>
          <t>GÄVLEBORGS LÄN</t>
        </is>
      </c>
      <c r="E1067" t="inlineStr">
        <is>
          <t>HUDIKSVALL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15430-2019</t>
        </is>
      </c>
      <c r="B1068" s="1" t="n">
        <v>43542</v>
      </c>
      <c r="C1068" s="1" t="n">
        <v>45357</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15222-2019</t>
        </is>
      </c>
      <c r="B1069" s="1" t="n">
        <v>43542</v>
      </c>
      <c r="C1069" s="1" t="n">
        <v>45357</v>
      </c>
      <c r="D1069" t="inlineStr">
        <is>
          <t>GÄVLEBORGS LÄN</t>
        </is>
      </c>
      <c r="E1069" t="inlineStr">
        <is>
          <t>HUDIKSVALL</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15983-2019</t>
        </is>
      </c>
      <c r="B1070" s="1" t="n">
        <v>43544</v>
      </c>
      <c r="C1070" s="1" t="n">
        <v>45357</v>
      </c>
      <c r="D1070" t="inlineStr">
        <is>
          <t>GÄVLEBORGS LÄN</t>
        </is>
      </c>
      <c r="E1070" t="inlineStr">
        <is>
          <t>SANDVIKEN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16108-2019</t>
        </is>
      </c>
      <c r="B1071" s="1" t="n">
        <v>43544</v>
      </c>
      <c r="C1071" s="1" t="n">
        <v>45357</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16148-2019</t>
        </is>
      </c>
      <c r="B1072" s="1" t="n">
        <v>43545</v>
      </c>
      <c r="C1072" s="1" t="n">
        <v>45357</v>
      </c>
      <c r="D1072" t="inlineStr">
        <is>
          <t>GÄVLEBORGS LÄN</t>
        </is>
      </c>
      <c r="E1072" t="inlineStr">
        <is>
          <t>HUDIKSVALL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16370-2019</t>
        </is>
      </c>
      <c r="B1073" s="1" t="n">
        <v>43545</v>
      </c>
      <c r="C1073" s="1" t="n">
        <v>45357</v>
      </c>
      <c r="D1073" t="inlineStr">
        <is>
          <t>GÄVLEBORGS LÄN</t>
        </is>
      </c>
      <c r="E1073" t="inlineStr">
        <is>
          <t>NORDANSTIG</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16248-2019</t>
        </is>
      </c>
      <c r="B1074" s="1" t="n">
        <v>43545</v>
      </c>
      <c r="C1074" s="1" t="n">
        <v>45357</v>
      </c>
      <c r="D1074" t="inlineStr">
        <is>
          <t>GÄVLEBORGS LÄN</t>
        </is>
      </c>
      <c r="E1074" t="inlineStr">
        <is>
          <t>HUDIKSVALL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16215-2019</t>
        </is>
      </c>
      <c r="B1075" s="1" t="n">
        <v>43545</v>
      </c>
      <c r="C1075" s="1" t="n">
        <v>45357</v>
      </c>
      <c r="D1075" t="inlineStr">
        <is>
          <t>GÄVLEBORGS LÄN</t>
        </is>
      </c>
      <c r="E1075" t="inlineStr">
        <is>
          <t>OVANÅKER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16304-2019</t>
        </is>
      </c>
      <c r="B1076" s="1" t="n">
        <v>43545</v>
      </c>
      <c r="C1076" s="1" t="n">
        <v>45357</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16244-2019</t>
        </is>
      </c>
      <c r="B1077" s="1" t="n">
        <v>43545</v>
      </c>
      <c r="C1077" s="1" t="n">
        <v>45357</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16669-2019</t>
        </is>
      </c>
      <c r="B1078" s="1" t="n">
        <v>43549</v>
      </c>
      <c r="C1078" s="1" t="n">
        <v>45357</v>
      </c>
      <c r="D1078" t="inlineStr">
        <is>
          <t>GÄVLEBORGS LÄN</t>
        </is>
      </c>
      <c r="E1078" t="inlineStr">
        <is>
          <t>LJUSDAL</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16677-2019</t>
        </is>
      </c>
      <c r="B1079" s="1" t="n">
        <v>43549</v>
      </c>
      <c r="C1079" s="1" t="n">
        <v>45357</v>
      </c>
      <c r="D1079" t="inlineStr">
        <is>
          <t>GÄVLEBORGS LÄN</t>
        </is>
      </c>
      <c r="E1079" t="inlineStr">
        <is>
          <t>LJUSDAL</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16957-2019</t>
        </is>
      </c>
      <c r="B1080" s="1" t="n">
        <v>43550</v>
      </c>
      <c r="C1080" s="1" t="n">
        <v>45357</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17273-2019</t>
        </is>
      </c>
      <c r="B1081" s="1" t="n">
        <v>43551</v>
      </c>
      <c r="C1081" s="1" t="n">
        <v>45357</v>
      </c>
      <c r="D1081" t="inlineStr">
        <is>
          <t>GÄVLEBORGS LÄN</t>
        </is>
      </c>
      <c r="E1081" t="inlineStr">
        <is>
          <t>OVANÅKER</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17312-2019</t>
        </is>
      </c>
      <c r="B1082" s="1" t="n">
        <v>43552</v>
      </c>
      <c r="C1082" s="1" t="n">
        <v>45357</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17298-2019</t>
        </is>
      </c>
      <c r="B1083" s="1" t="n">
        <v>43552</v>
      </c>
      <c r="C1083" s="1" t="n">
        <v>45357</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17194-2019</t>
        </is>
      </c>
      <c r="B1084" s="1" t="n">
        <v>43552</v>
      </c>
      <c r="C1084" s="1" t="n">
        <v>45357</v>
      </c>
      <c r="D1084" t="inlineStr">
        <is>
          <t>GÄVLEBORGS LÄN</t>
        </is>
      </c>
      <c r="E1084" t="inlineStr">
        <is>
          <t>HUDIKSVALL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17296-2019</t>
        </is>
      </c>
      <c r="B1085" s="1" t="n">
        <v>43552</v>
      </c>
      <c r="C1085" s="1" t="n">
        <v>45357</v>
      </c>
      <c r="D1085" t="inlineStr">
        <is>
          <t>GÄVLEBORGS LÄN</t>
        </is>
      </c>
      <c r="E1085" t="inlineStr">
        <is>
          <t>SANDVIKEN</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17300-2019</t>
        </is>
      </c>
      <c r="B1086" s="1" t="n">
        <v>43552</v>
      </c>
      <c r="C1086" s="1" t="n">
        <v>45357</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17501-2019</t>
        </is>
      </c>
      <c r="B1087" s="1" t="n">
        <v>43553</v>
      </c>
      <c r="C1087" s="1" t="n">
        <v>45357</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17504-2019</t>
        </is>
      </c>
      <c r="B1088" s="1" t="n">
        <v>43553</v>
      </c>
      <c r="C1088" s="1" t="n">
        <v>45357</v>
      </c>
      <c r="D1088" t="inlineStr">
        <is>
          <t>GÄVLEBORGS LÄN</t>
        </is>
      </c>
      <c r="E1088" t="inlineStr">
        <is>
          <t>OCKELBO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17688-2019</t>
        </is>
      </c>
      <c r="B1089" s="1" t="n">
        <v>43556</v>
      </c>
      <c r="C1089" s="1" t="n">
        <v>45357</v>
      </c>
      <c r="D1089" t="inlineStr">
        <is>
          <t>GÄVLEBORGS LÄN</t>
        </is>
      </c>
      <c r="E1089" t="inlineStr">
        <is>
          <t>OVANÅKER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17693-2019</t>
        </is>
      </c>
      <c r="B1090" s="1" t="n">
        <v>43556</v>
      </c>
      <c r="C1090" s="1" t="n">
        <v>45357</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17691-2019</t>
        </is>
      </c>
      <c r="B1091" s="1" t="n">
        <v>43556</v>
      </c>
      <c r="C1091" s="1" t="n">
        <v>45357</v>
      </c>
      <c r="D1091" t="inlineStr">
        <is>
          <t>GÄVLEBORGS LÄN</t>
        </is>
      </c>
      <c r="E1091" t="inlineStr">
        <is>
          <t>HOFORS</t>
        </is>
      </c>
      <c r="F1091" t="inlineStr">
        <is>
          <t>Kommuner</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17830-2019</t>
        </is>
      </c>
      <c r="B1092" s="1" t="n">
        <v>43556</v>
      </c>
      <c r="C1092" s="1" t="n">
        <v>45357</v>
      </c>
      <c r="D1092" t="inlineStr">
        <is>
          <t>GÄVLEBORGS LÄN</t>
        </is>
      </c>
      <c r="E1092" t="inlineStr">
        <is>
          <t>OCKELBO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17681-2019</t>
        </is>
      </c>
      <c r="B1093" s="1" t="n">
        <v>43556</v>
      </c>
      <c r="C1093" s="1" t="n">
        <v>45357</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17929-2019</t>
        </is>
      </c>
      <c r="B1094" s="1" t="n">
        <v>43557</v>
      </c>
      <c r="C1094" s="1" t="n">
        <v>45357</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17979-2019</t>
        </is>
      </c>
      <c r="B1095" s="1" t="n">
        <v>43557</v>
      </c>
      <c r="C1095" s="1" t="n">
        <v>45357</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18020-2019</t>
        </is>
      </c>
      <c r="B1096" s="1" t="n">
        <v>43557</v>
      </c>
      <c r="C1096" s="1" t="n">
        <v>45357</v>
      </c>
      <c r="D1096" t="inlineStr">
        <is>
          <t>GÄVLEBORGS LÄN</t>
        </is>
      </c>
      <c r="E1096" t="inlineStr">
        <is>
          <t>LJUSDAL</t>
        </is>
      </c>
      <c r="F1096" t="inlineStr">
        <is>
          <t>Kyrkan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18140-2019</t>
        </is>
      </c>
      <c r="B1097" s="1" t="n">
        <v>43558</v>
      </c>
      <c r="C1097" s="1" t="n">
        <v>45357</v>
      </c>
      <c r="D1097" t="inlineStr">
        <is>
          <t>GÄVLEBORGS LÄN</t>
        </is>
      </c>
      <c r="E1097" t="inlineStr">
        <is>
          <t>HUDIKSVALL</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18095-2019</t>
        </is>
      </c>
      <c r="B1098" s="1" t="n">
        <v>43558</v>
      </c>
      <c r="C1098" s="1" t="n">
        <v>45357</v>
      </c>
      <c r="D1098" t="inlineStr">
        <is>
          <t>GÄVLEBORGS LÄN</t>
        </is>
      </c>
      <c r="E1098" t="inlineStr">
        <is>
          <t>HOFORS</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18085-2019</t>
        </is>
      </c>
      <c r="B1099" s="1" t="n">
        <v>43558</v>
      </c>
      <c r="C1099" s="1" t="n">
        <v>45357</v>
      </c>
      <c r="D1099" t="inlineStr">
        <is>
          <t>GÄVLEBORGS LÄN</t>
        </is>
      </c>
      <c r="E1099" t="inlineStr">
        <is>
          <t>HOFORS</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18347-2019</t>
        </is>
      </c>
      <c r="B1100" s="1" t="n">
        <v>43559</v>
      </c>
      <c r="C1100" s="1" t="n">
        <v>45357</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18405-2019</t>
        </is>
      </c>
      <c r="B1101" s="1" t="n">
        <v>43559</v>
      </c>
      <c r="C1101" s="1" t="n">
        <v>45357</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18398-2019</t>
        </is>
      </c>
      <c r="B1102" s="1" t="n">
        <v>43559</v>
      </c>
      <c r="C1102" s="1" t="n">
        <v>45357</v>
      </c>
      <c r="D1102" t="inlineStr">
        <is>
          <t>GÄVLEBORGS LÄN</t>
        </is>
      </c>
      <c r="E1102" t="inlineStr">
        <is>
          <t>GÄVLE</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18473-2019</t>
        </is>
      </c>
      <c r="B1103" s="1" t="n">
        <v>43559</v>
      </c>
      <c r="C1103" s="1" t="n">
        <v>45357</v>
      </c>
      <c r="D1103" t="inlineStr">
        <is>
          <t>GÄVLEBORGS LÄN</t>
        </is>
      </c>
      <c r="E1103" t="inlineStr">
        <is>
          <t>GÄVLE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18667-2019</t>
        </is>
      </c>
      <c r="B1104" s="1" t="n">
        <v>43560</v>
      </c>
      <c r="C1104" s="1" t="n">
        <v>45357</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19004-2019</t>
        </is>
      </c>
      <c r="B1105" s="1" t="n">
        <v>43563</v>
      </c>
      <c r="C1105" s="1" t="n">
        <v>45357</v>
      </c>
      <c r="D1105" t="inlineStr">
        <is>
          <t>GÄVLEBORGS LÄN</t>
        </is>
      </c>
      <c r="E1105" t="inlineStr">
        <is>
          <t>BOLLNÄS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19161-2019</t>
        </is>
      </c>
      <c r="B1106" s="1" t="n">
        <v>43564</v>
      </c>
      <c r="C1106" s="1" t="n">
        <v>45357</v>
      </c>
      <c r="D1106" t="inlineStr">
        <is>
          <t>GÄVLEBORGS LÄN</t>
        </is>
      </c>
      <c r="E1106" t="inlineStr">
        <is>
          <t>BOLLNÄS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19187-2019</t>
        </is>
      </c>
      <c r="B1107" s="1" t="n">
        <v>43564</v>
      </c>
      <c r="C1107" s="1" t="n">
        <v>45357</v>
      </c>
      <c r="D1107" t="inlineStr">
        <is>
          <t>GÄVLEBORGS LÄN</t>
        </is>
      </c>
      <c r="E1107" t="inlineStr">
        <is>
          <t>NORDANSTIG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19146-2019</t>
        </is>
      </c>
      <c r="B1108" s="1" t="n">
        <v>43564</v>
      </c>
      <c r="C1108" s="1" t="n">
        <v>45357</v>
      </c>
      <c r="D1108" t="inlineStr">
        <is>
          <t>GÄVLEBORGS LÄN</t>
        </is>
      </c>
      <c r="E1108" t="inlineStr">
        <is>
          <t>SÖDERHAMN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19293-2019</t>
        </is>
      </c>
      <c r="B1109" s="1" t="n">
        <v>43565</v>
      </c>
      <c r="C1109" s="1" t="n">
        <v>45357</v>
      </c>
      <c r="D1109" t="inlineStr">
        <is>
          <t>GÄVLEBORGS LÄN</t>
        </is>
      </c>
      <c r="E1109" t="inlineStr">
        <is>
          <t>SANDVIKEN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19418-2019</t>
        </is>
      </c>
      <c r="B1110" s="1" t="n">
        <v>43565</v>
      </c>
      <c r="C1110" s="1" t="n">
        <v>45357</v>
      </c>
      <c r="D1110" t="inlineStr">
        <is>
          <t>GÄVLEBORGS LÄN</t>
        </is>
      </c>
      <c r="E1110" t="inlineStr">
        <is>
          <t>GÄVLE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19442-2019</t>
        </is>
      </c>
      <c r="B1111" s="1" t="n">
        <v>43565</v>
      </c>
      <c r="C1111" s="1" t="n">
        <v>45357</v>
      </c>
      <c r="D1111" t="inlineStr">
        <is>
          <t>GÄVLEBORGS LÄN</t>
        </is>
      </c>
      <c r="E1111" t="inlineStr">
        <is>
          <t>SANDVIKEN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19856-2019</t>
        </is>
      </c>
      <c r="B1112" s="1" t="n">
        <v>43567</v>
      </c>
      <c r="C1112" s="1" t="n">
        <v>45357</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19750-2019</t>
        </is>
      </c>
      <c r="B1113" s="1" t="n">
        <v>43567</v>
      </c>
      <c r="C1113" s="1" t="n">
        <v>45357</v>
      </c>
      <c r="D1113" t="inlineStr">
        <is>
          <t>GÄVLEBORGS LÄN</t>
        </is>
      </c>
      <c r="E1113" t="inlineStr">
        <is>
          <t>HUDIKSVALL</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19908-2019</t>
        </is>
      </c>
      <c r="B1114" s="1" t="n">
        <v>43567</v>
      </c>
      <c r="C1114" s="1" t="n">
        <v>45357</v>
      </c>
      <c r="D1114" t="inlineStr">
        <is>
          <t>GÄVLEBORGS LÄN</t>
        </is>
      </c>
      <c r="E1114" t="inlineStr">
        <is>
          <t>BOLLNÄS</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19891-2019</t>
        </is>
      </c>
      <c r="B1115" s="1" t="n">
        <v>43567</v>
      </c>
      <c r="C1115" s="1" t="n">
        <v>45357</v>
      </c>
      <c r="D1115" t="inlineStr">
        <is>
          <t>GÄVLEBORGS LÄN</t>
        </is>
      </c>
      <c r="E1115" t="inlineStr">
        <is>
          <t>GÄVLE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19979-2019</t>
        </is>
      </c>
      <c r="B1116" s="1" t="n">
        <v>43570</v>
      </c>
      <c r="C1116" s="1" t="n">
        <v>45357</v>
      </c>
      <c r="D1116" t="inlineStr">
        <is>
          <t>GÄVLEBORGS LÄN</t>
        </is>
      </c>
      <c r="E1116" t="inlineStr">
        <is>
          <t>OVANÅKER</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20043-2019</t>
        </is>
      </c>
      <c r="B1117" s="1" t="n">
        <v>43570</v>
      </c>
      <c r="C1117" s="1" t="n">
        <v>45357</v>
      </c>
      <c r="D1117" t="inlineStr">
        <is>
          <t>GÄVLEBORGS LÄN</t>
        </is>
      </c>
      <c r="E1117" t="inlineStr">
        <is>
          <t>SÖDERHAMN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20039-2019</t>
        </is>
      </c>
      <c r="B1118" s="1" t="n">
        <v>43570</v>
      </c>
      <c r="C1118" s="1" t="n">
        <v>45357</v>
      </c>
      <c r="D1118" t="inlineStr">
        <is>
          <t>GÄVLEBORGS LÄN</t>
        </is>
      </c>
      <c r="E1118" t="inlineStr">
        <is>
          <t>SÖDERHAMN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20413-2019</t>
        </is>
      </c>
      <c r="B1119" s="1" t="n">
        <v>43571</v>
      </c>
      <c r="C1119" s="1" t="n">
        <v>45357</v>
      </c>
      <c r="D1119" t="inlineStr">
        <is>
          <t>GÄVLEBORGS LÄN</t>
        </is>
      </c>
      <c r="E1119" t="inlineStr">
        <is>
          <t>BOLLNÄS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20414-2019</t>
        </is>
      </c>
      <c r="B1120" s="1" t="n">
        <v>43571</v>
      </c>
      <c r="C1120" s="1" t="n">
        <v>45357</v>
      </c>
      <c r="D1120" t="inlineStr">
        <is>
          <t>GÄVLEBORGS LÄN</t>
        </is>
      </c>
      <c r="E1120" t="inlineStr">
        <is>
          <t>OVANÅKER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20536-2019</t>
        </is>
      </c>
      <c r="B1121" s="1" t="n">
        <v>43572</v>
      </c>
      <c r="C1121" s="1" t="n">
        <v>45357</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20470-2019</t>
        </is>
      </c>
      <c r="B1122" s="1" t="n">
        <v>43572</v>
      </c>
      <c r="C1122" s="1" t="n">
        <v>45357</v>
      </c>
      <c r="D1122" t="inlineStr">
        <is>
          <t>GÄVLEBORGS LÄN</t>
        </is>
      </c>
      <c r="E1122" t="inlineStr">
        <is>
          <t>OVANÅKER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20726-2019</t>
        </is>
      </c>
      <c r="B1123" s="1" t="n">
        <v>43573</v>
      </c>
      <c r="C1123" s="1" t="n">
        <v>45357</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20888-2019</t>
        </is>
      </c>
      <c r="B1124" s="1" t="n">
        <v>43573</v>
      </c>
      <c r="C1124" s="1" t="n">
        <v>45357</v>
      </c>
      <c r="D1124" t="inlineStr">
        <is>
          <t>GÄVLEBORGS LÄN</t>
        </is>
      </c>
      <c r="E1124" t="inlineStr">
        <is>
          <t>HUDIKSVALL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20787-2019</t>
        </is>
      </c>
      <c r="B1125" s="1" t="n">
        <v>43573</v>
      </c>
      <c r="C1125" s="1" t="n">
        <v>45357</v>
      </c>
      <c r="D1125" t="inlineStr">
        <is>
          <t>GÄVLEBORGS LÄN</t>
        </is>
      </c>
      <c r="E1125" t="inlineStr">
        <is>
          <t>HUDIKSVALL</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20858-2019</t>
        </is>
      </c>
      <c r="B1126" s="1" t="n">
        <v>43578</v>
      </c>
      <c r="C1126" s="1" t="n">
        <v>45357</v>
      </c>
      <c r="D1126" t="inlineStr">
        <is>
          <t>GÄVLEBORGS LÄN</t>
        </is>
      </c>
      <c r="E1126" t="inlineStr">
        <is>
          <t>GÄVLE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21091-2019</t>
        </is>
      </c>
      <c r="B1127" s="1" t="n">
        <v>43578</v>
      </c>
      <c r="C1127" s="1" t="n">
        <v>45357</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c r="U1127">
        <f>HYPERLINK("https://klasma.github.io/Logging_2161/knärot/A 21091-2019 karta knärot.png", "A 21091-2019")</f>
        <v/>
      </c>
      <c r="V1127">
        <f>HYPERLINK("https://klasma.github.io/Logging_2161/klagomål/A 21091-2019 FSC-klagomål.docx", "A 21091-2019")</f>
        <v/>
      </c>
      <c r="W1127">
        <f>HYPERLINK("https://klasma.github.io/Logging_2161/klagomålsmail/A 21091-2019 FSC-klagomål mail.docx", "A 21091-2019")</f>
        <v/>
      </c>
      <c r="X1127">
        <f>HYPERLINK("https://klasma.github.io/Logging_2161/tillsyn/A 21091-2019 tillsynsbegäran.docx", "A 21091-2019")</f>
        <v/>
      </c>
      <c r="Y1127">
        <f>HYPERLINK("https://klasma.github.io/Logging_2161/tillsynsmail/A 21091-2019 tillsynsbegäran mail.docx", "A 21091-2019")</f>
        <v/>
      </c>
    </row>
    <row r="1128" ht="15" customHeight="1">
      <c r="A1128" t="inlineStr">
        <is>
          <t>A 20889-2019</t>
        </is>
      </c>
      <c r="B1128" s="1" t="n">
        <v>43578</v>
      </c>
      <c r="C1128" s="1" t="n">
        <v>45357</v>
      </c>
      <c r="D1128" t="inlineStr">
        <is>
          <t>GÄVLEBORGS LÄN</t>
        </is>
      </c>
      <c r="E1128" t="inlineStr">
        <is>
          <t>NORDANSTIG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20872-2019</t>
        </is>
      </c>
      <c r="B1129" s="1" t="n">
        <v>43578</v>
      </c>
      <c r="C1129" s="1" t="n">
        <v>45357</v>
      </c>
      <c r="D1129" t="inlineStr">
        <is>
          <t>GÄVLEBORGS LÄN</t>
        </is>
      </c>
      <c r="E1129" t="inlineStr">
        <is>
          <t>GÄVLE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21172-2019</t>
        </is>
      </c>
      <c r="B1130" s="1" t="n">
        <v>43579</v>
      </c>
      <c r="C1130" s="1" t="n">
        <v>45357</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21349-2019</t>
        </is>
      </c>
      <c r="B1131" s="1" t="n">
        <v>43579</v>
      </c>
      <c r="C1131" s="1" t="n">
        <v>45357</v>
      </c>
      <c r="D1131" t="inlineStr">
        <is>
          <t>GÄVLEBORGS LÄN</t>
        </is>
      </c>
      <c r="E1131" t="inlineStr">
        <is>
          <t>OCKELBO</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21347-2019</t>
        </is>
      </c>
      <c r="B1132" s="1" t="n">
        <v>43579</v>
      </c>
      <c r="C1132" s="1" t="n">
        <v>45357</v>
      </c>
      <c r="D1132" t="inlineStr">
        <is>
          <t>GÄVLEBORGS LÄN</t>
        </is>
      </c>
      <c r="E1132" t="inlineStr">
        <is>
          <t>GÄVLE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21489-2019</t>
        </is>
      </c>
      <c r="B1133" s="1" t="n">
        <v>43580</v>
      </c>
      <c r="C1133" s="1" t="n">
        <v>45357</v>
      </c>
      <c r="D1133" t="inlineStr">
        <is>
          <t>GÄVLEBORGS LÄN</t>
        </is>
      </c>
      <c r="E1133" t="inlineStr">
        <is>
          <t>HUDIKSVALL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21449-2019</t>
        </is>
      </c>
      <c r="B1134" s="1" t="n">
        <v>43580</v>
      </c>
      <c r="C1134" s="1" t="n">
        <v>45357</v>
      </c>
      <c r="D1134" t="inlineStr">
        <is>
          <t>GÄVLEBORGS LÄN</t>
        </is>
      </c>
      <c r="E1134" t="inlineStr">
        <is>
          <t>BOLLNÄS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21582-2019</t>
        </is>
      </c>
      <c r="B1135" s="1" t="n">
        <v>43580</v>
      </c>
      <c r="C1135" s="1" t="n">
        <v>45357</v>
      </c>
      <c r="D1135" t="inlineStr">
        <is>
          <t>GÄVLEBORGS LÄN</t>
        </is>
      </c>
      <c r="E1135" t="inlineStr">
        <is>
          <t>SANDVIKEN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21581-2019</t>
        </is>
      </c>
      <c r="B1136" s="1" t="n">
        <v>43580</v>
      </c>
      <c r="C1136" s="1" t="n">
        <v>45357</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21725-2019</t>
        </is>
      </c>
      <c r="B1137" s="1" t="n">
        <v>43581</v>
      </c>
      <c r="C1137" s="1" t="n">
        <v>45357</v>
      </c>
      <c r="D1137" t="inlineStr">
        <is>
          <t>GÄVLEBORGS LÄN</t>
        </is>
      </c>
      <c r="E1137" t="inlineStr">
        <is>
          <t>OVANÅKER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21734-2019</t>
        </is>
      </c>
      <c r="B1138" s="1" t="n">
        <v>43581</v>
      </c>
      <c r="C1138" s="1" t="n">
        <v>45357</v>
      </c>
      <c r="D1138" t="inlineStr">
        <is>
          <t>GÄVLEBORGS LÄN</t>
        </is>
      </c>
      <c r="E1138" t="inlineStr">
        <is>
          <t>HOFORS</t>
        </is>
      </c>
      <c r="F1138" t="inlineStr">
        <is>
          <t>Sveaskog</t>
        </is>
      </c>
      <c r="G1138" t="n">
        <v>1.6</v>
      </c>
      <c r="H1138" t="n">
        <v>0</v>
      </c>
      <c r="I1138" t="n">
        <v>0</v>
      </c>
      <c r="J1138" t="n">
        <v>0</v>
      </c>
      <c r="K1138" t="n">
        <v>0</v>
      </c>
      <c r="L1138" t="n">
        <v>0</v>
      </c>
      <c r="M1138" t="n">
        <v>0</v>
      </c>
      <c r="N1138" t="n">
        <v>0</v>
      </c>
      <c r="O1138" t="n">
        <v>0</v>
      </c>
      <c r="P1138" t="n">
        <v>0</v>
      </c>
      <c r="Q1138" t="n">
        <v>0</v>
      </c>
      <c r="R1138" s="2" t="inlineStr"/>
      <c r="U1138">
        <f>HYPERLINK("https://klasma.github.io/Logging_2104/knärot/A 21734-2019 karta knärot.png", "A 21734-2019")</f>
        <v/>
      </c>
      <c r="V1138">
        <f>HYPERLINK("https://klasma.github.io/Logging_2104/klagomål/A 21734-2019 FSC-klagomål.docx", "A 21734-2019")</f>
        <v/>
      </c>
      <c r="W1138">
        <f>HYPERLINK("https://klasma.github.io/Logging_2104/klagomålsmail/A 21734-2019 FSC-klagomål mail.docx", "A 21734-2019")</f>
        <v/>
      </c>
      <c r="X1138">
        <f>HYPERLINK("https://klasma.github.io/Logging_2104/tillsyn/A 21734-2019 tillsynsbegäran.docx", "A 21734-2019")</f>
        <v/>
      </c>
      <c r="Y1138">
        <f>HYPERLINK("https://klasma.github.io/Logging_2104/tillsynsmail/A 21734-2019 tillsynsbegäran mail.docx", "A 21734-2019")</f>
        <v/>
      </c>
    </row>
    <row r="1139" ht="15" customHeight="1">
      <c r="A1139" t="inlineStr">
        <is>
          <t>A 21761-2019</t>
        </is>
      </c>
      <c r="B1139" s="1" t="n">
        <v>43581</v>
      </c>
      <c r="C1139" s="1" t="n">
        <v>45357</v>
      </c>
      <c r="D1139" t="inlineStr">
        <is>
          <t>GÄVLEBORGS LÄN</t>
        </is>
      </c>
      <c r="E1139" t="inlineStr">
        <is>
          <t>LJUSDAL</t>
        </is>
      </c>
      <c r="F1139" t="inlineStr">
        <is>
          <t>Holmen skog AB</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21857-2019</t>
        </is>
      </c>
      <c r="B1140" s="1" t="n">
        <v>43581</v>
      </c>
      <c r="C1140" s="1" t="n">
        <v>45357</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21796-2019</t>
        </is>
      </c>
      <c r="B1141" s="1" t="n">
        <v>43581</v>
      </c>
      <c r="C1141" s="1" t="n">
        <v>45357</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21797-2019</t>
        </is>
      </c>
      <c r="B1142" s="1" t="n">
        <v>43581</v>
      </c>
      <c r="C1142" s="1" t="n">
        <v>45357</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21823-2019</t>
        </is>
      </c>
      <c r="B1143" s="1" t="n">
        <v>43583</v>
      </c>
      <c r="C1143" s="1" t="n">
        <v>45357</v>
      </c>
      <c r="D1143" t="inlineStr">
        <is>
          <t>GÄVLEBORGS LÄN</t>
        </is>
      </c>
      <c r="E1143" t="inlineStr">
        <is>
          <t>BOLLNÄS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21836-2019</t>
        </is>
      </c>
      <c r="B1144" s="1" t="n">
        <v>43584</v>
      </c>
      <c r="C1144" s="1" t="n">
        <v>45357</v>
      </c>
      <c r="D1144" t="inlineStr">
        <is>
          <t>GÄVLEBORGS LÄN</t>
        </is>
      </c>
      <c r="E1144" t="inlineStr">
        <is>
          <t>LJUSDAL</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22162-2019</t>
        </is>
      </c>
      <c r="B1145" s="1" t="n">
        <v>43585</v>
      </c>
      <c r="C1145" s="1" t="n">
        <v>45357</v>
      </c>
      <c r="D1145" t="inlineStr">
        <is>
          <t>GÄVLEBORGS LÄN</t>
        </is>
      </c>
      <c r="E1145" t="inlineStr">
        <is>
          <t>NORDANSTIG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22222-2019</t>
        </is>
      </c>
      <c r="B1146" s="1" t="n">
        <v>43585</v>
      </c>
      <c r="C1146" s="1" t="n">
        <v>45357</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22161-2019</t>
        </is>
      </c>
      <c r="B1147" s="1" t="n">
        <v>43585</v>
      </c>
      <c r="C1147" s="1" t="n">
        <v>45357</v>
      </c>
      <c r="D1147" t="inlineStr">
        <is>
          <t>GÄVLEBORGS LÄN</t>
        </is>
      </c>
      <c r="E1147" t="inlineStr">
        <is>
          <t>NORDANSTIG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22180-2019</t>
        </is>
      </c>
      <c r="B1148" s="1" t="n">
        <v>43585</v>
      </c>
      <c r="C1148" s="1" t="n">
        <v>45357</v>
      </c>
      <c r="D1148" t="inlineStr">
        <is>
          <t>GÄVLEBORGS LÄN</t>
        </is>
      </c>
      <c r="E1148" t="inlineStr">
        <is>
          <t>HUDIKSVALL</t>
        </is>
      </c>
      <c r="F1148" t="inlineStr">
        <is>
          <t>Holmen skog AB</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22441-2019</t>
        </is>
      </c>
      <c r="B1149" s="1" t="n">
        <v>43587</v>
      </c>
      <c r="C1149" s="1" t="n">
        <v>45357</v>
      </c>
      <c r="D1149" t="inlineStr">
        <is>
          <t>GÄVLEBORGS LÄN</t>
        </is>
      </c>
      <c r="E1149" t="inlineStr">
        <is>
          <t>HUDIKSVALL</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22526-2019</t>
        </is>
      </c>
      <c r="B1150" s="1" t="n">
        <v>43587</v>
      </c>
      <c r="C1150" s="1" t="n">
        <v>45357</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22537-2019</t>
        </is>
      </c>
      <c r="B1151" s="1" t="n">
        <v>43587</v>
      </c>
      <c r="C1151" s="1" t="n">
        <v>45357</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22617-2019</t>
        </is>
      </c>
      <c r="B1152" s="1" t="n">
        <v>43588</v>
      </c>
      <c r="C1152" s="1" t="n">
        <v>45357</v>
      </c>
      <c r="D1152" t="inlineStr">
        <is>
          <t>GÄVLEBORGS LÄN</t>
        </is>
      </c>
      <c r="E1152" t="inlineStr">
        <is>
          <t>GÄVLE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22645-2019</t>
        </is>
      </c>
      <c r="B1153" s="1" t="n">
        <v>43588</v>
      </c>
      <c r="C1153" s="1" t="n">
        <v>45357</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22611-2019</t>
        </is>
      </c>
      <c r="B1154" s="1" t="n">
        <v>43588</v>
      </c>
      <c r="C1154" s="1" t="n">
        <v>45357</v>
      </c>
      <c r="D1154" t="inlineStr">
        <is>
          <t>GÄVLEBORGS LÄN</t>
        </is>
      </c>
      <c r="E1154" t="inlineStr">
        <is>
          <t>GÄVLE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22734-2019</t>
        </is>
      </c>
      <c r="B1155" s="1" t="n">
        <v>43588</v>
      </c>
      <c r="C1155" s="1" t="n">
        <v>45357</v>
      </c>
      <c r="D1155" t="inlineStr">
        <is>
          <t>GÄVLEBORGS LÄN</t>
        </is>
      </c>
      <c r="E1155" t="inlineStr">
        <is>
          <t>HOFORS</t>
        </is>
      </c>
      <c r="F1155" t="inlineStr">
        <is>
          <t>Sveaskog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22609-2019</t>
        </is>
      </c>
      <c r="B1156" s="1" t="n">
        <v>43588</v>
      </c>
      <c r="C1156" s="1" t="n">
        <v>45357</v>
      </c>
      <c r="D1156" t="inlineStr">
        <is>
          <t>GÄVLEBORGS LÄN</t>
        </is>
      </c>
      <c r="E1156" t="inlineStr">
        <is>
          <t>GÄVLE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22969-2019</t>
        </is>
      </c>
      <c r="B1157" s="1" t="n">
        <v>43591</v>
      </c>
      <c r="C1157" s="1" t="n">
        <v>45357</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22908-2019</t>
        </is>
      </c>
      <c r="B1158" s="1" t="n">
        <v>43591</v>
      </c>
      <c r="C1158" s="1" t="n">
        <v>45357</v>
      </c>
      <c r="D1158" t="inlineStr">
        <is>
          <t>GÄVLEBORGS LÄN</t>
        </is>
      </c>
      <c r="E1158" t="inlineStr">
        <is>
          <t>HUDIKSVALL</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22926-2019</t>
        </is>
      </c>
      <c r="B1159" s="1" t="n">
        <v>43591</v>
      </c>
      <c r="C1159" s="1" t="n">
        <v>45357</v>
      </c>
      <c r="D1159" t="inlineStr">
        <is>
          <t>GÄVLEBORGS LÄN</t>
        </is>
      </c>
      <c r="E1159" t="inlineStr">
        <is>
          <t>OVANÅKER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23268-2019</t>
        </is>
      </c>
      <c r="B1160" s="1" t="n">
        <v>43592</v>
      </c>
      <c r="C1160" s="1" t="n">
        <v>45357</v>
      </c>
      <c r="D1160" t="inlineStr">
        <is>
          <t>GÄVLEBORGS LÄN</t>
        </is>
      </c>
      <c r="E1160" t="inlineStr">
        <is>
          <t>SÖDERHAMN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23434-2019</t>
        </is>
      </c>
      <c r="B1161" s="1" t="n">
        <v>43593</v>
      </c>
      <c r="C1161" s="1" t="n">
        <v>45357</v>
      </c>
      <c r="D1161" t="inlineStr">
        <is>
          <t>GÄVLEBORGS LÄN</t>
        </is>
      </c>
      <c r="E1161" t="inlineStr">
        <is>
          <t>HUDIKSVALL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23441-2019</t>
        </is>
      </c>
      <c r="B1162" s="1" t="n">
        <v>43593</v>
      </c>
      <c r="C1162" s="1" t="n">
        <v>45357</v>
      </c>
      <c r="D1162" t="inlineStr">
        <is>
          <t>GÄVLEBORGS LÄN</t>
        </is>
      </c>
      <c r="E1162" t="inlineStr">
        <is>
          <t>BOLLNÄS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23381-2019</t>
        </is>
      </c>
      <c r="B1163" s="1" t="n">
        <v>43593</v>
      </c>
      <c r="C1163" s="1" t="n">
        <v>45357</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23400-2019</t>
        </is>
      </c>
      <c r="B1164" s="1" t="n">
        <v>43593</v>
      </c>
      <c r="C1164" s="1" t="n">
        <v>45357</v>
      </c>
      <c r="D1164" t="inlineStr">
        <is>
          <t>GÄVLEBORGS LÄN</t>
        </is>
      </c>
      <c r="E1164" t="inlineStr">
        <is>
          <t>BOLLNÄS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23684-2019</t>
        </is>
      </c>
      <c r="B1165" s="1" t="n">
        <v>43594</v>
      </c>
      <c r="C1165" s="1" t="n">
        <v>45357</v>
      </c>
      <c r="D1165" t="inlineStr">
        <is>
          <t>GÄVLEBORGS LÄN</t>
        </is>
      </c>
      <c r="E1165" t="inlineStr">
        <is>
          <t>HUDIKSVALL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23617-2019</t>
        </is>
      </c>
      <c r="B1166" s="1" t="n">
        <v>43594</v>
      </c>
      <c r="C1166" s="1" t="n">
        <v>45357</v>
      </c>
      <c r="D1166" t="inlineStr">
        <is>
          <t>GÄVLEBORGS LÄN</t>
        </is>
      </c>
      <c r="E1166" t="inlineStr">
        <is>
          <t>BOLLNÄS</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23881-2019</t>
        </is>
      </c>
      <c r="B1167" s="1" t="n">
        <v>43595</v>
      </c>
      <c r="C1167" s="1" t="n">
        <v>45357</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23876-2019</t>
        </is>
      </c>
      <c r="B1168" s="1" t="n">
        <v>43595</v>
      </c>
      <c r="C1168" s="1" t="n">
        <v>45357</v>
      </c>
      <c r="D1168" t="inlineStr">
        <is>
          <t>GÄVLEBORGS LÄN</t>
        </is>
      </c>
      <c r="E1168" t="inlineStr">
        <is>
          <t>SANDVIKEN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23848-2019</t>
        </is>
      </c>
      <c r="B1169" s="1" t="n">
        <v>43595</v>
      </c>
      <c r="C1169" s="1" t="n">
        <v>45357</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23895-2019</t>
        </is>
      </c>
      <c r="B1170" s="1" t="n">
        <v>43595</v>
      </c>
      <c r="C1170" s="1" t="n">
        <v>45357</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24158-2019</t>
        </is>
      </c>
      <c r="B1171" s="1" t="n">
        <v>43598</v>
      </c>
      <c r="C1171" s="1" t="n">
        <v>45357</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23997-2019</t>
        </is>
      </c>
      <c r="B1172" s="1" t="n">
        <v>43598</v>
      </c>
      <c r="C1172" s="1" t="n">
        <v>45357</v>
      </c>
      <c r="D1172" t="inlineStr">
        <is>
          <t>GÄVLEBORGS LÄN</t>
        </is>
      </c>
      <c r="E1172" t="inlineStr">
        <is>
          <t>BOLLNÄS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23982-2019</t>
        </is>
      </c>
      <c r="B1173" s="1" t="n">
        <v>43598</v>
      </c>
      <c r="C1173" s="1" t="n">
        <v>45357</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24196-2019</t>
        </is>
      </c>
      <c r="B1174" s="1" t="n">
        <v>43599</v>
      </c>
      <c r="C1174" s="1" t="n">
        <v>45357</v>
      </c>
      <c r="D1174" t="inlineStr">
        <is>
          <t>GÄVLEBORGS LÄN</t>
        </is>
      </c>
      <c r="E1174" t="inlineStr">
        <is>
          <t>HUDIKSVALL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24237-2019</t>
        </is>
      </c>
      <c r="B1175" s="1" t="n">
        <v>43599</v>
      </c>
      <c r="C1175" s="1" t="n">
        <v>45357</v>
      </c>
      <c r="D1175" t="inlineStr">
        <is>
          <t>GÄVLEBORGS LÄN</t>
        </is>
      </c>
      <c r="E1175" t="inlineStr">
        <is>
          <t>BOLLNÄS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24325-2019</t>
        </is>
      </c>
      <c r="B1176" s="1" t="n">
        <v>43599</v>
      </c>
      <c r="C1176" s="1" t="n">
        <v>45357</v>
      </c>
      <c r="D1176" t="inlineStr">
        <is>
          <t>GÄVLEBORGS LÄN</t>
        </is>
      </c>
      <c r="E1176" t="inlineStr">
        <is>
          <t>BOLLNÄS</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24251-2019</t>
        </is>
      </c>
      <c r="B1177" s="1" t="n">
        <v>43599</v>
      </c>
      <c r="C1177" s="1" t="n">
        <v>45357</v>
      </c>
      <c r="D1177" t="inlineStr">
        <is>
          <t>GÄVLEBORGS LÄN</t>
        </is>
      </c>
      <c r="E1177" t="inlineStr">
        <is>
          <t>BOLLNÄS</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24505-2019</t>
        </is>
      </c>
      <c r="B1178" s="1" t="n">
        <v>43600</v>
      </c>
      <c r="C1178" s="1" t="n">
        <v>45357</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24504-2019</t>
        </is>
      </c>
      <c r="B1179" s="1" t="n">
        <v>43600</v>
      </c>
      <c r="C1179" s="1" t="n">
        <v>45357</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24466-2019</t>
        </is>
      </c>
      <c r="B1180" s="1" t="n">
        <v>43600</v>
      </c>
      <c r="C1180" s="1" t="n">
        <v>45357</v>
      </c>
      <c r="D1180" t="inlineStr">
        <is>
          <t>GÄVLEBORGS LÄN</t>
        </is>
      </c>
      <c r="E1180" t="inlineStr">
        <is>
          <t>HUDIKSVALL</t>
        </is>
      </c>
      <c r="F1180" t="inlineStr">
        <is>
          <t>Holmen skog AB</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24734-2019</t>
        </is>
      </c>
      <c r="B1181" s="1" t="n">
        <v>43601</v>
      </c>
      <c r="C1181" s="1" t="n">
        <v>45357</v>
      </c>
      <c r="D1181" t="inlineStr">
        <is>
          <t>GÄVLEBORGS LÄN</t>
        </is>
      </c>
      <c r="E1181" t="inlineStr">
        <is>
          <t>OVANÅKER</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24756-2019</t>
        </is>
      </c>
      <c r="B1182" s="1" t="n">
        <v>43601</v>
      </c>
      <c r="C1182" s="1" t="n">
        <v>45357</v>
      </c>
      <c r="D1182" t="inlineStr">
        <is>
          <t>GÄVLEBORGS LÄN</t>
        </is>
      </c>
      <c r="E1182" t="inlineStr">
        <is>
          <t>HOFORS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24728-2019</t>
        </is>
      </c>
      <c r="B1183" s="1" t="n">
        <v>43601</v>
      </c>
      <c r="C1183" s="1" t="n">
        <v>45357</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24615-2019</t>
        </is>
      </c>
      <c r="B1184" s="1" t="n">
        <v>43601</v>
      </c>
      <c r="C1184" s="1" t="n">
        <v>45357</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24677-2019</t>
        </is>
      </c>
      <c r="B1185" s="1" t="n">
        <v>43601</v>
      </c>
      <c r="C1185" s="1" t="n">
        <v>45357</v>
      </c>
      <c r="D1185" t="inlineStr">
        <is>
          <t>GÄVLEBORGS LÄN</t>
        </is>
      </c>
      <c r="E1185" t="inlineStr">
        <is>
          <t>GÄVLE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24715-2019</t>
        </is>
      </c>
      <c r="B1186" s="1" t="n">
        <v>43601</v>
      </c>
      <c r="C1186" s="1" t="n">
        <v>45357</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24915-2019</t>
        </is>
      </c>
      <c r="B1187" s="1" t="n">
        <v>43602</v>
      </c>
      <c r="C1187" s="1" t="n">
        <v>45357</v>
      </c>
      <c r="D1187" t="inlineStr">
        <is>
          <t>GÄVLEBORGS LÄN</t>
        </is>
      </c>
      <c r="E1187" t="inlineStr">
        <is>
          <t>SANDVIKEN</t>
        </is>
      </c>
      <c r="F1187" t="inlineStr">
        <is>
          <t>Naturvårdsverket</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24835-2019</t>
        </is>
      </c>
      <c r="B1188" s="1" t="n">
        <v>43602</v>
      </c>
      <c r="C1188" s="1" t="n">
        <v>45357</v>
      </c>
      <c r="D1188" t="inlineStr">
        <is>
          <t>GÄVLEBORGS LÄN</t>
        </is>
      </c>
      <c r="E1188" t="inlineStr">
        <is>
          <t>OVANÅKER</t>
        </is>
      </c>
      <c r="F1188" t="inlineStr">
        <is>
          <t>Kyrkan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25074-2019</t>
        </is>
      </c>
      <c r="B1189" s="1" t="n">
        <v>43605</v>
      </c>
      <c r="C1189" s="1" t="n">
        <v>45357</v>
      </c>
      <c r="D1189" t="inlineStr">
        <is>
          <t>GÄVLEBORGS LÄN</t>
        </is>
      </c>
      <c r="E1189" t="inlineStr">
        <is>
          <t>BOLLNÄS</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25078-2019</t>
        </is>
      </c>
      <c r="B1190" s="1" t="n">
        <v>43605</v>
      </c>
      <c r="C1190" s="1" t="n">
        <v>45357</v>
      </c>
      <c r="D1190" t="inlineStr">
        <is>
          <t>GÄVLEBORGS LÄN</t>
        </is>
      </c>
      <c r="E1190" t="inlineStr">
        <is>
          <t>HUDIKSVALL</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26079-2019</t>
        </is>
      </c>
      <c r="B1191" s="1" t="n">
        <v>43605</v>
      </c>
      <c r="C1191" s="1" t="n">
        <v>45357</v>
      </c>
      <c r="D1191" t="inlineStr">
        <is>
          <t>GÄVLEBORGS LÄN</t>
        </is>
      </c>
      <c r="E1191" t="inlineStr">
        <is>
          <t>LJUSDAL</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25306-2019</t>
        </is>
      </c>
      <c r="B1192" s="1" t="n">
        <v>43605</v>
      </c>
      <c r="C1192" s="1" t="n">
        <v>45357</v>
      </c>
      <c r="D1192" t="inlineStr">
        <is>
          <t>GÄVLEBORGS LÄN</t>
        </is>
      </c>
      <c r="E1192" t="inlineStr">
        <is>
          <t>GÄVLE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25430-2019</t>
        </is>
      </c>
      <c r="B1193" s="1" t="n">
        <v>43606</v>
      </c>
      <c r="C1193" s="1" t="n">
        <v>45357</v>
      </c>
      <c r="D1193" t="inlineStr">
        <is>
          <t>GÄVLEBORGS LÄN</t>
        </is>
      </c>
      <c r="E1193" t="inlineStr">
        <is>
          <t>OVANÅKER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25438-2019</t>
        </is>
      </c>
      <c r="B1194" s="1" t="n">
        <v>43606</v>
      </c>
      <c r="C1194" s="1" t="n">
        <v>45357</v>
      </c>
      <c r="D1194" t="inlineStr">
        <is>
          <t>GÄVLEBORGS LÄN</t>
        </is>
      </c>
      <c r="E1194" t="inlineStr">
        <is>
          <t>HUDIKSVALL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25515-2019</t>
        </is>
      </c>
      <c r="B1195" s="1" t="n">
        <v>43606</v>
      </c>
      <c r="C1195" s="1" t="n">
        <v>45357</v>
      </c>
      <c r="D1195" t="inlineStr">
        <is>
          <t>GÄVLEBORGS LÄN</t>
        </is>
      </c>
      <c r="E1195" t="inlineStr">
        <is>
          <t>HOFORS</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25517-2019</t>
        </is>
      </c>
      <c r="B1196" s="1" t="n">
        <v>43606</v>
      </c>
      <c r="C1196" s="1" t="n">
        <v>45357</v>
      </c>
      <c r="D1196" t="inlineStr">
        <is>
          <t>GÄVLEBORGS LÄN</t>
        </is>
      </c>
      <c r="E1196" t="inlineStr">
        <is>
          <t>HOFORS</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25423-2019</t>
        </is>
      </c>
      <c r="B1197" s="1" t="n">
        <v>43606</v>
      </c>
      <c r="C1197" s="1" t="n">
        <v>45357</v>
      </c>
      <c r="D1197" t="inlineStr">
        <is>
          <t>GÄVLEBORGS LÄN</t>
        </is>
      </c>
      <c r="E1197" t="inlineStr">
        <is>
          <t>HUDIKSVALL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25431-2019</t>
        </is>
      </c>
      <c r="B1198" s="1" t="n">
        <v>43606</v>
      </c>
      <c r="C1198" s="1" t="n">
        <v>45357</v>
      </c>
      <c r="D1198" t="inlineStr">
        <is>
          <t>GÄVLEBORGS LÄN</t>
        </is>
      </c>
      <c r="E1198" t="inlineStr">
        <is>
          <t>SÖDERHAMN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25597-2019</t>
        </is>
      </c>
      <c r="B1199" s="1" t="n">
        <v>43607</v>
      </c>
      <c r="C1199" s="1" t="n">
        <v>45357</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25637-2019</t>
        </is>
      </c>
      <c r="B1200" s="1" t="n">
        <v>43607</v>
      </c>
      <c r="C1200" s="1" t="n">
        <v>45357</v>
      </c>
      <c r="D1200" t="inlineStr">
        <is>
          <t>GÄVLEBORGS LÄN</t>
        </is>
      </c>
      <c r="E1200" t="inlineStr">
        <is>
          <t>BOLLNÄS</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25558-2019</t>
        </is>
      </c>
      <c r="B1201" s="1" t="n">
        <v>43607</v>
      </c>
      <c r="C1201" s="1" t="n">
        <v>45357</v>
      </c>
      <c r="D1201" t="inlineStr">
        <is>
          <t>GÄVLEBORGS LÄN</t>
        </is>
      </c>
      <c r="E1201" t="inlineStr">
        <is>
          <t>HUDIKSVALL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25631-2019</t>
        </is>
      </c>
      <c r="B1202" s="1" t="n">
        <v>43607</v>
      </c>
      <c r="C1202" s="1" t="n">
        <v>45357</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25633-2019</t>
        </is>
      </c>
      <c r="B1203" s="1" t="n">
        <v>43607</v>
      </c>
      <c r="C1203" s="1" t="n">
        <v>45357</v>
      </c>
      <c r="D1203" t="inlineStr">
        <is>
          <t>GÄVLEBORGS LÄN</t>
        </is>
      </c>
      <c r="E1203" t="inlineStr">
        <is>
          <t>SÖDERHAMN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25898-2019</t>
        </is>
      </c>
      <c r="B1204" s="1" t="n">
        <v>43608</v>
      </c>
      <c r="C1204" s="1" t="n">
        <v>45357</v>
      </c>
      <c r="D1204" t="inlineStr">
        <is>
          <t>GÄVLEBORGS LÄN</t>
        </is>
      </c>
      <c r="E1204" t="inlineStr">
        <is>
          <t>OVANÅKER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25756-2019</t>
        </is>
      </c>
      <c r="B1205" s="1" t="n">
        <v>43608</v>
      </c>
      <c r="C1205" s="1" t="n">
        <v>45357</v>
      </c>
      <c r="D1205" t="inlineStr">
        <is>
          <t>GÄVLEBORGS LÄN</t>
        </is>
      </c>
      <c r="E1205" t="inlineStr">
        <is>
          <t>NORDANSTIG</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25928-2019</t>
        </is>
      </c>
      <c r="B1206" s="1" t="n">
        <v>43608</v>
      </c>
      <c r="C1206" s="1" t="n">
        <v>45357</v>
      </c>
      <c r="D1206" t="inlineStr">
        <is>
          <t>GÄVLEBORGS LÄN</t>
        </is>
      </c>
      <c r="E1206" t="inlineStr">
        <is>
          <t>NORDANSTIG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26013-2019</t>
        </is>
      </c>
      <c r="B1207" s="1" t="n">
        <v>43608</v>
      </c>
      <c r="C1207" s="1" t="n">
        <v>45357</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26158-2019</t>
        </is>
      </c>
      <c r="B1208" s="1" t="n">
        <v>43609</v>
      </c>
      <c r="C1208" s="1" t="n">
        <v>45357</v>
      </c>
      <c r="D1208" t="inlineStr">
        <is>
          <t>GÄVLEBORGS LÄN</t>
        </is>
      </c>
      <c r="E1208" t="inlineStr">
        <is>
          <t>OVANÅKER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27069-2019</t>
        </is>
      </c>
      <c r="B1209" s="1" t="n">
        <v>43609</v>
      </c>
      <c r="C1209" s="1" t="n">
        <v>45357</v>
      </c>
      <c r="D1209" t="inlineStr">
        <is>
          <t>GÄVLEBORGS LÄN</t>
        </is>
      </c>
      <c r="E1209" t="inlineStr">
        <is>
          <t>HUDIKSVALL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27087-2019</t>
        </is>
      </c>
      <c r="B1210" s="1" t="n">
        <v>43609</v>
      </c>
      <c r="C1210" s="1" t="n">
        <v>45357</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26464-2019</t>
        </is>
      </c>
      <c r="B1211" s="1" t="n">
        <v>43612</v>
      </c>
      <c r="C1211" s="1" t="n">
        <v>45357</v>
      </c>
      <c r="D1211" t="inlineStr">
        <is>
          <t>GÄVLEBORGS LÄN</t>
        </is>
      </c>
      <c r="E1211" t="inlineStr">
        <is>
          <t>GÄVLE</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26451-2019</t>
        </is>
      </c>
      <c r="B1212" s="1" t="n">
        <v>43612</v>
      </c>
      <c r="C1212" s="1" t="n">
        <v>45357</v>
      </c>
      <c r="D1212" t="inlineStr">
        <is>
          <t>GÄVLEBORGS LÄN</t>
        </is>
      </c>
      <c r="E1212" t="inlineStr">
        <is>
          <t>LJUSDAL</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26543-2019</t>
        </is>
      </c>
      <c r="B1213" s="1" t="n">
        <v>43612</v>
      </c>
      <c r="C1213" s="1" t="n">
        <v>45357</v>
      </c>
      <c r="D1213" t="inlineStr">
        <is>
          <t>GÄVLEBORGS LÄN</t>
        </is>
      </c>
      <c r="E1213" t="inlineStr">
        <is>
          <t>BOLLNÄS</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26317-2019</t>
        </is>
      </c>
      <c r="B1214" s="1" t="n">
        <v>43612</v>
      </c>
      <c r="C1214" s="1" t="n">
        <v>45357</v>
      </c>
      <c r="D1214" t="inlineStr">
        <is>
          <t>GÄVLEBORGS LÄN</t>
        </is>
      </c>
      <c r="E1214" t="inlineStr">
        <is>
          <t>HUDIKSVALL</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26840-2019</t>
        </is>
      </c>
      <c r="B1215" s="1" t="n">
        <v>43613</v>
      </c>
      <c r="C1215" s="1" t="n">
        <v>45357</v>
      </c>
      <c r="D1215" t="inlineStr">
        <is>
          <t>GÄVLEBORGS LÄN</t>
        </is>
      </c>
      <c r="E1215" t="inlineStr">
        <is>
          <t>LJUSDAL</t>
        </is>
      </c>
      <c r="F1215" t="inlineStr">
        <is>
          <t>Bergvik skog väst AB</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26894-2019</t>
        </is>
      </c>
      <c r="B1216" s="1" t="n">
        <v>43613</v>
      </c>
      <c r="C1216" s="1" t="n">
        <v>45357</v>
      </c>
      <c r="D1216" t="inlineStr">
        <is>
          <t>GÄVLEBORGS LÄN</t>
        </is>
      </c>
      <c r="E1216" t="inlineStr">
        <is>
          <t>SÖDERHAMN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26880-2019</t>
        </is>
      </c>
      <c r="B1217" s="1" t="n">
        <v>43613</v>
      </c>
      <c r="C1217" s="1" t="n">
        <v>45357</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26673-2019</t>
        </is>
      </c>
      <c r="B1218" s="1" t="n">
        <v>43613</v>
      </c>
      <c r="C1218" s="1" t="n">
        <v>45357</v>
      </c>
      <c r="D1218" t="inlineStr">
        <is>
          <t>GÄVLEBORGS LÄN</t>
        </is>
      </c>
      <c r="E1218" t="inlineStr">
        <is>
          <t>OVANÅKER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26997-2019</t>
        </is>
      </c>
      <c r="B1219" s="1" t="n">
        <v>43614</v>
      </c>
      <c r="C1219" s="1" t="n">
        <v>45357</v>
      </c>
      <c r="D1219" t="inlineStr">
        <is>
          <t>GÄVLEBORGS LÄN</t>
        </is>
      </c>
      <c r="E1219" t="inlineStr">
        <is>
          <t>OVANÅKER</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27152-2019</t>
        </is>
      </c>
      <c r="B1220" s="1" t="n">
        <v>43614</v>
      </c>
      <c r="C1220" s="1" t="n">
        <v>45357</v>
      </c>
      <c r="D1220" t="inlineStr">
        <is>
          <t>GÄVLEBORGS LÄN</t>
        </is>
      </c>
      <c r="E1220" t="inlineStr">
        <is>
          <t>SANDVIKEN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26995-2019</t>
        </is>
      </c>
      <c r="B1221" s="1" t="n">
        <v>43614</v>
      </c>
      <c r="C1221" s="1" t="n">
        <v>45357</v>
      </c>
      <c r="D1221" t="inlineStr">
        <is>
          <t>GÄVLEBORGS LÄN</t>
        </is>
      </c>
      <c r="E1221" t="inlineStr">
        <is>
          <t>OVANÅKER</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27176-2019</t>
        </is>
      </c>
      <c r="B1222" s="1" t="n">
        <v>43614</v>
      </c>
      <c r="C1222" s="1" t="n">
        <v>45357</v>
      </c>
      <c r="D1222" t="inlineStr">
        <is>
          <t>GÄVLEBORGS LÄN</t>
        </is>
      </c>
      <c r="E1222" t="inlineStr">
        <is>
          <t>NORDANSTIG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27118-2019</t>
        </is>
      </c>
      <c r="B1223" s="1" t="n">
        <v>43614</v>
      </c>
      <c r="C1223" s="1" t="n">
        <v>45357</v>
      </c>
      <c r="D1223" t="inlineStr">
        <is>
          <t>GÄVLEBORGS LÄN</t>
        </is>
      </c>
      <c r="E1223" t="inlineStr">
        <is>
          <t>GÄVLE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27133-2019</t>
        </is>
      </c>
      <c r="B1224" s="1" t="n">
        <v>43614</v>
      </c>
      <c r="C1224" s="1" t="n">
        <v>45357</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26983-2019</t>
        </is>
      </c>
      <c r="B1225" s="1" t="n">
        <v>43614</v>
      </c>
      <c r="C1225" s="1" t="n">
        <v>45357</v>
      </c>
      <c r="D1225" t="inlineStr">
        <is>
          <t>GÄVLEBORGS LÄN</t>
        </is>
      </c>
      <c r="E1225" t="inlineStr">
        <is>
          <t>OVANÅKER</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27405-2019</t>
        </is>
      </c>
      <c r="B1226" s="1" t="n">
        <v>43616</v>
      </c>
      <c r="C1226" s="1" t="n">
        <v>45357</v>
      </c>
      <c r="D1226" t="inlineStr">
        <is>
          <t>GÄVLEBORGS LÄN</t>
        </is>
      </c>
      <c r="E1226" t="inlineStr">
        <is>
          <t>OVANÅKER</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27301-2019</t>
        </is>
      </c>
      <c r="B1227" s="1" t="n">
        <v>43616</v>
      </c>
      <c r="C1227" s="1" t="n">
        <v>45357</v>
      </c>
      <c r="D1227" t="inlineStr">
        <is>
          <t>GÄVLEBORGS LÄN</t>
        </is>
      </c>
      <c r="E1227" t="inlineStr">
        <is>
          <t>OVANÅKER</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27373-2019</t>
        </is>
      </c>
      <c r="B1228" s="1" t="n">
        <v>43616</v>
      </c>
      <c r="C1228" s="1" t="n">
        <v>45357</v>
      </c>
      <c r="D1228" t="inlineStr">
        <is>
          <t>GÄVLEBORGS LÄN</t>
        </is>
      </c>
      <c r="E1228" t="inlineStr">
        <is>
          <t>HUDIKSVALL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27298-2019</t>
        </is>
      </c>
      <c r="B1229" s="1" t="n">
        <v>43616</v>
      </c>
      <c r="C1229" s="1" t="n">
        <v>45357</v>
      </c>
      <c r="D1229" t="inlineStr">
        <is>
          <t>GÄVLEBORGS LÄN</t>
        </is>
      </c>
      <c r="E1229" t="inlineStr">
        <is>
          <t>LJUSDAL</t>
        </is>
      </c>
      <c r="F1229" t="inlineStr">
        <is>
          <t>Bergvik skog väst AB</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27403-2019</t>
        </is>
      </c>
      <c r="B1230" s="1" t="n">
        <v>43616</v>
      </c>
      <c r="C1230" s="1" t="n">
        <v>45357</v>
      </c>
      <c r="D1230" t="inlineStr">
        <is>
          <t>GÄVLEBORGS LÄN</t>
        </is>
      </c>
      <c r="E1230" t="inlineStr">
        <is>
          <t>OVANÅKER</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27314-2019</t>
        </is>
      </c>
      <c r="B1231" s="1" t="n">
        <v>43616</v>
      </c>
      <c r="C1231" s="1" t="n">
        <v>45357</v>
      </c>
      <c r="D1231" t="inlineStr">
        <is>
          <t>GÄVLEBORGS LÄN</t>
        </is>
      </c>
      <c r="E1231" t="inlineStr">
        <is>
          <t>OVANÅKER</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27305-2019</t>
        </is>
      </c>
      <c r="B1232" s="1" t="n">
        <v>43616</v>
      </c>
      <c r="C1232" s="1" t="n">
        <v>45357</v>
      </c>
      <c r="D1232" t="inlineStr">
        <is>
          <t>GÄVLEBORGS LÄN</t>
        </is>
      </c>
      <c r="E1232" t="inlineStr">
        <is>
          <t>OVANÅKER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27295-2019</t>
        </is>
      </c>
      <c r="B1233" s="1" t="n">
        <v>43616</v>
      </c>
      <c r="C1233" s="1" t="n">
        <v>45357</v>
      </c>
      <c r="D1233" t="inlineStr">
        <is>
          <t>GÄVLEBORGS LÄN</t>
        </is>
      </c>
      <c r="E1233" t="inlineStr">
        <is>
          <t>OVANÅKER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27455-2019</t>
        </is>
      </c>
      <c r="B1234" s="1" t="n">
        <v>43618</v>
      </c>
      <c r="C1234" s="1" t="n">
        <v>45357</v>
      </c>
      <c r="D1234" t="inlineStr">
        <is>
          <t>GÄVLEBORGS LÄN</t>
        </is>
      </c>
      <c r="E1234" t="inlineStr">
        <is>
          <t>NORDANSTIG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27456-2019</t>
        </is>
      </c>
      <c r="B1235" s="1" t="n">
        <v>43618</v>
      </c>
      <c r="C1235" s="1" t="n">
        <v>45357</v>
      </c>
      <c r="D1235" t="inlineStr">
        <is>
          <t>GÄVLEBORGS LÄN</t>
        </is>
      </c>
      <c r="E1235" t="inlineStr">
        <is>
          <t>NORDANSTIG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27457-2019</t>
        </is>
      </c>
      <c r="B1236" s="1" t="n">
        <v>43618</v>
      </c>
      <c r="C1236" s="1" t="n">
        <v>45357</v>
      </c>
      <c r="D1236" t="inlineStr">
        <is>
          <t>GÄVLEBORGS LÄN</t>
        </is>
      </c>
      <c r="E1236" t="inlineStr">
        <is>
          <t>NORDANSTIG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27453-2019</t>
        </is>
      </c>
      <c r="B1237" s="1" t="n">
        <v>43618</v>
      </c>
      <c r="C1237" s="1" t="n">
        <v>45357</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27477-2019</t>
        </is>
      </c>
      <c r="B1238" s="1" t="n">
        <v>43619</v>
      </c>
      <c r="C1238" s="1" t="n">
        <v>45357</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27493-2019</t>
        </is>
      </c>
      <c r="B1239" s="1" t="n">
        <v>43619</v>
      </c>
      <c r="C1239" s="1" t="n">
        <v>45357</v>
      </c>
      <c r="D1239" t="inlineStr">
        <is>
          <t>GÄVLEBORGS LÄN</t>
        </is>
      </c>
      <c r="E1239" t="inlineStr">
        <is>
          <t>LJUSDAL</t>
        </is>
      </c>
      <c r="F1239" t="inlineStr">
        <is>
          <t>Bergvik skog väst AB</t>
        </is>
      </c>
      <c r="G1239" t="n">
        <v>33.6</v>
      </c>
      <c r="H1239" t="n">
        <v>0</v>
      </c>
      <c r="I1239" t="n">
        <v>0</v>
      </c>
      <c r="J1239" t="n">
        <v>0</v>
      </c>
      <c r="K1239" t="n">
        <v>0</v>
      </c>
      <c r="L1239" t="n">
        <v>0</v>
      </c>
      <c r="M1239" t="n">
        <v>0</v>
      </c>
      <c r="N1239" t="n">
        <v>0</v>
      </c>
      <c r="O1239" t="n">
        <v>0</v>
      </c>
      <c r="P1239" t="n">
        <v>0</v>
      </c>
      <c r="Q1239" t="n">
        <v>0</v>
      </c>
      <c r="R1239" s="2" t="inlineStr"/>
    </row>
    <row r="1240" ht="15" customHeight="1">
      <c r="A1240" t="inlineStr">
        <is>
          <t>A 27506-2019</t>
        </is>
      </c>
      <c r="B1240" s="1" t="n">
        <v>43619</v>
      </c>
      <c r="C1240" s="1" t="n">
        <v>45357</v>
      </c>
      <c r="D1240" t="inlineStr">
        <is>
          <t>GÄVLEBORGS LÄN</t>
        </is>
      </c>
      <c r="E1240" t="inlineStr">
        <is>
          <t>LJUSDAL</t>
        </is>
      </c>
      <c r="F1240" t="inlineStr">
        <is>
          <t>Holmen skog AB</t>
        </is>
      </c>
      <c r="G1240" t="n">
        <v>25.6</v>
      </c>
      <c r="H1240" t="n">
        <v>0</v>
      </c>
      <c r="I1240" t="n">
        <v>0</v>
      </c>
      <c r="J1240" t="n">
        <v>0</v>
      </c>
      <c r="K1240" t="n">
        <v>0</v>
      </c>
      <c r="L1240" t="n">
        <v>0</v>
      </c>
      <c r="M1240" t="n">
        <v>0</v>
      </c>
      <c r="N1240" t="n">
        <v>0</v>
      </c>
      <c r="O1240" t="n">
        <v>0</v>
      </c>
      <c r="P1240" t="n">
        <v>0</v>
      </c>
      <c r="Q1240" t="n">
        <v>0</v>
      </c>
      <c r="R1240" s="2" t="inlineStr"/>
    </row>
    <row r="1241" ht="15" customHeight="1">
      <c r="A1241" t="inlineStr">
        <is>
          <t>A 27580-2019</t>
        </is>
      </c>
      <c r="B1241" s="1" t="n">
        <v>43619</v>
      </c>
      <c r="C1241" s="1" t="n">
        <v>45357</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27639-2019</t>
        </is>
      </c>
      <c r="B1242" s="1" t="n">
        <v>43619</v>
      </c>
      <c r="C1242" s="1" t="n">
        <v>45357</v>
      </c>
      <c r="D1242" t="inlineStr">
        <is>
          <t>GÄVLEBORGS LÄN</t>
        </is>
      </c>
      <c r="E1242" t="inlineStr">
        <is>
          <t>BOLLNÄS</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27693-2019</t>
        </is>
      </c>
      <c r="B1243" s="1" t="n">
        <v>43619</v>
      </c>
      <c r="C1243" s="1" t="n">
        <v>45357</v>
      </c>
      <c r="D1243" t="inlineStr">
        <is>
          <t>GÄVLEBORGS LÄN</t>
        </is>
      </c>
      <c r="E1243" t="inlineStr">
        <is>
          <t>BOLLNÄS</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27558-2019</t>
        </is>
      </c>
      <c r="B1244" s="1" t="n">
        <v>43619</v>
      </c>
      <c r="C1244" s="1" t="n">
        <v>45357</v>
      </c>
      <c r="D1244" t="inlineStr">
        <is>
          <t>GÄVLEBORGS LÄN</t>
        </is>
      </c>
      <c r="E1244" t="inlineStr">
        <is>
          <t>LJUSDAL</t>
        </is>
      </c>
      <c r="F1244" t="inlineStr">
        <is>
          <t>Bergvik skog väst AB</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27685-2019</t>
        </is>
      </c>
      <c r="B1245" s="1" t="n">
        <v>43619</v>
      </c>
      <c r="C1245" s="1" t="n">
        <v>45357</v>
      </c>
      <c r="D1245" t="inlineStr">
        <is>
          <t>GÄVLEBORGS LÄN</t>
        </is>
      </c>
      <c r="E1245" t="inlineStr">
        <is>
          <t>BOLLNÄS</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27680-2019</t>
        </is>
      </c>
      <c r="B1246" s="1" t="n">
        <v>43619</v>
      </c>
      <c r="C1246" s="1" t="n">
        <v>45357</v>
      </c>
      <c r="D1246" t="inlineStr">
        <is>
          <t>GÄVLEBORGS LÄN</t>
        </is>
      </c>
      <c r="E1246" t="inlineStr">
        <is>
          <t>BOLLNÄS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27524-2019</t>
        </is>
      </c>
      <c r="B1247" s="1" t="n">
        <v>43619</v>
      </c>
      <c r="C1247" s="1" t="n">
        <v>45357</v>
      </c>
      <c r="D1247" t="inlineStr">
        <is>
          <t>GÄVLEBORGS LÄN</t>
        </is>
      </c>
      <c r="E1247" t="inlineStr">
        <is>
          <t>OVANÅKER</t>
        </is>
      </c>
      <c r="F1247" t="inlineStr">
        <is>
          <t>Bergvik skog väst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27845-2019</t>
        </is>
      </c>
      <c r="B1248" s="1" t="n">
        <v>43620</v>
      </c>
      <c r="C1248" s="1" t="n">
        <v>45357</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27888-2019</t>
        </is>
      </c>
      <c r="B1249" s="1" t="n">
        <v>43620</v>
      </c>
      <c r="C1249" s="1" t="n">
        <v>45357</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27900-2019</t>
        </is>
      </c>
      <c r="B1250" s="1" t="n">
        <v>43620</v>
      </c>
      <c r="C1250" s="1" t="n">
        <v>45357</v>
      </c>
      <c r="D1250" t="inlineStr">
        <is>
          <t>GÄVLEBORGS LÄN</t>
        </is>
      </c>
      <c r="E1250" t="inlineStr">
        <is>
          <t>SANDVIKEN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27784-2019</t>
        </is>
      </c>
      <c r="B1251" s="1" t="n">
        <v>43620</v>
      </c>
      <c r="C1251" s="1" t="n">
        <v>45357</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28000-2019</t>
        </is>
      </c>
      <c r="B1252" s="1" t="n">
        <v>43621</v>
      </c>
      <c r="C1252" s="1" t="n">
        <v>45357</v>
      </c>
      <c r="D1252" t="inlineStr">
        <is>
          <t>GÄVLEBORGS LÄN</t>
        </is>
      </c>
      <c r="E1252" t="inlineStr">
        <is>
          <t>OVANÅKER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28142-2019</t>
        </is>
      </c>
      <c r="B1253" s="1" t="n">
        <v>43621</v>
      </c>
      <c r="C1253" s="1" t="n">
        <v>45357</v>
      </c>
      <c r="D1253" t="inlineStr">
        <is>
          <t>GÄVLEBORGS LÄN</t>
        </is>
      </c>
      <c r="E1253" t="inlineStr">
        <is>
          <t>SÖDERHAMN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28034-2019</t>
        </is>
      </c>
      <c r="B1254" s="1" t="n">
        <v>43621</v>
      </c>
      <c r="C1254" s="1" t="n">
        <v>45357</v>
      </c>
      <c r="D1254" t="inlineStr">
        <is>
          <t>GÄVLEBORGS LÄN</t>
        </is>
      </c>
      <c r="E1254" t="inlineStr">
        <is>
          <t>OVANÅKER</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28255-2019</t>
        </is>
      </c>
      <c r="B1255" s="1" t="n">
        <v>43623</v>
      </c>
      <c r="C1255" s="1" t="n">
        <v>45357</v>
      </c>
      <c r="D1255" t="inlineStr">
        <is>
          <t>GÄVLEBORGS LÄN</t>
        </is>
      </c>
      <c r="E1255" t="inlineStr">
        <is>
          <t>HUDIKSVALL</t>
        </is>
      </c>
      <c r="F1255" t="inlineStr">
        <is>
          <t>Holmen skog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28287-2019</t>
        </is>
      </c>
      <c r="B1256" s="1" t="n">
        <v>43623</v>
      </c>
      <c r="C1256" s="1" t="n">
        <v>45357</v>
      </c>
      <c r="D1256" t="inlineStr">
        <is>
          <t>GÄVLEBORGS LÄN</t>
        </is>
      </c>
      <c r="E1256" t="inlineStr">
        <is>
          <t>OCKELBO</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28316-2019</t>
        </is>
      </c>
      <c r="B1257" s="1" t="n">
        <v>43623</v>
      </c>
      <c r="C1257" s="1" t="n">
        <v>45357</v>
      </c>
      <c r="D1257" t="inlineStr">
        <is>
          <t>GÄVLEBORGS LÄN</t>
        </is>
      </c>
      <c r="E1257" t="inlineStr">
        <is>
          <t>GÄVLE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28390-2019</t>
        </is>
      </c>
      <c r="B1258" s="1" t="n">
        <v>43626</v>
      </c>
      <c r="C1258" s="1" t="n">
        <v>45357</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28559-2019</t>
        </is>
      </c>
      <c r="B1259" s="1" t="n">
        <v>43626</v>
      </c>
      <c r="C1259" s="1" t="n">
        <v>45357</v>
      </c>
      <c r="D1259" t="inlineStr">
        <is>
          <t>GÄVLEBORGS LÄN</t>
        </is>
      </c>
      <c r="E1259" t="inlineStr">
        <is>
          <t>GÄVLE</t>
        </is>
      </c>
      <c r="F1259" t="inlineStr">
        <is>
          <t>Bergvik skog väst AB</t>
        </is>
      </c>
      <c r="G1259" t="n">
        <v>19.7</v>
      </c>
      <c r="H1259" t="n">
        <v>0</v>
      </c>
      <c r="I1259" t="n">
        <v>0</v>
      </c>
      <c r="J1259" t="n">
        <v>0</v>
      </c>
      <c r="K1259" t="n">
        <v>0</v>
      </c>
      <c r="L1259" t="n">
        <v>0</v>
      </c>
      <c r="M1259" t="n">
        <v>0</v>
      </c>
      <c r="N1259" t="n">
        <v>0</v>
      </c>
      <c r="O1259" t="n">
        <v>0</v>
      </c>
      <c r="P1259" t="n">
        <v>0</v>
      </c>
      <c r="Q1259" t="n">
        <v>0</v>
      </c>
      <c r="R1259" s="2" t="inlineStr"/>
    </row>
    <row r="1260" ht="15" customHeight="1">
      <c r="A1260" t="inlineStr">
        <is>
          <t>A 28542-2019</t>
        </is>
      </c>
      <c r="B1260" s="1" t="n">
        <v>43626</v>
      </c>
      <c r="C1260" s="1" t="n">
        <v>45357</v>
      </c>
      <c r="D1260" t="inlineStr">
        <is>
          <t>GÄVLEBORGS LÄN</t>
        </is>
      </c>
      <c r="E1260" t="inlineStr">
        <is>
          <t>LJUSDAL</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29453-2019</t>
        </is>
      </c>
      <c r="B1261" s="1" t="n">
        <v>43626</v>
      </c>
      <c r="C1261" s="1" t="n">
        <v>45357</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31776-2019</t>
        </is>
      </c>
      <c r="B1262" s="1" t="n">
        <v>43626</v>
      </c>
      <c r="C1262" s="1" t="n">
        <v>45357</v>
      </c>
      <c r="D1262" t="inlineStr">
        <is>
          <t>GÄVLEBORGS LÄN</t>
        </is>
      </c>
      <c r="E1262" t="inlineStr">
        <is>
          <t>NORDANSTIG</t>
        </is>
      </c>
      <c r="G1262" t="n">
        <v>90.09999999999999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28545-2019</t>
        </is>
      </c>
      <c r="B1263" s="1" t="n">
        <v>43626</v>
      </c>
      <c r="C1263" s="1" t="n">
        <v>45357</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28626-2019</t>
        </is>
      </c>
      <c r="B1264" s="1" t="n">
        <v>43627</v>
      </c>
      <c r="C1264" s="1" t="n">
        <v>45357</v>
      </c>
      <c r="D1264" t="inlineStr">
        <is>
          <t>GÄVLEBORGS LÄN</t>
        </is>
      </c>
      <c r="E1264" t="inlineStr">
        <is>
          <t>HUDIKSVALL</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28667-2019</t>
        </is>
      </c>
      <c r="B1265" s="1" t="n">
        <v>43627</v>
      </c>
      <c r="C1265" s="1" t="n">
        <v>45357</v>
      </c>
      <c r="D1265" t="inlineStr">
        <is>
          <t>GÄVLEBORGS LÄN</t>
        </is>
      </c>
      <c r="E1265" t="inlineStr">
        <is>
          <t>HUDIKSVALL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28666-2019</t>
        </is>
      </c>
      <c r="B1266" s="1" t="n">
        <v>43627</v>
      </c>
      <c r="C1266" s="1" t="n">
        <v>45357</v>
      </c>
      <c r="D1266" t="inlineStr">
        <is>
          <t>GÄVLEBORGS LÄN</t>
        </is>
      </c>
      <c r="E1266" t="inlineStr">
        <is>
          <t>HUDIKSVALL</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28875-2019</t>
        </is>
      </c>
      <c r="B1267" s="1" t="n">
        <v>43628</v>
      </c>
      <c r="C1267" s="1" t="n">
        <v>45357</v>
      </c>
      <c r="D1267" t="inlineStr">
        <is>
          <t>GÄVLEBORGS LÄN</t>
        </is>
      </c>
      <c r="E1267" t="inlineStr">
        <is>
          <t>LJUSDAL</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29044-2019</t>
        </is>
      </c>
      <c r="B1268" s="1" t="n">
        <v>43628</v>
      </c>
      <c r="C1268" s="1" t="n">
        <v>45357</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29660-2019</t>
        </is>
      </c>
      <c r="B1269" s="1" t="n">
        <v>43628</v>
      </c>
      <c r="C1269" s="1" t="n">
        <v>45357</v>
      </c>
      <c r="D1269" t="inlineStr">
        <is>
          <t>GÄVLEBORGS LÄN</t>
        </is>
      </c>
      <c r="E1269" t="inlineStr">
        <is>
          <t>LJUSDAL</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29050-2019</t>
        </is>
      </c>
      <c r="B1270" s="1" t="n">
        <v>43628</v>
      </c>
      <c r="C1270" s="1" t="n">
        <v>45357</v>
      </c>
      <c r="D1270" t="inlineStr">
        <is>
          <t>GÄVLEBORGS LÄN</t>
        </is>
      </c>
      <c r="E1270" t="inlineStr">
        <is>
          <t>SANDVIKEN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29267-2019</t>
        </is>
      </c>
      <c r="B1271" s="1" t="n">
        <v>43629</v>
      </c>
      <c r="C1271" s="1" t="n">
        <v>45357</v>
      </c>
      <c r="D1271" t="inlineStr">
        <is>
          <t>GÄVLEBORGS LÄN</t>
        </is>
      </c>
      <c r="E1271" t="inlineStr">
        <is>
          <t>LJUSDAL</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29255-2019</t>
        </is>
      </c>
      <c r="B1272" s="1" t="n">
        <v>43629</v>
      </c>
      <c r="C1272" s="1" t="n">
        <v>45357</v>
      </c>
      <c r="D1272" t="inlineStr">
        <is>
          <t>GÄVLEBORGS LÄN</t>
        </is>
      </c>
      <c r="E1272" t="inlineStr">
        <is>
          <t>BOLLNÄS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29894-2019</t>
        </is>
      </c>
      <c r="B1273" s="1" t="n">
        <v>43629</v>
      </c>
      <c r="C1273" s="1" t="n">
        <v>45357</v>
      </c>
      <c r="D1273" t="inlineStr">
        <is>
          <t>GÄVLEBORGS LÄN</t>
        </is>
      </c>
      <c r="E1273" t="inlineStr">
        <is>
          <t>OVANÅKER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29333-2019</t>
        </is>
      </c>
      <c r="B1274" s="1" t="n">
        <v>43629</v>
      </c>
      <c r="C1274" s="1" t="n">
        <v>45357</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29401-2019</t>
        </is>
      </c>
      <c r="B1275" s="1" t="n">
        <v>43629</v>
      </c>
      <c r="C1275" s="1" t="n">
        <v>45357</v>
      </c>
      <c r="D1275" t="inlineStr">
        <is>
          <t>GÄVLEBORGS LÄN</t>
        </is>
      </c>
      <c r="E1275" t="inlineStr">
        <is>
          <t>BOLLNÄS</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29414-2019</t>
        </is>
      </c>
      <c r="B1276" s="1" t="n">
        <v>43629</v>
      </c>
      <c r="C1276" s="1" t="n">
        <v>45357</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29887-2019</t>
        </is>
      </c>
      <c r="B1277" s="1" t="n">
        <v>43629</v>
      </c>
      <c r="C1277" s="1" t="n">
        <v>45357</v>
      </c>
      <c r="D1277" t="inlineStr">
        <is>
          <t>GÄVLEBORGS LÄN</t>
        </is>
      </c>
      <c r="E1277" t="inlineStr">
        <is>
          <t>OVANÅKER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29590-2019</t>
        </is>
      </c>
      <c r="B1278" s="1" t="n">
        <v>43630</v>
      </c>
      <c r="C1278" s="1" t="n">
        <v>45357</v>
      </c>
      <c r="D1278" t="inlineStr">
        <is>
          <t>GÄVLEBORGS LÄN</t>
        </is>
      </c>
      <c r="E1278" t="inlineStr">
        <is>
          <t>LJUSDAL</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29688-2019</t>
        </is>
      </c>
      <c r="B1279" s="1" t="n">
        <v>43630</v>
      </c>
      <c r="C1279" s="1" t="n">
        <v>45357</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29559-2019</t>
        </is>
      </c>
      <c r="B1280" s="1" t="n">
        <v>43630</v>
      </c>
      <c r="C1280" s="1" t="n">
        <v>45357</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29525-2019</t>
        </is>
      </c>
      <c r="B1281" s="1" t="n">
        <v>43630</v>
      </c>
      <c r="C1281" s="1" t="n">
        <v>45357</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29852-2019</t>
        </is>
      </c>
      <c r="B1282" s="1" t="n">
        <v>43633</v>
      </c>
      <c r="C1282" s="1" t="n">
        <v>45357</v>
      </c>
      <c r="D1282" t="inlineStr">
        <is>
          <t>GÄVLEBORGS LÄN</t>
        </is>
      </c>
      <c r="E1282" t="inlineStr">
        <is>
          <t>BOLLNÄS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29967-2019</t>
        </is>
      </c>
      <c r="B1283" s="1" t="n">
        <v>43633</v>
      </c>
      <c r="C1283" s="1" t="n">
        <v>45357</v>
      </c>
      <c r="D1283" t="inlineStr">
        <is>
          <t>GÄVLEBORGS LÄN</t>
        </is>
      </c>
      <c r="E1283" t="inlineStr">
        <is>
          <t>SANDVIKEN</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30256-2019</t>
        </is>
      </c>
      <c r="B1284" s="1" t="n">
        <v>43634</v>
      </c>
      <c r="C1284" s="1" t="n">
        <v>45357</v>
      </c>
      <c r="D1284" t="inlineStr">
        <is>
          <t>GÄVLEBORGS LÄN</t>
        </is>
      </c>
      <c r="E1284" t="inlineStr">
        <is>
          <t>NORDANSTIG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30581-2019</t>
        </is>
      </c>
      <c r="B1285" s="1" t="n">
        <v>43635</v>
      </c>
      <c r="C1285" s="1" t="n">
        <v>45357</v>
      </c>
      <c r="D1285" t="inlineStr">
        <is>
          <t>GÄVLEBORGS LÄN</t>
        </is>
      </c>
      <c r="E1285" t="inlineStr">
        <is>
          <t>GÄVLE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30592-2019</t>
        </is>
      </c>
      <c r="B1286" s="1" t="n">
        <v>43635</v>
      </c>
      <c r="C1286" s="1" t="n">
        <v>45357</v>
      </c>
      <c r="D1286" t="inlineStr">
        <is>
          <t>GÄVLEBORGS LÄN</t>
        </is>
      </c>
      <c r="E1286" t="inlineStr">
        <is>
          <t>HOFORS</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30607-2019</t>
        </is>
      </c>
      <c r="B1287" s="1" t="n">
        <v>43635</v>
      </c>
      <c r="C1287" s="1" t="n">
        <v>45357</v>
      </c>
      <c r="D1287" t="inlineStr">
        <is>
          <t>GÄVLEBORGS LÄN</t>
        </is>
      </c>
      <c r="E1287" t="inlineStr">
        <is>
          <t>NORDANSTIG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30484-2019</t>
        </is>
      </c>
      <c r="B1288" s="1" t="n">
        <v>43635</v>
      </c>
      <c r="C1288" s="1" t="n">
        <v>45357</v>
      </c>
      <c r="D1288" t="inlineStr">
        <is>
          <t>GÄVLEBORGS LÄN</t>
        </is>
      </c>
      <c r="E1288" t="inlineStr">
        <is>
          <t>SANDVIKEN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30417-2019</t>
        </is>
      </c>
      <c r="B1289" s="1" t="n">
        <v>43635</v>
      </c>
      <c r="C1289" s="1" t="n">
        <v>45357</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30567-2019</t>
        </is>
      </c>
      <c r="B1290" s="1" t="n">
        <v>43635</v>
      </c>
      <c r="C1290" s="1" t="n">
        <v>45357</v>
      </c>
      <c r="D1290" t="inlineStr">
        <is>
          <t>GÄVLEBORGS LÄN</t>
        </is>
      </c>
      <c r="E1290" t="inlineStr">
        <is>
          <t>GÄVLE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30591-2019</t>
        </is>
      </c>
      <c r="B1291" s="1" t="n">
        <v>43635</v>
      </c>
      <c r="C1291" s="1" t="n">
        <v>45357</v>
      </c>
      <c r="D1291" t="inlineStr">
        <is>
          <t>GÄVLEBORGS LÄN</t>
        </is>
      </c>
      <c r="E1291" t="inlineStr">
        <is>
          <t>HOFORS</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30741-2019</t>
        </is>
      </c>
      <c r="B1292" s="1" t="n">
        <v>43636</v>
      </c>
      <c r="C1292" s="1" t="n">
        <v>45357</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30821-2019</t>
        </is>
      </c>
      <c r="B1293" s="1" t="n">
        <v>43636</v>
      </c>
      <c r="C1293" s="1" t="n">
        <v>45357</v>
      </c>
      <c r="D1293" t="inlineStr">
        <is>
          <t>GÄVLEBORGS LÄN</t>
        </is>
      </c>
      <c r="E1293" t="inlineStr">
        <is>
          <t>GÄVLE</t>
        </is>
      </c>
      <c r="F1293" t="inlineStr">
        <is>
          <t>Bergvik skog väst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30786-2019</t>
        </is>
      </c>
      <c r="B1294" s="1" t="n">
        <v>43636</v>
      </c>
      <c r="C1294" s="1" t="n">
        <v>45357</v>
      </c>
      <c r="D1294" t="inlineStr">
        <is>
          <t>GÄVLEBORGS LÄN</t>
        </is>
      </c>
      <c r="E1294" t="inlineStr">
        <is>
          <t>HUDIKSVALL</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30769-2019</t>
        </is>
      </c>
      <c r="B1295" s="1" t="n">
        <v>43636</v>
      </c>
      <c r="C1295" s="1" t="n">
        <v>45357</v>
      </c>
      <c r="D1295" t="inlineStr">
        <is>
          <t>GÄVLEBORGS LÄN</t>
        </is>
      </c>
      <c r="E1295" t="inlineStr">
        <is>
          <t>HUDIKSVALL</t>
        </is>
      </c>
      <c r="F1295" t="inlineStr">
        <is>
          <t>Holmen skog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30727-2019</t>
        </is>
      </c>
      <c r="B1296" s="1" t="n">
        <v>43636</v>
      </c>
      <c r="C1296" s="1" t="n">
        <v>45357</v>
      </c>
      <c r="D1296" t="inlineStr">
        <is>
          <t>GÄVLEBORGS LÄN</t>
        </is>
      </c>
      <c r="E1296" t="inlineStr">
        <is>
          <t>LJUSDAL</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31094-2019</t>
        </is>
      </c>
      <c r="B1297" s="1" t="n">
        <v>43640</v>
      </c>
      <c r="C1297" s="1" t="n">
        <v>45357</v>
      </c>
      <c r="D1297" t="inlineStr">
        <is>
          <t>GÄVLEBORGS LÄN</t>
        </is>
      </c>
      <c r="E1297" t="inlineStr">
        <is>
          <t>HUDIKSVALL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31014-2019</t>
        </is>
      </c>
      <c r="B1298" s="1" t="n">
        <v>43640</v>
      </c>
      <c r="C1298" s="1" t="n">
        <v>45357</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31082-2019</t>
        </is>
      </c>
      <c r="B1299" s="1" t="n">
        <v>43640</v>
      </c>
      <c r="C1299" s="1" t="n">
        <v>45357</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31077-2019</t>
        </is>
      </c>
      <c r="B1300" s="1" t="n">
        <v>43640</v>
      </c>
      <c r="C1300" s="1" t="n">
        <v>45357</v>
      </c>
      <c r="D1300" t="inlineStr">
        <is>
          <t>GÄVLEBORGS LÄN</t>
        </is>
      </c>
      <c r="E1300" t="inlineStr">
        <is>
          <t>OVANÅKER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31103-2019</t>
        </is>
      </c>
      <c r="B1301" s="1" t="n">
        <v>43640</v>
      </c>
      <c r="C1301" s="1" t="n">
        <v>45357</v>
      </c>
      <c r="D1301" t="inlineStr">
        <is>
          <t>GÄVLEBORGS LÄN</t>
        </is>
      </c>
      <c r="E1301" t="inlineStr">
        <is>
          <t>HUDIKSVALL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31244-2019</t>
        </is>
      </c>
      <c r="B1302" s="1" t="n">
        <v>43640</v>
      </c>
      <c r="C1302" s="1" t="n">
        <v>45357</v>
      </c>
      <c r="D1302" t="inlineStr">
        <is>
          <t>GÄVLEBORGS LÄN</t>
        </is>
      </c>
      <c r="E1302" t="inlineStr">
        <is>
          <t>OVANÅKER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31234-2019</t>
        </is>
      </c>
      <c r="B1303" s="1" t="n">
        <v>43640</v>
      </c>
      <c r="C1303" s="1" t="n">
        <v>45357</v>
      </c>
      <c r="D1303" t="inlineStr">
        <is>
          <t>GÄVLEBORGS LÄN</t>
        </is>
      </c>
      <c r="E1303" t="inlineStr">
        <is>
          <t>HUDIKSVALL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31372-2019</t>
        </is>
      </c>
      <c r="B1304" s="1" t="n">
        <v>43641</v>
      </c>
      <c r="C1304" s="1" t="n">
        <v>45357</v>
      </c>
      <c r="D1304" t="inlineStr">
        <is>
          <t>GÄVLEBORGS LÄN</t>
        </is>
      </c>
      <c r="E1304" t="inlineStr">
        <is>
          <t>OVANÅKER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31495-2019</t>
        </is>
      </c>
      <c r="B1305" s="1" t="n">
        <v>43641</v>
      </c>
      <c r="C1305" s="1" t="n">
        <v>45357</v>
      </c>
      <c r="D1305" t="inlineStr">
        <is>
          <t>GÄVLEBORGS LÄN</t>
        </is>
      </c>
      <c r="E1305" t="inlineStr">
        <is>
          <t>HUDIKSVALL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31538-2019</t>
        </is>
      </c>
      <c r="B1306" s="1" t="n">
        <v>43641</v>
      </c>
      <c r="C1306" s="1" t="n">
        <v>45357</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31812-2019</t>
        </is>
      </c>
      <c r="B1307" s="1" t="n">
        <v>43641</v>
      </c>
      <c r="C1307" s="1" t="n">
        <v>45357</v>
      </c>
      <c r="D1307" t="inlineStr">
        <is>
          <t>GÄVLEBORGS LÄN</t>
        </is>
      </c>
      <c r="E1307" t="inlineStr">
        <is>
          <t>LJUSDAL</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31769-2019</t>
        </is>
      </c>
      <c r="B1308" s="1" t="n">
        <v>43642</v>
      </c>
      <c r="C1308" s="1" t="n">
        <v>45357</v>
      </c>
      <c r="D1308" t="inlineStr">
        <is>
          <t>GÄVLEBORGS LÄN</t>
        </is>
      </c>
      <c r="E1308" t="inlineStr">
        <is>
          <t>LJUSDAL</t>
        </is>
      </c>
      <c r="F1308" t="inlineStr">
        <is>
          <t>Holmen skog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31934-2019</t>
        </is>
      </c>
      <c r="B1309" s="1" t="n">
        <v>43642</v>
      </c>
      <c r="C1309" s="1" t="n">
        <v>45357</v>
      </c>
      <c r="D1309" t="inlineStr">
        <is>
          <t>GÄVLEBORGS LÄN</t>
        </is>
      </c>
      <c r="E1309" t="inlineStr">
        <is>
          <t>NORDANSTIG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31843-2019</t>
        </is>
      </c>
      <c r="B1310" s="1" t="n">
        <v>43642</v>
      </c>
      <c r="C1310" s="1" t="n">
        <v>45357</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31854-2019</t>
        </is>
      </c>
      <c r="B1311" s="1" t="n">
        <v>43642</v>
      </c>
      <c r="C1311" s="1" t="n">
        <v>45357</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31827-2019</t>
        </is>
      </c>
      <c r="B1312" s="1" t="n">
        <v>43642</v>
      </c>
      <c r="C1312" s="1" t="n">
        <v>45357</v>
      </c>
      <c r="D1312" t="inlineStr">
        <is>
          <t>GÄVLEBORGS LÄN</t>
        </is>
      </c>
      <c r="E1312" t="inlineStr">
        <is>
          <t>HUDIKSVALL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31914-2019</t>
        </is>
      </c>
      <c r="B1313" s="1" t="n">
        <v>43643</v>
      </c>
      <c r="C1313" s="1" t="n">
        <v>45357</v>
      </c>
      <c r="D1313" t="inlineStr">
        <is>
          <t>GÄVLEBORGS LÄN</t>
        </is>
      </c>
      <c r="E1313" t="inlineStr">
        <is>
          <t>BOLLNÄS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32092-2019</t>
        </is>
      </c>
      <c r="B1314" s="1" t="n">
        <v>43643</v>
      </c>
      <c r="C1314" s="1" t="n">
        <v>45357</v>
      </c>
      <c r="D1314" t="inlineStr">
        <is>
          <t>GÄVLEBORGS LÄN</t>
        </is>
      </c>
      <c r="E1314" t="inlineStr">
        <is>
          <t>NORDANSTIG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32000-2019</t>
        </is>
      </c>
      <c r="B1315" s="1" t="n">
        <v>43643</v>
      </c>
      <c r="C1315" s="1" t="n">
        <v>45357</v>
      </c>
      <c r="D1315" t="inlineStr">
        <is>
          <t>GÄVLEBORGS LÄN</t>
        </is>
      </c>
      <c r="E1315" t="inlineStr">
        <is>
          <t>OVANÅKER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32130-2019</t>
        </is>
      </c>
      <c r="B1316" s="1" t="n">
        <v>43643</v>
      </c>
      <c r="C1316" s="1" t="n">
        <v>45357</v>
      </c>
      <c r="D1316" t="inlineStr">
        <is>
          <t>GÄVLEBORGS LÄN</t>
        </is>
      </c>
      <c r="E1316" t="inlineStr">
        <is>
          <t>SANDVIKEN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32007-2019</t>
        </is>
      </c>
      <c r="B1317" s="1" t="n">
        <v>43643</v>
      </c>
      <c r="C1317" s="1" t="n">
        <v>45357</v>
      </c>
      <c r="D1317" t="inlineStr">
        <is>
          <t>GÄVLEBORGS LÄN</t>
        </is>
      </c>
      <c r="E1317" t="inlineStr">
        <is>
          <t>SANDVIKEN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33036-2019</t>
        </is>
      </c>
      <c r="B1318" s="1" t="n">
        <v>43643</v>
      </c>
      <c r="C1318" s="1" t="n">
        <v>45357</v>
      </c>
      <c r="D1318" t="inlineStr">
        <is>
          <t>GÄVLEBORGS LÄN</t>
        </is>
      </c>
      <c r="E1318" t="inlineStr">
        <is>
          <t>HUDIKSVALL</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32084-2019</t>
        </is>
      </c>
      <c r="B1319" s="1" t="n">
        <v>43643</v>
      </c>
      <c r="C1319" s="1" t="n">
        <v>45357</v>
      </c>
      <c r="D1319" t="inlineStr">
        <is>
          <t>GÄVLEBORGS LÄN</t>
        </is>
      </c>
      <c r="E1319" t="inlineStr">
        <is>
          <t>SÖDERHAMN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32355-2019</t>
        </is>
      </c>
      <c r="B1320" s="1" t="n">
        <v>43644</v>
      </c>
      <c r="C1320" s="1" t="n">
        <v>45357</v>
      </c>
      <c r="D1320" t="inlineStr">
        <is>
          <t>GÄVLEBORGS LÄN</t>
        </is>
      </c>
      <c r="E1320" t="inlineStr">
        <is>
          <t>HUDIKSVALL</t>
        </is>
      </c>
      <c r="F1320" t="inlineStr">
        <is>
          <t>Holmen skog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32436-2019</t>
        </is>
      </c>
      <c r="B1321" s="1" t="n">
        <v>43644</v>
      </c>
      <c r="C1321" s="1" t="n">
        <v>45357</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32571-2019</t>
        </is>
      </c>
      <c r="B1322" s="1" t="n">
        <v>43647</v>
      </c>
      <c r="C1322" s="1" t="n">
        <v>45357</v>
      </c>
      <c r="D1322" t="inlineStr">
        <is>
          <t>GÄVLEBORGS LÄN</t>
        </is>
      </c>
      <c r="E1322" t="inlineStr">
        <is>
          <t>OCKELBO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32600-2019</t>
        </is>
      </c>
      <c r="B1323" s="1" t="n">
        <v>43647</v>
      </c>
      <c r="C1323" s="1" t="n">
        <v>45357</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34322-2019</t>
        </is>
      </c>
      <c r="B1324" s="1" t="n">
        <v>43647</v>
      </c>
      <c r="C1324" s="1" t="n">
        <v>45357</v>
      </c>
      <c r="D1324" t="inlineStr">
        <is>
          <t>GÄVLEBORGS LÄN</t>
        </is>
      </c>
      <c r="E1324" t="inlineStr">
        <is>
          <t>OCKELBO</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32551-2019</t>
        </is>
      </c>
      <c r="B1325" s="1" t="n">
        <v>43647</v>
      </c>
      <c r="C1325" s="1" t="n">
        <v>45357</v>
      </c>
      <c r="D1325" t="inlineStr">
        <is>
          <t>GÄVLEBORGS LÄN</t>
        </is>
      </c>
      <c r="E1325" t="inlineStr">
        <is>
          <t>NORDANSTIG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32576-2019</t>
        </is>
      </c>
      <c r="B1326" s="1" t="n">
        <v>43647</v>
      </c>
      <c r="C1326" s="1" t="n">
        <v>45357</v>
      </c>
      <c r="D1326" t="inlineStr">
        <is>
          <t>GÄVLEBORGS LÄN</t>
        </is>
      </c>
      <c r="E1326" t="inlineStr">
        <is>
          <t>OCKELBO</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32880-2019</t>
        </is>
      </c>
      <c r="B1327" s="1" t="n">
        <v>43648</v>
      </c>
      <c r="C1327" s="1" t="n">
        <v>45357</v>
      </c>
      <c r="D1327" t="inlineStr">
        <is>
          <t>GÄVLEBORGS LÄN</t>
        </is>
      </c>
      <c r="E1327" t="inlineStr">
        <is>
          <t>NORDANSTIG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32912-2019</t>
        </is>
      </c>
      <c r="B1328" s="1" t="n">
        <v>43648</v>
      </c>
      <c r="C1328" s="1" t="n">
        <v>45357</v>
      </c>
      <c r="D1328" t="inlineStr">
        <is>
          <t>GÄVLEBORGS LÄN</t>
        </is>
      </c>
      <c r="E1328" t="inlineStr">
        <is>
          <t>NORDANSTIG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33128-2019</t>
        </is>
      </c>
      <c r="B1329" s="1" t="n">
        <v>43649</v>
      </c>
      <c r="C1329" s="1" t="n">
        <v>45357</v>
      </c>
      <c r="D1329" t="inlineStr">
        <is>
          <t>GÄVLEBORGS LÄN</t>
        </is>
      </c>
      <c r="E1329" t="inlineStr">
        <is>
          <t>OCKELBO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33064-2019</t>
        </is>
      </c>
      <c r="B1330" s="1" t="n">
        <v>43649</v>
      </c>
      <c r="C1330" s="1" t="n">
        <v>45357</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33120-2019</t>
        </is>
      </c>
      <c r="B1331" s="1" t="n">
        <v>43649</v>
      </c>
      <c r="C1331" s="1" t="n">
        <v>45357</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33154-2019</t>
        </is>
      </c>
      <c r="B1332" s="1" t="n">
        <v>43649</v>
      </c>
      <c r="C1332" s="1" t="n">
        <v>45357</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33248-2019</t>
        </is>
      </c>
      <c r="B1333" s="1" t="n">
        <v>43650</v>
      </c>
      <c r="C1333" s="1" t="n">
        <v>45357</v>
      </c>
      <c r="D1333" t="inlineStr">
        <is>
          <t>GÄVLEBORGS LÄN</t>
        </is>
      </c>
      <c r="E1333" t="inlineStr">
        <is>
          <t>BOLLNÄS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33378-2019</t>
        </is>
      </c>
      <c r="B1334" s="1" t="n">
        <v>43650</v>
      </c>
      <c r="C1334" s="1" t="n">
        <v>45357</v>
      </c>
      <c r="D1334" t="inlineStr">
        <is>
          <t>GÄVLEBORGS LÄN</t>
        </is>
      </c>
      <c r="E1334" t="inlineStr">
        <is>
          <t>OCKELBO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33228-2019</t>
        </is>
      </c>
      <c r="B1335" s="1" t="n">
        <v>43650</v>
      </c>
      <c r="C1335" s="1" t="n">
        <v>45357</v>
      </c>
      <c r="D1335" t="inlineStr">
        <is>
          <t>GÄVLEBORGS LÄN</t>
        </is>
      </c>
      <c r="E1335" t="inlineStr">
        <is>
          <t>GÄVLE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33306-2019</t>
        </is>
      </c>
      <c r="B1336" s="1" t="n">
        <v>43650</v>
      </c>
      <c r="C1336" s="1" t="n">
        <v>45357</v>
      </c>
      <c r="D1336" t="inlineStr">
        <is>
          <t>GÄVLEBORGS LÄN</t>
        </is>
      </c>
      <c r="E1336" t="inlineStr">
        <is>
          <t>LJUSDAL</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33359-2019</t>
        </is>
      </c>
      <c r="B1337" s="1" t="n">
        <v>43650</v>
      </c>
      <c r="C1337" s="1" t="n">
        <v>45357</v>
      </c>
      <c r="D1337" t="inlineStr">
        <is>
          <t>GÄVLEBORGS LÄN</t>
        </is>
      </c>
      <c r="E1337" t="inlineStr">
        <is>
          <t>OCKELBO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33383-2019</t>
        </is>
      </c>
      <c r="B1338" s="1" t="n">
        <v>43650</v>
      </c>
      <c r="C1338" s="1" t="n">
        <v>45357</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33423-2019</t>
        </is>
      </c>
      <c r="B1339" s="1" t="n">
        <v>43650</v>
      </c>
      <c r="C1339" s="1" t="n">
        <v>45357</v>
      </c>
      <c r="D1339" t="inlineStr">
        <is>
          <t>GÄVLEBORGS LÄN</t>
        </is>
      </c>
      <c r="E1339" t="inlineStr">
        <is>
          <t>OCKELBO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33368-2019</t>
        </is>
      </c>
      <c r="B1340" s="1" t="n">
        <v>43650</v>
      </c>
      <c r="C1340" s="1" t="n">
        <v>45357</v>
      </c>
      <c r="D1340" t="inlineStr">
        <is>
          <t>GÄVLEBORGS LÄN</t>
        </is>
      </c>
      <c r="E1340" t="inlineStr">
        <is>
          <t>HUDIKSVALL</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33374-2019</t>
        </is>
      </c>
      <c r="B1341" s="1" t="n">
        <v>43650</v>
      </c>
      <c r="C1341" s="1" t="n">
        <v>45357</v>
      </c>
      <c r="D1341" t="inlineStr">
        <is>
          <t>GÄVLEBORGS LÄN</t>
        </is>
      </c>
      <c r="E1341" t="inlineStr">
        <is>
          <t>OCKELBO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33361-2019</t>
        </is>
      </c>
      <c r="B1342" s="1" t="n">
        <v>43650</v>
      </c>
      <c r="C1342" s="1" t="n">
        <v>45357</v>
      </c>
      <c r="D1342" t="inlineStr">
        <is>
          <t>GÄVLEBORGS LÄN</t>
        </is>
      </c>
      <c r="E1342" t="inlineStr">
        <is>
          <t>HUDIKSVALL</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33507-2019</t>
        </is>
      </c>
      <c r="B1343" s="1" t="n">
        <v>43651</v>
      </c>
      <c r="C1343" s="1" t="n">
        <v>45357</v>
      </c>
      <c r="D1343" t="inlineStr">
        <is>
          <t>GÄVLEBORGS LÄN</t>
        </is>
      </c>
      <c r="E1343" t="inlineStr">
        <is>
          <t>BOLLNÄS</t>
        </is>
      </c>
      <c r="F1343" t="inlineStr">
        <is>
          <t>Bergvik skog väst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33553-2019</t>
        </is>
      </c>
      <c r="B1344" s="1" t="n">
        <v>43651</v>
      </c>
      <c r="C1344" s="1" t="n">
        <v>45357</v>
      </c>
      <c r="D1344" t="inlineStr">
        <is>
          <t>GÄVLEBORGS LÄN</t>
        </is>
      </c>
      <c r="E1344" t="inlineStr">
        <is>
          <t>HUDIKSVALL</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33600-2019</t>
        </is>
      </c>
      <c r="B1345" s="1" t="n">
        <v>43651</v>
      </c>
      <c r="C1345" s="1" t="n">
        <v>45357</v>
      </c>
      <c r="D1345" t="inlineStr">
        <is>
          <t>GÄVLEBORGS LÄN</t>
        </is>
      </c>
      <c r="E1345" t="inlineStr">
        <is>
          <t>OCKELBO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33520-2019</t>
        </is>
      </c>
      <c r="B1346" s="1" t="n">
        <v>43651</v>
      </c>
      <c r="C1346" s="1" t="n">
        <v>45357</v>
      </c>
      <c r="D1346" t="inlineStr">
        <is>
          <t>GÄVLEBORGS LÄN</t>
        </is>
      </c>
      <c r="E1346" t="inlineStr">
        <is>
          <t>HUDIKSVALL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33661-2019</t>
        </is>
      </c>
      <c r="B1347" s="1" t="n">
        <v>43651</v>
      </c>
      <c r="C1347" s="1" t="n">
        <v>45357</v>
      </c>
      <c r="D1347" t="inlineStr">
        <is>
          <t>GÄVLEBORGS LÄN</t>
        </is>
      </c>
      <c r="E1347" t="inlineStr">
        <is>
          <t>LJUSDAL</t>
        </is>
      </c>
      <c r="F1347" t="inlineStr">
        <is>
          <t>Sveaskog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33549-2019</t>
        </is>
      </c>
      <c r="B1348" s="1" t="n">
        <v>43651</v>
      </c>
      <c r="C1348" s="1" t="n">
        <v>45357</v>
      </c>
      <c r="D1348" t="inlineStr">
        <is>
          <t>GÄVLEBORGS LÄN</t>
        </is>
      </c>
      <c r="E1348" t="inlineStr">
        <is>
          <t>HUDIKSVALL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33629-2019</t>
        </is>
      </c>
      <c r="B1349" s="1" t="n">
        <v>43651</v>
      </c>
      <c r="C1349" s="1" t="n">
        <v>45357</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35316-2019</t>
        </is>
      </c>
      <c r="B1350" s="1" t="n">
        <v>43651</v>
      </c>
      <c r="C1350" s="1" t="n">
        <v>45357</v>
      </c>
      <c r="D1350" t="inlineStr">
        <is>
          <t>GÄVLEBORGS LÄN</t>
        </is>
      </c>
      <c r="E1350" t="inlineStr">
        <is>
          <t>SANDVIKEN</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33580-2019</t>
        </is>
      </c>
      <c r="B1351" s="1" t="n">
        <v>43651</v>
      </c>
      <c r="C1351" s="1" t="n">
        <v>45357</v>
      </c>
      <c r="D1351" t="inlineStr">
        <is>
          <t>GÄVLEBORGS LÄN</t>
        </is>
      </c>
      <c r="E1351" t="inlineStr">
        <is>
          <t>GÄVLE</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33662-2019</t>
        </is>
      </c>
      <c r="B1352" s="1" t="n">
        <v>43651</v>
      </c>
      <c r="C1352" s="1" t="n">
        <v>45357</v>
      </c>
      <c r="D1352" t="inlineStr">
        <is>
          <t>GÄVLEBORGS LÄN</t>
        </is>
      </c>
      <c r="E1352" t="inlineStr">
        <is>
          <t>LJUSDAL</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34019-2019</t>
        </is>
      </c>
      <c r="B1353" s="1" t="n">
        <v>43654</v>
      </c>
      <c r="C1353" s="1" t="n">
        <v>45357</v>
      </c>
      <c r="D1353" t="inlineStr">
        <is>
          <t>GÄVLEBORGS LÄN</t>
        </is>
      </c>
      <c r="E1353" t="inlineStr">
        <is>
          <t>BOLLNÄS</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34197-2019</t>
        </is>
      </c>
      <c r="B1354" s="1" t="n">
        <v>43655</v>
      </c>
      <c r="C1354" s="1" t="n">
        <v>45357</v>
      </c>
      <c r="D1354" t="inlineStr">
        <is>
          <t>GÄVLEBORGS LÄN</t>
        </is>
      </c>
      <c r="E1354" t="inlineStr">
        <is>
          <t>LJUSDAL</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35651-2019</t>
        </is>
      </c>
      <c r="B1355" s="1" t="n">
        <v>43655</v>
      </c>
      <c r="C1355" s="1" t="n">
        <v>45357</v>
      </c>
      <c r="D1355" t="inlineStr">
        <is>
          <t>GÄVLEBORGS LÄN</t>
        </is>
      </c>
      <c r="E1355" t="inlineStr">
        <is>
          <t>SANDVIKEN</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34398-2019</t>
        </is>
      </c>
      <c r="B1356" s="1" t="n">
        <v>43656</v>
      </c>
      <c r="C1356" s="1" t="n">
        <v>45357</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34321-2019</t>
        </is>
      </c>
      <c r="B1357" s="1" t="n">
        <v>43656</v>
      </c>
      <c r="C1357" s="1" t="n">
        <v>45357</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34418-2019</t>
        </is>
      </c>
      <c r="B1358" s="1" t="n">
        <v>43656</v>
      </c>
      <c r="C1358" s="1" t="n">
        <v>45357</v>
      </c>
      <c r="D1358" t="inlineStr">
        <is>
          <t>GÄVLEBORGS LÄN</t>
        </is>
      </c>
      <c r="E1358" t="inlineStr">
        <is>
          <t>SÖDERHAMN</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34438-2019</t>
        </is>
      </c>
      <c r="B1359" s="1" t="n">
        <v>43656</v>
      </c>
      <c r="C1359" s="1" t="n">
        <v>45357</v>
      </c>
      <c r="D1359" t="inlineStr">
        <is>
          <t>GÄVLEBORGS LÄN</t>
        </is>
      </c>
      <c r="E1359" t="inlineStr">
        <is>
          <t>SÖDERHAMN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34547-2019</t>
        </is>
      </c>
      <c r="B1360" s="1" t="n">
        <v>43657</v>
      </c>
      <c r="C1360" s="1" t="n">
        <v>45357</v>
      </c>
      <c r="D1360" t="inlineStr">
        <is>
          <t>GÄVLEBORGS LÄN</t>
        </is>
      </c>
      <c r="E1360" t="inlineStr">
        <is>
          <t>SANDVIKEN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34690-2019</t>
        </is>
      </c>
      <c r="B1361" s="1" t="n">
        <v>43657</v>
      </c>
      <c r="C1361" s="1" t="n">
        <v>45357</v>
      </c>
      <c r="D1361" t="inlineStr">
        <is>
          <t>GÄVLEBORGS LÄN</t>
        </is>
      </c>
      <c r="E1361" t="inlineStr">
        <is>
          <t>HUDIKSVALL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34610-2019</t>
        </is>
      </c>
      <c r="B1362" s="1" t="n">
        <v>43657</v>
      </c>
      <c r="C1362" s="1" t="n">
        <v>45357</v>
      </c>
      <c r="D1362" t="inlineStr">
        <is>
          <t>GÄVLEBORGS LÄN</t>
        </is>
      </c>
      <c r="E1362" t="inlineStr">
        <is>
          <t>BOLLNÄS</t>
        </is>
      </c>
      <c r="F1362" t="inlineStr">
        <is>
          <t>Kyrkan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34564-2019</t>
        </is>
      </c>
      <c r="B1363" s="1" t="n">
        <v>43657</v>
      </c>
      <c r="C1363" s="1" t="n">
        <v>45357</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34516-2019</t>
        </is>
      </c>
      <c r="B1364" s="1" t="n">
        <v>43657</v>
      </c>
      <c r="C1364" s="1" t="n">
        <v>45357</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34767-2019</t>
        </is>
      </c>
      <c r="B1365" s="1" t="n">
        <v>43658</v>
      </c>
      <c r="C1365" s="1" t="n">
        <v>45357</v>
      </c>
      <c r="D1365" t="inlineStr">
        <is>
          <t>GÄVLEBORGS LÄN</t>
        </is>
      </c>
      <c r="E1365" t="inlineStr">
        <is>
          <t>HUDIKSVALL</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34989-2019</t>
        </is>
      </c>
      <c r="B1366" s="1" t="n">
        <v>43659</v>
      </c>
      <c r="C1366" s="1" t="n">
        <v>45357</v>
      </c>
      <c r="D1366" t="inlineStr">
        <is>
          <t>GÄVLEBORGS LÄN</t>
        </is>
      </c>
      <c r="E1366" t="inlineStr">
        <is>
          <t>SANDVIKEN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35016-2019</t>
        </is>
      </c>
      <c r="B1367" s="1" t="n">
        <v>43661</v>
      </c>
      <c r="C1367" s="1" t="n">
        <v>45357</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35034-2019</t>
        </is>
      </c>
      <c r="B1368" s="1" t="n">
        <v>43661</v>
      </c>
      <c r="C1368" s="1" t="n">
        <v>45357</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35107-2019</t>
        </is>
      </c>
      <c r="B1369" s="1" t="n">
        <v>43661</v>
      </c>
      <c r="C1369" s="1" t="n">
        <v>45357</v>
      </c>
      <c r="D1369" t="inlineStr">
        <is>
          <t>GÄVLEBORGS LÄN</t>
        </is>
      </c>
      <c r="E1369" t="inlineStr">
        <is>
          <t>LJUSDAL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35208-2019</t>
        </is>
      </c>
      <c r="B1370" s="1" t="n">
        <v>43662</v>
      </c>
      <c r="C1370" s="1" t="n">
        <v>45357</v>
      </c>
      <c r="D1370" t="inlineStr">
        <is>
          <t>GÄVLEBORGS LÄN</t>
        </is>
      </c>
      <c r="E1370" t="inlineStr">
        <is>
          <t>GÄVLE</t>
        </is>
      </c>
      <c r="F1370" t="inlineStr">
        <is>
          <t>Bergvik skog öst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35295-2019</t>
        </is>
      </c>
      <c r="B1371" s="1" t="n">
        <v>43662</v>
      </c>
      <c r="C1371" s="1" t="n">
        <v>45357</v>
      </c>
      <c r="D1371" t="inlineStr">
        <is>
          <t>GÄVLEBORGS LÄN</t>
        </is>
      </c>
      <c r="E1371" t="inlineStr">
        <is>
          <t>LJUSDAL</t>
        </is>
      </c>
      <c r="F1371" t="inlineStr">
        <is>
          <t>Kommuner</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35347-2019</t>
        </is>
      </c>
      <c r="B1372" s="1" t="n">
        <v>43663</v>
      </c>
      <c r="C1372" s="1" t="n">
        <v>45357</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35354-2019</t>
        </is>
      </c>
      <c r="B1373" s="1" t="n">
        <v>43663</v>
      </c>
      <c r="C1373" s="1" t="n">
        <v>45357</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35610-2019</t>
        </is>
      </c>
      <c r="B1374" s="1" t="n">
        <v>43664</v>
      </c>
      <c r="C1374" s="1" t="n">
        <v>45357</v>
      </c>
      <c r="D1374" t="inlineStr">
        <is>
          <t>GÄVLEBORGS LÄN</t>
        </is>
      </c>
      <c r="E1374" t="inlineStr">
        <is>
          <t>BOLLNÄS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35805-2019</t>
        </is>
      </c>
      <c r="B1375" s="1" t="n">
        <v>43665</v>
      </c>
      <c r="C1375" s="1" t="n">
        <v>45357</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35851-2019</t>
        </is>
      </c>
      <c r="B1376" s="1" t="n">
        <v>43665</v>
      </c>
      <c r="C1376" s="1" t="n">
        <v>45357</v>
      </c>
      <c r="D1376" t="inlineStr">
        <is>
          <t>GÄVLEBORGS LÄN</t>
        </is>
      </c>
      <c r="E1376" t="inlineStr">
        <is>
          <t>HUDIKSVALL</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35859-2019</t>
        </is>
      </c>
      <c r="B1377" s="1" t="n">
        <v>43665</v>
      </c>
      <c r="C1377" s="1" t="n">
        <v>45357</v>
      </c>
      <c r="D1377" t="inlineStr">
        <is>
          <t>GÄVLEBORGS LÄN</t>
        </is>
      </c>
      <c r="E1377" t="inlineStr">
        <is>
          <t>LJUSDAL</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36056-2019</t>
        </is>
      </c>
      <c r="B1378" s="1" t="n">
        <v>43668</v>
      </c>
      <c r="C1378" s="1" t="n">
        <v>45357</v>
      </c>
      <c r="D1378" t="inlineStr">
        <is>
          <t>GÄVLEBORGS LÄN</t>
        </is>
      </c>
      <c r="E1378" t="inlineStr">
        <is>
          <t>OCKELBO</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36040-2019</t>
        </is>
      </c>
      <c r="B1379" s="1" t="n">
        <v>43668</v>
      </c>
      <c r="C1379" s="1" t="n">
        <v>45357</v>
      </c>
      <c r="D1379" t="inlineStr">
        <is>
          <t>GÄVLEBORGS LÄN</t>
        </is>
      </c>
      <c r="E1379" t="inlineStr">
        <is>
          <t>LJUSDAL</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36062-2019</t>
        </is>
      </c>
      <c r="B1380" s="1" t="n">
        <v>43668</v>
      </c>
      <c r="C1380" s="1" t="n">
        <v>45357</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36239-2019</t>
        </is>
      </c>
      <c r="B1381" s="1" t="n">
        <v>43669</v>
      </c>
      <c r="C1381" s="1" t="n">
        <v>45357</v>
      </c>
      <c r="D1381" t="inlineStr">
        <is>
          <t>GÄVLEBORGS LÄN</t>
        </is>
      </c>
      <c r="E1381" t="inlineStr">
        <is>
          <t>SÖDERHAMN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36190-2019</t>
        </is>
      </c>
      <c r="B1382" s="1" t="n">
        <v>43669</v>
      </c>
      <c r="C1382" s="1" t="n">
        <v>45357</v>
      </c>
      <c r="D1382" t="inlineStr">
        <is>
          <t>GÄVLEBORGS LÄN</t>
        </is>
      </c>
      <c r="E1382" t="inlineStr">
        <is>
          <t>LJUSDAL</t>
        </is>
      </c>
      <c r="G1382" t="n">
        <v>53.2</v>
      </c>
      <c r="H1382" t="n">
        <v>0</v>
      </c>
      <c r="I1382" t="n">
        <v>0</v>
      </c>
      <c r="J1382" t="n">
        <v>0</v>
      </c>
      <c r="K1382" t="n">
        <v>0</v>
      </c>
      <c r="L1382" t="n">
        <v>0</v>
      </c>
      <c r="M1382" t="n">
        <v>0</v>
      </c>
      <c r="N1382" t="n">
        <v>0</v>
      </c>
      <c r="O1382" t="n">
        <v>0</v>
      </c>
      <c r="P1382" t="n">
        <v>0</v>
      </c>
      <c r="Q1382" t="n">
        <v>0</v>
      </c>
      <c r="R1382" s="2" t="inlineStr"/>
    </row>
    <row r="1383" ht="15" customHeight="1">
      <c r="A1383" t="inlineStr">
        <is>
          <t>A 36533-2019</t>
        </is>
      </c>
      <c r="B1383" s="1" t="n">
        <v>43671</v>
      </c>
      <c r="C1383" s="1" t="n">
        <v>45357</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36721-2019</t>
        </is>
      </c>
      <c r="B1384" s="1" t="n">
        <v>43672</v>
      </c>
      <c r="C1384" s="1" t="n">
        <v>45357</v>
      </c>
      <c r="D1384" t="inlineStr">
        <is>
          <t>GÄVLEBORGS LÄN</t>
        </is>
      </c>
      <c r="E1384" t="inlineStr">
        <is>
          <t>HUDIKSVALL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36864-2019</t>
        </is>
      </c>
      <c r="B1385" s="1" t="n">
        <v>43675</v>
      </c>
      <c r="C1385" s="1" t="n">
        <v>45357</v>
      </c>
      <c r="D1385" t="inlineStr">
        <is>
          <t>GÄVLEBORGS LÄN</t>
        </is>
      </c>
      <c r="E1385" t="inlineStr">
        <is>
          <t>OCKELBO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37116-2019</t>
        </is>
      </c>
      <c r="B1386" s="1" t="n">
        <v>43676</v>
      </c>
      <c r="C1386" s="1" t="n">
        <v>45357</v>
      </c>
      <c r="D1386" t="inlineStr">
        <is>
          <t>GÄVLEBORGS LÄN</t>
        </is>
      </c>
      <c r="E1386" t="inlineStr">
        <is>
          <t>HUDIKSVALL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37102-2019</t>
        </is>
      </c>
      <c r="B1387" s="1" t="n">
        <v>43676</v>
      </c>
      <c r="C1387" s="1" t="n">
        <v>45357</v>
      </c>
      <c r="D1387" t="inlineStr">
        <is>
          <t>GÄVLEBORGS LÄN</t>
        </is>
      </c>
      <c r="E1387" t="inlineStr">
        <is>
          <t>SANDVIKEN</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37326-2019</t>
        </is>
      </c>
      <c r="B1388" s="1" t="n">
        <v>43677</v>
      </c>
      <c r="C1388" s="1" t="n">
        <v>45357</v>
      </c>
      <c r="D1388" t="inlineStr">
        <is>
          <t>GÄVLEBORGS LÄN</t>
        </is>
      </c>
      <c r="E1388" t="inlineStr">
        <is>
          <t>LJUSDAL</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37469-2019</t>
        </is>
      </c>
      <c r="B1389" s="1" t="n">
        <v>43679</v>
      </c>
      <c r="C1389" s="1" t="n">
        <v>45357</v>
      </c>
      <c r="D1389" t="inlineStr">
        <is>
          <t>GÄVLEBORGS LÄN</t>
        </is>
      </c>
      <c r="E1389" t="inlineStr">
        <is>
          <t>OVANÅKER</t>
        </is>
      </c>
      <c r="F1389" t="inlineStr">
        <is>
          <t>Holmen skog AB</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37506-2019</t>
        </is>
      </c>
      <c r="B1390" s="1" t="n">
        <v>43679</v>
      </c>
      <c r="C1390" s="1" t="n">
        <v>45357</v>
      </c>
      <c r="D1390" t="inlineStr">
        <is>
          <t>GÄVLEBORGS LÄN</t>
        </is>
      </c>
      <c r="E1390" t="inlineStr">
        <is>
          <t>OVANÅKER</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37676-2019</t>
        </is>
      </c>
      <c r="B1391" s="1" t="n">
        <v>43679</v>
      </c>
      <c r="C1391" s="1" t="n">
        <v>45357</v>
      </c>
      <c r="D1391" t="inlineStr">
        <is>
          <t>GÄVLEBORGS LÄN</t>
        </is>
      </c>
      <c r="E1391" t="inlineStr">
        <is>
          <t>LJUSDAL</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37537-2019</t>
        </is>
      </c>
      <c r="B1392" s="1" t="n">
        <v>43679</v>
      </c>
      <c r="C1392" s="1" t="n">
        <v>45357</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37473-2019</t>
        </is>
      </c>
      <c r="B1393" s="1" t="n">
        <v>43679</v>
      </c>
      <c r="C1393" s="1" t="n">
        <v>45357</v>
      </c>
      <c r="D1393" t="inlineStr">
        <is>
          <t>GÄVLEBORGS LÄN</t>
        </is>
      </c>
      <c r="E1393" t="inlineStr">
        <is>
          <t>SÖDERHAMN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37854-2019</t>
        </is>
      </c>
      <c r="B1394" s="1" t="n">
        <v>43682</v>
      </c>
      <c r="C1394" s="1" t="n">
        <v>45357</v>
      </c>
      <c r="D1394" t="inlineStr">
        <is>
          <t>GÄVLEBORGS LÄN</t>
        </is>
      </c>
      <c r="E1394" t="inlineStr">
        <is>
          <t>OVANÅKER</t>
        </is>
      </c>
      <c r="F1394" t="inlineStr">
        <is>
          <t>Bergvik skog öst AB</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37852-2019</t>
        </is>
      </c>
      <c r="B1395" s="1" t="n">
        <v>43682</v>
      </c>
      <c r="C1395" s="1" t="n">
        <v>45357</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38619-2019</t>
        </is>
      </c>
      <c r="B1396" s="1" t="n">
        <v>43686</v>
      </c>
      <c r="C1396" s="1" t="n">
        <v>45357</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38756-2019</t>
        </is>
      </c>
      <c r="B1397" s="1" t="n">
        <v>43686</v>
      </c>
      <c r="C1397" s="1" t="n">
        <v>45357</v>
      </c>
      <c r="D1397" t="inlineStr">
        <is>
          <t>GÄVLEBORGS LÄN</t>
        </is>
      </c>
      <c r="E1397" t="inlineStr">
        <is>
          <t>LJUSDAL</t>
        </is>
      </c>
      <c r="G1397" t="n">
        <v>51.7</v>
      </c>
      <c r="H1397" t="n">
        <v>0</v>
      </c>
      <c r="I1397" t="n">
        <v>0</v>
      </c>
      <c r="J1397" t="n">
        <v>0</v>
      </c>
      <c r="K1397" t="n">
        <v>0</v>
      </c>
      <c r="L1397" t="n">
        <v>0</v>
      </c>
      <c r="M1397" t="n">
        <v>0</v>
      </c>
      <c r="N1397" t="n">
        <v>0</v>
      </c>
      <c r="O1397" t="n">
        <v>0</v>
      </c>
      <c r="P1397" t="n">
        <v>0</v>
      </c>
      <c r="Q1397" t="n">
        <v>0</v>
      </c>
      <c r="R1397" s="2" t="inlineStr"/>
    </row>
    <row r="1398" ht="15" customHeight="1">
      <c r="A1398" t="inlineStr">
        <is>
          <t>A 38892-2019</t>
        </is>
      </c>
      <c r="B1398" s="1" t="n">
        <v>43689</v>
      </c>
      <c r="C1398" s="1" t="n">
        <v>45357</v>
      </c>
      <c r="D1398" t="inlineStr">
        <is>
          <t>GÄVLEBORGS LÄN</t>
        </is>
      </c>
      <c r="E1398" t="inlineStr">
        <is>
          <t>OVANÅKER</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38945-2019</t>
        </is>
      </c>
      <c r="B1399" s="1" t="n">
        <v>43689</v>
      </c>
      <c r="C1399" s="1" t="n">
        <v>45357</v>
      </c>
      <c r="D1399" t="inlineStr">
        <is>
          <t>GÄVLEBORGS LÄN</t>
        </is>
      </c>
      <c r="E1399" t="inlineStr">
        <is>
          <t>NORDANSTIG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38891-2019</t>
        </is>
      </c>
      <c r="B1400" s="1" t="n">
        <v>43689</v>
      </c>
      <c r="C1400" s="1" t="n">
        <v>45357</v>
      </c>
      <c r="D1400" t="inlineStr">
        <is>
          <t>GÄVLEBORGS LÄN</t>
        </is>
      </c>
      <c r="E1400" t="inlineStr">
        <is>
          <t>OVANÅKER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38978-2019</t>
        </is>
      </c>
      <c r="B1401" s="1" t="n">
        <v>43689</v>
      </c>
      <c r="C1401" s="1" t="n">
        <v>45357</v>
      </c>
      <c r="D1401" t="inlineStr">
        <is>
          <t>GÄVLEBORGS LÄN</t>
        </is>
      </c>
      <c r="E1401" t="inlineStr">
        <is>
          <t>NORDANSTIG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39020-2019</t>
        </is>
      </c>
      <c r="B1402" s="1" t="n">
        <v>43689</v>
      </c>
      <c r="C1402" s="1" t="n">
        <v>45357</v>
      </c>
      <c r="D1402" t="inlineStr">
        <is>
          <t>GÄVLEBORGS LÄN</t>
        </is>
      </c>
      <c r="E1402" t="inlineStr">
        <is>
          <t>BOLLNÄS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38983-2019</t>
        </is>
      </c>
      <c r="B1403" s="1" t="n">
        <v>43689</v>
      </c>
      <c r="C1403" s="1" t="n">
        <v>45357</v>
      </c>
      <c r="D1403" t="inlineStr">
        <is>
          <t>GÄVLEBORGS LÄN</t>
        </is>
      </c>
      <c r="E1403" t="inlineStr">
        <is>
          <t>NORDANSTIG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38883-2019</t>
        </is>
      </c>
      <c r="B1404" s="1" t="n">
        <v>43689</v>
      </c>
      <c r="C1404" s="1" t="n">
        <v>45357</v>
      </c>
      <c r="D1404" t="inlineStr">
        <is>
          <t>GÄVLEBORGS LÄN</t>
        </is>
      </c>
      <c r="E1404" t="inlineStr">
        <is>
          <t>SANDVIKEN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39223-2019</t>
        </is>
      </c>
      <c r="B1405" s="1" t="n">
        <v>43690</v>
      </c>
      <c r="C1405" s="1" t="n">
        <v>45357</v>
      </c>
      <c r="D1405" t="inlineStr">
        <is>
          <t>GÄVLEBORGS LÄN</t>
        </is>
      </c>
      <c r="E1405" t="inlineStr">
        <is>
          <t>OVANÅKER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39235-2019</t>
        </is>
      </c>
      <c r="B1406" s="1" t="n">
        <v>43690</v>
      </c>
      <c r="C1406" s="1" t="n">
        <v>45357</v>
      </c>
      <c r="D1406" t="inlineStr">
        <is>
          <t>GÄVLEBORGS LÄN</t>
        </is>
      </c>
      <c r="E1406" t="inlineStr">
        <is>
          <t>HUDIKSVALL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39275-2019</t>
        </is>
      </c>
      <c r="B1407" s="1" t="n">
        <v>43690</v>
      </c>
      <c r="C1407" s="1" t="n">
        <v>45357</v>
      </c>
      <c r="D1407" t="inlineStr">
        <is>
          <t>GÄVLEBORGS LÄN</t>
        </is>
      </c>
      <c r="E1407" t="inlineStr">
        <is>
          <t>SANDVIKEN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39310-2019</t>
        </is>
      </c>
      <c r="B1408" s="1" t="n">
        <v>43690</v>
      </c>
      <c r="C1408" s="1" t="n">
        <v>45357</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39191-2019</t>
        </is>
      </c>
      <c r="B1409" s="1" t="n">
        <v>43690</v>
      </c>
      <c r="C1409" s="1" t="n">
        <v>45357</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39365-2019</t>
        </is>
      </c>
      <c r="B1410" s="1" t="n">
        <v>43690</v>
      </c>
      <c r="C1410" s="1" t="n">
        <v>45357</v>
      </c>
      <c r="D1410" t="inlineStr">
        <is>
          <t>GÄVLEBORGS LÄN</t>
        </is>
      </c>
      <c r="E1410" t="inlineStr">
        <is>
          <t>SÖDERHAMN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39237-2019</t>
        </is>
      </c>
      <c r="B1411" s="1" t="n">
        <v>43690</v>
      </c>
      <c r="C1411" s="1" t="n">
        <v>45357</v>
      </c>
      <c r="D1411" t="inlineStr">
        <is>
          <t>GÄVLEBORGS LÄN</t>
        </is>
      </c>
      <c r="E1411" t="inlineStr">
        <is>
          <t>HUDIKSVALL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39513-2019</t>
        </is>
      </c>
      <c r="B1412" s="1" t="n">
        <v>43691</v>
      </c>
      <c r="C1412" s="1" t="n">
        <v>45357</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39643-2019</t>
        </is>
      </c>
      <c r="B1413" s="1" t="n">
        <v>43691</v>
      </c>
      <c r="C1413" s="1" t="n">
        <v>45357</v>
      </c>
      <c r="D1413" t="inlineStr">
        <is>
          <t>GÄVLEBORGS LÄN</t>
        </is>
      </c>
      <c r="E1413" t="inlineStr">
        <is>
          <t>BOLLNÄS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40196-2019</t>
        </is>
      </c>
      <c r="B1414" s="1" t="n">
        <v>43691</v>
      </c>
      <c r="C1414" s="1" t="n">
        <v>45357</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39687-2019</t>
        </is>
      </c>
      <c r="B1415" s="1" t="n">
        <v>43691</v>
      </c>
      <c r="C1415" s="1" t="n">
        <v>45357</v>
      </c>
      <c r="D1415" t="inlineStr">
        <is>
          <t>GÄVLEBORGS LÄN</t>
        </is>
      </c>
      <c r="E1415" t="inlineStr">
        <is>
          <t>OCKELBO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39812-2019</t>
        </is>
      </c>
      <c r="B1416" s="1" t="n">
        <v>43692</v>
      </c>
      <c r="C1416" s="1" t="n">
        <v>45357</v>
      </c>
      <c r="D1416" t="inlineStr">
        <is>
          <t>GÄVLEBORGS LÄN</t>
        </is>
      </c>
      <c r="E1416" t="inlineStr">
        <is>
          <t>OVANÅKER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39762-2019</t>
        </is>
      </c>
      <c r="B1417" s="1" t="n">
        <v>43692</v>
      </c>
      <c r="C1417" s="1" t="n">
        <v>45357</v>
      </c>
      <c r="D1417" t="inlineStr">
        <is>
          <t>GÄVLEBORGS LÄN</t>
        </is>
      </c>
      <c r="E1417" t="inlineStr">
        <is>
          <t>LJUSDAL</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39945-2019</t>
        </is>
      </c>
      <c r="B1418" s="1" t="n">
        <v>43692</v>
      </c>
      <c r="C1418" s="1" t="n">
        <v>45357</v>
      </c>
      <c r="D1418" t="inlineStr">
        <is>
          <t>GÄVLEBORGS LÄN</t>
        </is>
      </c>
      <c r="E1418" t="inlineStr">
        <is>
          <t>OVANÅKER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40164-2019</t>
        </is>
      </c>
      <c r="B1419" s="1" t="n">
        <v>43693</v>
      </c>
      <c r="C1419" s="1" t="n">
        <v>45357</v>
      </c>
      <c r="D1419" t="inlineStr">
        <is>
          <t>GÄVLEBORGS LÄN</t>
        </is>
      </c>
      <c r="E1419" t="inlineStr">
        <is>
          <t>HUDIKSVALL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40184-2019</t>
        </is>
      </c>
      <c r="B1420" s="1" t="n">
        <v>43693</v>
      </c>
      <c r="C1420" s="1" t="n">
        <v>45357</v>
      </c>
      <c r="D1420" t="inlineStr">
        <is>
          <t>GÄVLEBORGS LÄN</t>
        </is>
      </c>
      <c r="E1420" t="inlineStr">
        <is>
          <t>LJUSDAL</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40190-2019</t>
        </is>
      </c>
      <c r="B1421" s="1" t="n">
        <v>43693</v>
      </c>
      <c r="C1421" s="1" t="n">
        <v>45357</v>
      </c>
      <c r="D1421" t="inlineStr">
        <is>
          <t>GÄVLEBORGS LÄN</t>
        </is>
      </c>
      <c r="E1421" t="inlineStr">
        <is>
          <t>LJUSDAL</t>
        </is>
      </c>
      <c r="F1421" t="inlineStr">
        <is>
          <t>Sveaskog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40128-2019</t>
        </is>
      </c>
      <c r="B1422" s="1" t="n">
        <v>43693</v>
      </c>
      <c r="C1422" s="1" t="n">
        <v>45357</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40071-2019</t>
        </is>
      </c>
      <c r="B1423" s="1" t="n">
        <v>43693</v>
      </c>
      <c r="C1423" s="1" t="n">
        <v>45357</v>
      </c>
      <c r="D1423" t="inlineStr">
        <is>
          <t>GÄVLEBORGS LÄN</t>
        </is>
      </c>
      <c r="E1423" t="inlineStr">
        <is>
          <t>LJUSDAL</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40327-2019</t>
        </is>
      </c>
      <c r="B1424" s="1" t="n">
        <v>43696</v>
      </c>
      <c r="C1424" s="1" t="n">
        <v>45357</v>
      </c>
      <c r="D1424" t="inlineStr">
        <is>
          <t>GÄVLEBORGS LÄN</t>
        </is>
      </c>
      <c r="E1424" t="inlineStr">
        <is>
          <t>OCKELBO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40380-2019</t>
        </is>
      </c>
      <c r="B1425" s="1" t="n">
        <v>43696</v>
      </c>
      <c r="C1425" s="1" t="n">
        <v>45357</v>
      </c>
      <c r="D1425" t="inlineStr">
        <is>
          <t>GÄVLEBORGS LÄN</t>
        </is>
      </c>
      <c r="E1425" t="inlineStr">
        <is>
          <t>SANDVIKEN</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40385-2019</t>
        </is>
      </c>
      <c r="B1426" s="1" t="n">
        <v>43696</v>
      </c>
      <c r="C1426" s="1" t="n">
        <v>45357</v>
      </c>
      <c r="D1426" t="inlineStr">
        <is>
          <t>GÄVLEBORGS LÄN</t>
        </is>
      </c>
      <c r="E1426" t="inlineStr">
        <is>
          <t>HOFORS</t>
        </is>
      </c>
      <c r="F1426" t="inlineStr">
        <is>
          <t>Sveaskog</t>
        </is>
      </c>
      <c r="G1426" t="n">
        <v>2.7</v>
      </c>
      <c r="H1426" t="n">
        <v>0</v>
      </c>
      <c r="I1426" t="n">
        <v>0</v>
      </c>
      <c r="J1426" t="n">
        <v>0</v>
      </c>
      <c r="K1426" t="n">
        <v>0</v>
      </c>
      <c r="L1426" t="n">
        <v>0</v>
      </c>
      <c r="M1426" t="n">
        <v>0</v>
      </c>
      <c r="N1426" t="n">
        <v>0</v>
      </c>
      <c r="O1426" t="n">
        <v>0</v>
      </c>
      <c r="P1426" t="n">
        <v>0</v>
      </c>
      <c r="Q1426" t="n">
        <v>0</v>
      </c>
      <c r="R1426" s="2" t="inlineStr"/>
      <c r="U1426">
        <f>HYPERLINK("https://klasma.github.io/Logging_2104/knärot/A 40385-2019 karta knärot.png", "A 40385-2019")</f>
        <v/>
      </c>
      <c r="V1426">
        <f>HYPERLINK("https://klasma.github.io/Logging_2104/klagomål/A 40385-2019 FSC-klagomål.docx", "A 40385-2019")</f>
        <v/>
      </c>
      <c r="W1426">
        <f>HYPERLINK("https://klasma.github.io/Logging_2104/klagomålsmail/A 40385-2019 FSC-klagomål mail.docx", "A 40385-2019")</f>
        <v/>
      </c>
      <c r="X1426">
        <f>HYPERLINK("https://klasma.github.io/Logging_2104/tillsyn/A 40385-2019 tillsynsbegäran.docx", "A 40385-2019")</f>
        <v/>
      </c>
      <c r="Y1426">
        <f>HYPERLINK("https://klasma.github.io/Logging_2104/tillsynsmail/A 40385-2019 tillsynsbegäran mail.docx", "A 40385-2019")</f>
        <v/>
      </c>
    </row>
    <row r="1427" ht="15" customHeight="1">
      <c r="A1427" t="inlineStr">
        <is>
          <t>A 41483-2019</t>
        </is>
      </c>
      <c r="B1427" s="1" t="n">
        <v>43696</v>
      </c>
      <c r="C1427" s="1" t="n">
        <v>45357</v>
      </c>
      <c r="D1427" t="inlineStr">
        <is>
          <t>GÄVLEBORGS LÄN</t>
        </is>
      </c>
      <c r="E1427" t="inlineStr">
        <is>
          <t>GÄVLE</t>
        </is>
      </c>
      <c r="F1427" t="inlineStr">
        <is>
          <t>Bergvik skog väst AB</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40433-2019</t>
        </is>
      </c>
      <c r="B1428" s="1" t="n">
        <v>43696</v>
      </c>
      <c r="C1428" s="1" t="n">
        <v>45357</v>
      </c>
      <c r="D1428" t="inlineStr">
        <is>
          <t>GÄVLEBORGS LÄN</t>
        </is>
      </c>
      <c r="E1428" t="inlineStr">
        <is>
          <t>SÖDERHAMN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40440-2019</t>
        </is>
      </c>
      <c r="B1429" s="1" t="n">
        <v>43696</v>
      </c>
      <c r="C1429" s="1" t="n">
        <v>45357</v>
      </c>
      <c r="D1429" t="inlineStr">
        <is>
          <t>GÄVLEBORGS LÄN</t>
        </is>
      </c>
      <c r="E1429" t="inlineStr">
        <is>
          <t>GÄVLE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40915-2019</t>
        </is>
      </c>
      <c r="B1430" s="1" t="n">
        <v>43697</v>
      </c>
      <c r="C1430" s="1" t="n">
        <v>45357</v>
      </c>
      <c r="D1430" t="inlineStr">
        <is>
          <t>GÄVLEBORGS LÄN</t>
        </is>
      </c>
      <c r="E1430" t="inlineStr">
        <is>
          <t>OCKELBO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40830-2019</t>
        </is>
      </c>
      <c r="B1431" s="1" t="n">
        <v>43697</v>
      </c>
      <c r="C1431" s="1" t="n">
        <v>45357</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40707-2019</t>
        </is>
      </c>
      <c r="B1432" s="1" t="n">
        <v>43697</v>
      </c>
      <c r="C1432" s="1" t="n">
        <v>45357</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41111-2019</t>
        </is>
      </c>
      <c r="B1433" s="1" t="n">
        <v>43698</v>
      </c>
      <c r="C1433" s="1" t="n">
        <v>45357</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41047-2019</t>
        </is>
      </c>
      <c r="B1434" s="1" t="n">
        <v>43698</v>
      </c>
      <c r="C1434" s="1" t="n">
        <v>45357</v>
      </c>
      <c r="D1434" t="inlineStr">
        <is>
          <t>GÄVLEBORGS LÄN</t>
        </is>
      </c>
      <c r="E1434" t="inlineStr">
        <is>
          <t>BOLLNÄS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41365-2019</t>
        </is>
      </c>
      <c r="B1435" s="1" t="n">
        <v>43698</v>
      </c>
      <c r="C1435" s="1" t="n">
        <v>45357</v>
      </c>
      <c r="D1435" t="inlineStr">
        <is>
          <t>GÄVLEBORGS LÄN</t>
        </is>
      </c>
      <c r="E1435" t="inlineStr">
        <is>
          <t>BOLLNÄS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41223-2019</t>
        </is>
      </c>
      <c r="B1436" s="1" t="n">
        <v>43698</v>
      </c>
      <c r="C1436" s="1" t="n">
        <v>45357</v>
      </c>
      <c r="D1436" t="inlineStr">
        <is>
          <t>GÄVLEBORGS LÄN</t>
        </is>
      </c>
      <c r="E1436" t="inlineStr">
        <is>
          <t>GÄVLE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41212-2019</t>
        </is>
      </c>
      <c r="B1437" s="1" t="n">
        <v>43698</v>
      </c>
      <c r="C1437" s="1" t="n">
        <v>45357</v>
      </c>
      <c r="D1437" t="inlineStr">
        <is>
          <t>GÄVLEBORGS LÄN</t>
        </is>
      </c>
      <c r="E1437" t="inlineStr">
        <is>
          <t>LJUSDAL</t>
        </is>
      </c>
      <c r="F1437" t="inlineStr">
        <is>
          <t>Allmännings- och besparingsskogar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41569-2019</t>
        </is>
      </c>
      <c r="B1438" s="1" t="n">
        <v>43699</v>
      </c>
      <c r="C1438" s="1" t="n">
        <v>45357</v>
      </c>
      <c r="D1438" t="inlineStr">
        <is>
          <t>GÄVLEBORGS LÄN</t>
        </is>
      </c>
      <c r="E1438" t="inlineStr">
        <is>
          <t>OCKELBO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41608-2019</t>
        </is>
      </c>
      <c r="B1439" s="1" t="n">
        <v>43699</v>
      </c>
      <c r="C1439" s="1" t="n">
        <v>45357</v>
      </c>
      <c r="D1439" t="inlineStr">
        <is>
          <t>GÄVLEBORGS LÄN</t>
        </is>
      </c>
      <c r="E1439" t="inlineStr">
        <is>
          <t>HUDIKSVALL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41509-2019</t>
        </is>
      </c>
      <c r="B1440" s="1" t="n">
        <v>43699</v>
      </c>
      <c r="C1440" s="1" t="n">
        <v>45357</v>
      </c>
      <c r="D1440" t="inlineStr">
        <is>
          <t>GÄVLEBORGS LÄN</t>
        </is>
      </c>
      <c r="E1440" t="inlineStr">
        <is>
          <t>OVANÅKER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41620-2019</t>
        </is>
      </c>
      <c r="B1441" s="1" t="n">
        <v>43699</v>
      </c>
      <c r="C1441" s="1" t="n">
        <v>45357</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41558-2019</t>
        </is>
      </c>
      <c r="B1442" s="1" t="n">
        <v>43699</v>
      </c>
      <c r="C1442" s="1" t="n">
        <v>45357</v>
      </c>
      <c r="D1442" t="inlineStr">
        <is>
          <t>GÄVLEBORGS LÄN</t>
        </is>
      </c>
      <c r="E1442" t="inlineStr">
        <is>
          <t>OCKELBO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41917-2019</t>
        </is>
      </c>
      <c r="B1443" s="1" t="n">
        <v>43700</v>
      </c>
      <c r="C1443" s="1" t="n">
        <v>45357</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41977-2019</t>
        </is>
      </c>
      <c r="B1444" s="1" t="n">
        <v>43700</v>
      </c>
      <c r="C1444" s="1" t="n">
        <v>45357</v>
      </c>
      <c r="D1444" t="inlineStr">
        <is>
          <t>GÄVLEBORGS LÄN</t>
        </is>
      </c>
      <c r="E1444" t="inlineStr">
        <is>
          <t>GÄVLE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42018-2019</t>
        </is>
      </c>
      <c r="B1445" s="1" t="n">
        <v>43700</v>
      </c>
      <c r="C1445" s="1" t="n">
        <v>45357</v>
      </c>
      <c r="D1445" t="inlineStr">
        <is>
          <t>GÄVLEBORGS LÄN</t>
        </is>
      </c>
      <c r="E1445" t="inlineStr">
        <is>
          <t>NORDANSTIG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41843-2019</t>
        </is>
      </c>
      <c r="B1446" s="1" t="n">
        <v>43700</v>
      </c>
      <c r="C1446" s="1" t="n">
        <v>45357</v>
      </c>
      <c r="D1446" t="inlineStr">
        <is>
          <t>GÄVLEBORGS LÄN</t>
        </is>
      </c>
      <c r="E1446" t="inlineStr">
        <is>
          <t>NORDANSTIG</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41978-2019</t>
        </is>
      </c>
      <c r="B1447" s="1" t="n">
        <v>43700</v>
      </c>
      <c r="C1447" s="1" t="n">
        <v>45357</v>
      </c>
      <c r="D1447" t="inlineStr">
        <is>
          <t>GÄVLEBORGS LÄN</t>
        </is>
      </c>
      <c r="E1447" t="inlineStr">
        <is>
          <t>OVANÅKER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42038-2019</t>
        </is>
      </c>
      <c r="B1448" s="1" t="n">
        <v>43700</v>
      </c>
      <c r="C1448" s="1" t="n">
        <v>45357</v>
      </c>
      <c r="D1448" t="inlineStr">
        <is>
          <t>GÄVLEBORGS LÄN</t>
        </is>
      </c>
      <c r="E1448" t="inlineStr">
        <is>
          <t>NORDANSTIG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42009-2019</t>
        </is>
      </c>
      <c r="B1449" s="1" t="n">
        <v>43700</v>
      </c>
      <c r="C1449" s="1" t="n">
        <v>45357</v>
      </c>
      <c r="D1449" t="inlineStr">
        <is>
          <t>GÄVLEBORGS LÄN</t>
        </is>
      </c>
      <c r="E1449" t="inlineStr">
        <is>
          <t>HUDIKSVALL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44374-2019</t>
        </is>
      </c>
      <c r="B1450" s="1" t="n">
        <v>43700</v>
      </c>
      <c r="C1450" s="1" t="n">
        <v>45357</v>
      </c>
      <c r="D1450" t="inlineStr">
        <is>
          <t>GÄVLEBORGS LÄN</t>
        </is>
      </c>
      <c r="E1450" t="inlineStr">
        <is>
          <t>LJUSDAL</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42026-2019</t>
        </is>
      </c>
      <c r="B1451" s="1" t="n">
        <v>43700</v>
      </c>
      <c r="C1451" s="1" t="n">
        <v>45357</v>
      </c>
      <c r="D1451" t="inlineStr">
        <is>
          <t>GÄVLEBORGS LÄN</t>
        </is>
      </c>
      <c r="E1451" t="inlineStr">
        <is>
          <t>NORDANSTIG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41852-2019</t>
        </is>
      </c>
      <c r="B1452" s="1" t="n">
        <v>43700</v>
      </c>
      <c r="C1452" s="1" t="n">
        <v>45357</v>
      </c>
      <c r="D1452" t="inlineStr">
        <is>
          <t>GÄVLEBORGS LÄN</t>
        </is>
      </c>
      <c r="E1452" t="inlineStr">
        <is>
          <t>LJUSDAL</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42287-2019</t>
        </is>
      </c>
      <c r="B1453" s="1" t="n">
        <v>43703</v>
      </c>
      <c r="C1453" s="1" t="n">
        <v>45357</v>
      </c>
      <c r="D1453" t="inlineStr">
        <is>
          <t>GÄVLEBORGS LÄN</t>
        </is>
      </c>
      <c r="E1453" t="inlineStr">
        <is>
          <t>HUDIKSVALL</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42181-2019</t>
        </is>
      </c>
      <c r="B1454" s="1" t="n">
        <v>43703</v>
      </c>
      <c r="C1454" s="1" t="n">
        <v>45357</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42289-2019</t>
        </is>
      </c>
      <c r="B1455" s="1" t="n">
        <v>43703</v>
      </c>
      <c r="C1455" s="1" t="n">
        <v>45357</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42253-2019</t>
        </is>
      </c>
      <c r="B1456" s="1" t="n">
        <v>43703</v>
      </c>
      <c r="C1456" s="1" t="n">
        <v>45357</v>
      </c>
      <c r="D1456" t="inlineStr">
        <is>
          <t>GÄVLEBORGS LÄN</t>
        </is>
      </c>
      <c r="E1456" t="inlineStr">
        <is>
          <t>HOFORS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42122-2019</t>
        </is>
      </c>
      <c r="B1457" s="1" t="n">
        <v>43703</v>
      </c>
      <c r="C1457" s="1" t="n">
        <v>45357</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42596-2019</t>
        </is>
      </c>
      <c r="B1458" s="1" t="n">
        <v>43704</v>
      </c>
      <c r="C1458" s="1" t="n">
        <v>45357</v>
      </c>
      <c r="D1458" t="inlineStr">
        <is>
          <t>GÄVLEBORGS LÄN</t>
        </is>
      </c>
      <c r="E1458" t="inlineStr">
        <is>
          <t>BOLLNÄS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42445-2019</t>
        </is>
      </c>
      <c r="B1459" s="1" t="n">
        <v>43704</v>
      </c>
      <c r="C1459" s="1" t="n">
        <v>45357</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42454-2019</t>
        </is>
      </c>
      <c r="B1460" s="1" t="n">
        <v>43704</v>
      </c>
      <c r="C1460" s="1" t="n">
        <v>45357</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42598-2019</t>
        </is>
      </c>
      <c r="B1461" s="1" t="n">
        <v>43704</v>
      </c>
      <c r="C1461" s="1" t="n">
        <v>45357</v>
      </c>
      <c r="D1461" t="inlineStr">
        <is>
          <t>GÄVLEBORGS LÄN</t>
        </is>
      </c>
      <c r="E1461" t="inlineStr">
        <is>
          <t>BOLLNÄS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42820-2019</t>
        </is>
      </c>
      <c r="B1462" s="1" t="n">
        <v>43705</v>
      </c>
      <c r="C1462" s="1" t="n">
        <v>45357</v>
      </c>
      <c r="D1462" t="inlineStr">
        <is>
          <t>GÄVLEBORGS LÄN</t>
        </is>
      </c>
      <c r="E1462" t="inlineStr">
        <is>
          <t>OCKELBO</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42874-2019</t>
        </is>
      </c>
      <c r="B1463" s="1" t="n">
        <v>43705</v>
      </c>
      <c r="C1463" s="1" t="n">
        <v>45357</v>
      </c>
      <c r="D1463" t="inlineStr">
        <is>
          <t>GÄVLEBORGS LÄN</t>
        </is>
      </c>
      <c r="E1463" t="inlineStr">
        <is>
          <t>HUDIKSVALL</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42927-2019</t>
        </is>
      </c>
      <c r="B1464" s="1" t="n">
        <v>43705</v>
      </c>
      <c r="C1464" s="1" t="n">
        <v>45357</v>
      </c>
      <c r="D1464" t="inlineStr">
        <is>
          <t>GÄVLEBORGS LÄN</t>
        </is>
      </c>
      <c r="E1464" t="inlineStr">
        <is>
          <t>HUDIKSVALL</t>
        </is>
      </c>
      <c r="F1464" t="inlineStr">
        <is>
          <t>Holmen skog AB</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42987-2019</t>
        </is>
      </c>
      <c r="B1465" s="1" t="n">
        <v>43705</v>
      </c>
      <c r="C1465" s="1" t="n">
        <v>45357</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43095-2019</t>
        </is>
      </c>
      <c r="B1466" s="1" t="n">
        <v>43705</v>
      </c>
      <c r="C1466" s="1" t="n">
        <v>45357</v>
      </c>
      <c r="D1466" t="inlineStr">
        <is>
          <t>GÄVLEBORGS LÄN</t>
        </is>
      </c>
      <c r="E1466" t="inlineStr">
        <is>
          <t>SANDVIKEN</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42868-2019</t>
        </is>
      </c>
      <c r="B1467" s="1" t="n">
        <v>43705</v>
      </c>
      <c r="C1467" s="1" t="n">
        <v>45357</v>
      </c>
      <c r="D1467" t="inlineStr">
        <is>
          <t>GÄVLEBORGS LÄN</t>
        </is>
      </c>
      <c r="E1467" t="inlineStr">
        <is>
          <t>LJUSDAL</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43051-2019</t>
        </is>
      </c>
      <c r="B1468" s="1" t="n">
        <v>43705</v>
      </c>
      <c r="C1468" s="1" t="n">
        <v>45357</v>
      </c>
      <c r="D1468" t="inlineStr">
        <is>
          <t>GÄVLEBORGS LÄN</t>
        </is>
      </c>
      <c r="E1468" t="inlineStr">
        <is>
          <t>HUDIKSVALL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42908-2019</t>
        </is>
      </c>
      <c r="B1469" s="1" t="n">
        <v>43705</v>
      </c>
      <c r="C1469" s="1" t="n">
        <v>45357</v>
      </c>
      <c r="D1469" t="inlineStr">
        <is>
          <t>GÄVLEBORGS LÄN</t>
        </is>
      </c>
      <c r="E1469" t="inlineStr">
        <is>
          <t>BOLLNÄS</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42995-2019</t>
        </is>
      </c>
      <c r="B1470" s="1" t="n">
        <v>43705</v>
      </c>
      <c r="C1470" s="1" t="n">
        <v>45357</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43287-2019</t>
        </is>
      </c>
      <c r="B1471" s="1" t="n">
        <v>43706</v>
      </c>
      <c r="C1471" s="1" t="n">
        <v>45357</v>
      </c>
      <c r="D1471" t="inlineStr">
        <is>
          <t>GÄVLEBORGS LÄN</t>
        </is>
      </c>
      <c r="E1471" t="inlineStr">
        <is>
          <t>GÄVLE</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43529-2019</t>
        </is>
      </c>
      <c r="B1472" s="1" t="n">
        <v>43706</v>
      </c>
      <c r="C1472" s="1" t="n">
        <v>45357</v>
      </c>
      <c r="D1472" t="inlineStr">
        <is>
          <t>GÄVLEBORGS LÄN</t>
        </is>
      </c>
      <c r="E1472" t="inlineStr">
        <is>
          <t>BOLLNÄS</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43570-2019</t>
        </is>
      </c>
      <c r="B1473" s="1" t="n">
        <v>43706</v>
      </c>
      <c r="C1473" s="1" t="n">
        <v>45357</v>
      </c>
      <c r="D1473" t="inlineStr">
        <is>
          <t>GÄVLEBORGS LÄN</t>
        </is>
      </c>
      <c r="E1473" t="inlineStr">
        <is>
          <t>HUDIKSVALL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43624-2019</t>
        </is>
      </c>
      <c r="B1474" s="1" t="n">
        <v>43707</v>
      </c>
      <c r="C1474" s="1" t="n">
        <v>45357</v>
      </c>
      <c r="D1474" t="inlineStr">
        <is>
          <t>GÄVLEBORGS LÄN</t>
        </is>
      </c>
      <c r="E1474" t="inlineStr">
        <is>
          <t>HUDIKSVALL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43780-2019</t>
        </is>
      </c>
      <c r="B1475" s="1" t="n">
        <v>43707</v>
      </c>
      <c r="C1475" s="1" t="n">
        <v>45357</v>
      </c>
      <c r="D1475" t="inlineStr">
        <is>
          <t>GÄVLEBORGS LÄN</t>
        </is>
      </c>
      <c r="E1475" t="inlineStr">
        <is>
          <t>BOLLNÄS</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43610-2019</t>
        </is>
      </c>
      <c r="B1476" s="1" t="n">
        <v>43707</v>
      </c>
      <c r="C1476" s="1" t="n">
        <v>45357</v>
      </c>
      <c r="D1476" t="inlineStr">
        <is>
          <t>GÄVLEBORGS LÄN</t>
        </is>
      </c>
      <c r="E1476" t="inlineStr">
        <is>
          <t>GÄVLE</t>
        </is>
      </c>
      <c r="F1476" t="inlineStr">
        <is>
          <t>Kyrkan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43778-2019</t>
        </is>
      </c>
      <c r="B1477" s="1" t="n">
        <v>43707</v>
      </c>
      <c r="C1477" s="1" t="n">
        <v>45357</v>
      </c>
      <c r="D1477" t="inlineStr">
        <is>
          <t>GÄVLEBORGS LÄN</t>
        </is>
      </c>
      <c r="E1477" t="inlineStr">
        <is>
          <t>BOLLNÄS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44801-2019</t>
        </is>
      </c>
      <c r="B1478" s="1" t="n">
        <v>43707</v>
      </c>
      <c r="C1478" s="1" t="n">
        <v>45357</v>
      </c>
      <c r="D1478" t="inlineStr">
        <is>
          <t>GÄVLEBORGS LÄN</t>
        </is>
      </c>
      <c r="E1478" t="inlineStr">
        <is>
          <t>SANDVIKEN</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43941-2019</t>
        </is>
      </c>
      <c r="B1479" s="1" t="n">
        <v>43707</v>
      </c>
      <c r="C1479" s="1" t="n">
        <v>45357</v>
      </c>
      <c r="D1479" t="inlineStr">
        <is>
          <t>GÄVLEBORGS LÄN</t>
        </is>
      </c>
      <c r="E1479" t="inlineStr">
        <is>
          <t>HUDIKSVALL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44791-2019</t>
        </is>
      </c>
      <c r="B1480" s="1" t="n">
        <v>43707</v>
      </c>
      <c r="C1480" s="1" t="n">
        <v>45357</v>
      </c>
      <c r="D1480" t="inlineStr">
        <is>
          <t>GÄVLEBORGS LÄN</t>
        </is>
      </c>
      <c r="E1480" t="inlineStr">
        <is>
          <t>HOFORS</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44218-2019</t>
        </is>
      </c>
      <c r="B1481" s="1" t="n">
        <v>43710</v>
      </c>
      <c r="C1481" s="1" t="n">
        <v>45357</v>
      </c>
      <c r="D1481" t="inlineStr">
        <is>
          <t>GÄVLEBORGS LÄN</t>
        </is>
      </c>
      <c r="E1481" t="inlineStr">
        <is>
          <t>HOFORS</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44212-2019</t>
        </is>
      </c>
      <c r="B1482" s="1" t="n">
        <v>43710</v>
      </c>
      <c r="C1482" s="1" t="n">
        <v>45357</v>
      </c>
      <c r="D1482" t="inlineStr">
        <is>
          <t>GÄVLEBORGS LÄN</t>
        </is>
      </c>
      <c r="E1482" t="inlineStr">
        <is>
          <t>BOLLNÄS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44275-2019</t>
        </is>
      </c>
      <c r="B1483" s="1" t="n">
        <v>43710</v>
      </c>
      <c r="C1483" s="1" t="n">
        <v>45357</v>
      </c>
      <c r="D1483" t="inlineStr">
        <is>
          <t>GÄVLEBORGS LÄN</t>
        </is>
      </c>
      <c r="E1483" t="inlineStr">
        <is>
          <t>LJUSDAL</t>
        </is>
      </c>
      <c r="F1483" t="inlineStr">
        <is>
          <t>Sveaskog</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44139-2019</t>
        </is>
      </c>
      <c r="B1484" s="1" t="n">
        <v>43710</v>
      </c>
      <c r="C1484" s="1" t="n">
        <v>45357</v>
      </c>
      <c r="D1484" t="inlineStr">
        <is>
          <t>GÄVLEBORGS LÄN</t>
        </is>
      </c>
      <c r="E1484" t="inlineStr">
        <is>
          <t>HUDIKSVALL</t>
        </is>
      </c>
      <c r="F1484" t="inlineStr">
        <is>
          <t>Holmen skog AB</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44196-2019</t>
        </is>
      </c>
      <c r="B1485" s="1" t="n">
        <v>43710</v>
      </c>
      <c r="C1485" s="1" t="n">
        <v>45357</v>
      </c>
      <c r="D1485" t="inlineStr">
        <is>
          <t>GÄVLEBORGS LÄN</t>
        </is>
      </c>
      <c r="E1485" t="inlineStr">
        <is>
          <t>HOFORS</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44066-2019</t>
        </is>
      </c>
      <c r="B1486" s="1" t="n">
        <v>43710</v>
      </c>
      <c r="C1486" s="1" t="n">
        <v>45357</v>
      </c>
      <c r="D1486" t="inlineStr">
        <is>
          <t>GÄVLEBORGS LÄN</t>
        </is>
      </c>
      <c r="E1486" t="inlineStr">
        <is>
          <t>LJUSDAL</t>
        </is>
      </c>
      <c r="F1486" t="inlineStr">
        <is>
          <t>Holmen skog AB</t>
        </is>
      </c>
      <c r="G1486" t="n">
        <v>19.6</v>
      </c>
      <c r="H1486" t="n">
        <v>0</v>
      </c>
      <c r="I1486" t="n">
        <v>0</v>
      </c>
      <c r="J1486" t="n">
        <v>0</v>
      </c>
      <c r="K1486" t="n">
        <v>0</v>
      </c>
      <c r="L1486" t="n">
        <v>0</v>
      </c>
      <c r="M1486" t="n">
        <v>0</v>
      </c>
      <c r="N1486" t="n">
        <v>0</v>
      </c>
      <c r="O1486" t="n">
        <v>0</v>
      </c>
      <c r="P1486" t="n">
        <v>0</v>
      </c>
      <c r="Q1486" t="n">
        <v>0</v>
      </c>
      <c r="R1486" s="2" t="inlineStr"/>
    </row>
    <row r="1487" ht="15" customHeight="1">
      <c r="A1487" t="inlineStr">
        <is>
          <t>A 44150-2019</t>
        </is>
      </c>
      <c r="B1487" s="1" t="n">
        <v>43710</v>
      </c>
      <c r="C1487" s="1" t="n">
        <v>45357</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44062-2019</t>
        </is>
      </c>
      <c r="B1488" s="1" t="n">
        <v>43710</v>
      </c>
      <c r="C1488" s="1" t="n">
        <v>45357</v>
      </c>
      <c r="D1488" t="inlineStr">
        <is>
          <t>GÄVLEBORGS LÄN</t>
        </is>
      </c>
      <c r="E1488" t="inlineStr">
        <is>
          <t>LJUSDAL</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44342-2019</t>
        </is>
      </c>
      <c r="B1489" s="1" t="n">
        <v>43711</v>
      </c>
      <c r="C1489" s="1" t="n">
        <v>45357</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44439-2019</t>
        </is>
      </c>
      <c r="B1490" s="1" t="n">
        <v>43711</v>
      </c>
      <c r="C1490" s="1" t="n">
        <v>45357</v>
      </c>
      <c r="D1490" t="inlineStr">
        <is>
          <t>GÄVLEBORGS LÄN</t>
        </is>
      </c>
      <c r="E1490" t="inlineStr">
        <is>
          <t>SÖDERHAMN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44717-2019</t>
        </is>
      </c>
      <c r="B1491" s="1" t="n">
        <v>43712</v>
      </c>
      <c r="C1491" s="1" t="n">
        <v>45357</v>
      </c>
      <c r="D1491" t="inlineStr">
        <is>
          <t>GÄVLEBORGS LÄN</t>
        </is>
      </c>
      <c r="E1491" t="inlineStr">
        <is>
          <t>SANDVIKEN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44847-2019</t>
        </is>
      </c>
      <c r="B1492" s="1" t="n">
        <v>43712</v>
      </c>
      <c r="C1492" s="1" t="n">
        <v>45357</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44904-2019</t>
        </is>
      </c>
      <c r="B1493" s="1" t="n">
        <v>43713</v>
      </c>
      <c r="C1493" s="1" t="n">
        <v>45357</v>
      </c>
      <c r="D1493" t="inlineStr">
        <is>
          <t>GÄVLEBORGS LÄN</t>
        </is>
      </c>
      <c r="E1493" t="inlineStr">
        <is>
          <t>LJUSDAL</t>
        </is>
      </c>
      <c r="F1493" t="inlineStr">
        <is>
          <t>Sveaskog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45085-2019</t>
        </is>
      </c>
      <c r="B1494" s="1" t="n">
        <v>43713</v>
      </c>
      <c r="C1494" s="1" t="n">
        <v>45357</v>
      </c>
      <c r="D1494" t="inlineStr">
        <is>
          <t>GÄVLEBORGS LÄN</t>
        </is>
      </c>
      <c r="E1494" t="inlineStr">
        <is>
          <t>HUDIKSVALL</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44897-2019</t>
        </is>
      </c>
      <c r="B1495" s="1" t="n">
        <v>43713</v>
      </c>
      <c r="C1495" s="1" t="n">
        <v>45357</v>
      </c>
      <c r="D1495" t="inlineStr">
        <is>
          <t>GÄVLEBORGS LÄN</t>
        </is>
      </c>
      <c r="E1495" t="inlineStr">
        <is>
          <t>NORDANSTIG</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44974-2019</t>
        </is>
      </c>
      <c r="B1496" s="1" t="n">
        <v>43713</v>
      </c>
      <c r="C1496" s="1" t="n">
        <v>45357</v>
      </c>
      <c r="D1496" t="inlineStr">
        <is>
          <t>GÄVLEBORGS LÄN</t>
        </is>
      </c>
      <c r="E1496" t="inlineStr">
        <is>
          <t>SANDVIKEN</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44999-2019</t>
        </is>
      </c>
      <c r="B1497" s="1" t="n">
        <v>43713</v>
      </c>
      <c r="C1497" s="1" t="n">
        <v>45357</v>
      </c>
      <c r="D1497" t="inlineStr">
        <is>
          <t>GÄVLEBORGS LÄN</t>
        </is>
      </c>
      <c r="E1497" t="inlineStr">
        <is>
          <t>OVANÅKER</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45158-2019</t>
        </is>
      </c>
      <c r="B1498" s="1" t="n">
        <v>43713</v>
      </c>
      <c r="C1498" s="1" t="n">
        <v>45357</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45207-2019</t>
        </is>
      </c>
      <c r="B1499" s="1" t="n">
        <v>43713</v>
      </c>
      <c r="C1499" s="1" t="n">
        <v>45357</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45019-2019</t>
        </is>
      </c>
      <c r="B1500" s="1" t="n">
        <v>43713</v>
      </c>
      <c r="C1500" s="1" t="n">
        <v>45357</v>
      </c>
      <c r="D1500" t="inlineStr">
        <is>
          <t>GÄVLEBORGS LÄN</t>
        </is>
      </c>
      <c r="E1500" t="inlineStr">
        <is>
          <t>SANDVIKEN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45211-2019</t>
        </is>
      </c>
      <c r="B1501" s="1" t="n">
        <v>43713</v>
      </c>
      <c r="C1501" s="1" t="n">
        <v>45357</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45052-2019</t>
        </is>
      </c>
      <c r="B1502" s="1" t="n">
        <v>43713</v>
      </c>
      <c r="C1502" s="1" t="n">
        <v>45357</v>
      </c>
      <c r="D1502" t="inlineStr">
        <is>
          <t>GÄVLEBORGS LÄN</t>
        </is>
      </c>
      <c r="E1502" t="inlineStr">
        <is>
          <t>HUDIKSVALL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45358-2019</t>
        </is>
      </c>
      <c r="B1503" s="1" t="n">
        <v>43714</v>
      </c>
      <c r="C1503" s="1" t="n">
        <v>45357</v>
      </c>
      <c r="D1503" t="inlineStr">
        <is>
          <t>GÄVLEBORGS LÄN</t>
        </is>
      </c>
      <c r="E1503" t="inlineStr">
        <is>
          <t>GÄVLE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45419-2019</t>
        </is>
      </c>
      <c r="B1504" s="1" t="n">
        <v>43714</v>
      </c>
      <c r="C1504" s="1" t="n">
        <v>45357</v>
      </c>
      <c r="D1504" t="inlineStr">
        <is>
          <t>GÄVLEBORGS LÄN</t>
        </is>
      </c>
      <c r="E1504" t="inlineStr">
        <is>
          <t>NORDANSTIG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45451-2019</t>
        </is>
      </c>
      <c r="B1505" s="1" t="n">
        <v>43714</v>
      </c>
      <c r="C1505" s="1" t="n">
        <v>45357</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45450-2019</t>
        </is>
      </c>
      <c r="B1506" s="1" t="n">
        <v>43714</v>
      </c>
      <c r="C1506" s="1" t="n">
        <v>45357</v>
      </c>
      <c r="D1506" t="inlineStr">
        <is>
          <t>GÄVLEBORGS LÄN</t>
        </is>
      </c>
      <c r="E1506" t="inlineStr">
        <is>
          <t>LJUSDAL</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45516-2019</t>
        </is>
      </c>
      <c r="B1507" s="1" t="n">
        <v>43714</v>
      </c>
      <c r="C1507" s="1" t="n">
        <v>45357</v>
      </c>
      <c r="D1507" t="inlineStr">
        <is>
          <t>GÄVLEBORGS LÄN</t>
        </is>
      </c>
      <c r="E1507" t="inlineStr">
        <is>
          <t>HUDIKSVALL</t>
        </is>
      </c>
      <c r="F1507" t="inlineStr">
        <is>
          <t>Holmen skog AB</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45287-2019</t>
        </is>
      </c>
      <c r="B1508" s="1" t="n">
        <v>43714</v>
      </c>
      <c r="C1508" s="1" t="n">
        <v>45357</v>
      </c>
      <c r="D1508" t="inlineStr">
        <is>
          <t>GÄVLEBORGS LÄN</t>
        </is>
      </c>
      <c r="E1508" t="inlineStr">
        <is>
          <t>HUDIKSVALL</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45661-2019</t>
        </is>
      </c>
      <c r="B1509" s="1" t="n">
        <v>43717</v>
      </c>
      <c r="C1509" s="1" t="n">
        <v>45357</v>
      </c>
      <c r="D1509" t="inlineStr">
        <is>
          <t>GÄVLEBORGS LÄN</t>
        </is>
      </c>
      <c r="E1509" t="inlineStr">
        <is>
          <t>OCKELBO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45595-2019</t>
        </is>
      </c>
      <c r="B1510" s="1" t="n">
        <v>43717</v>
      </c>
      <c r="C1510" s="1" t="n">
        <v>45357</v>
      </c>
      <c r="D1510" t="inlineStr">
        <is>
          <t>GÄVLEBORGS LÄN</t>
        </is>
      </c>
      <c r="E1510" t="inlineStr">
        <is>
          <t>BOLLNÄS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45749-2019</t>
        </is>
      </c>
      <c r="B1511" s="1" t="n">
        <v>43717</v>
      </c>
      <c r="C1511" s="1" t="n">
        <v>45357</v>
      </c>
      <c r="D1511" t="inlineStr">
        <is>
          <t>GÄVLEBORGS LÄN</t>
        </is>
      </c>
      <c r="E1511" t="inlineStr">
        <is>
          <t>NORDANSTIG</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45808-2019</t>
        </is>
      </c>
      <c r="B1512" s="1" t="n">
        <v>43717</v>
      </c>
      <c r="C1512" s="1" t="n">
        <v>45357</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46273-2019</t>
        </is>
      </c>
      <c r="B1513" s="1" t="n">
        <v>43718</v>
      </c>
      <c r="C1513" s="1" t="n">
        <v>45357</v>
      </c>
      <c r="D1513" t="inlineStr">
        <is>
          <t>GÄVLEBORGS LÄN</t>
        </is>
      </c>
      <c r="E1513" t="inlineStr">
        <is>
          <t>BOLLNÄS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46253-2019</t>
        </is>
      </c>
      <c r="B1514" s="1" t="n">
        <v>43718</v>
      </c>
      <c r="C1514" s="1" t="n">
        <v>45357</v>
      </c>
      <c r="D1514" t="inlineStr">
        <is>
          <t>GÄVLEBORGS LÄN</t>
        </is>
      </c>
      <c r="E1514" t="inlineStr">
        <is>
          <t>BOLLNÄS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46294-2019</t>
        </is>
      </c>
      <c r="B1515" s="1" t="n">
        <v>43718</v>
      </c>
      <c r="C1515" s="1" t="n">
        <v>45357</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46032-2019</t>
        </is>
      </c>
      <c r="B1516" s="1" t="n">
        <v>43718</v>
      </c>
      <c r="C1516" s="1" t="n">
        <v>45357</v>
      </c>
      <c r="D1516" t="inlineStr">
        <is>
          <t>GÄVLEBORGS LÄN</t>
        </is>
      </c>
      <c r="E1516" t="inlineStr">
        <is>
          <t>HUDIKSVALL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46014-2019</t>
        </is>
      </c>
      <c r="B1517" s="1" t="n">
        <v>43718</v>
      </c>
      <c r="C1517" s="1" t="n">
        <v>45357</v>
      </c>
      <c r="D1517" t="inlineStr">
        <is>
          <t>GÄVLEBORGS LÄN</t>
        </is>
      </c>
      <c r="E1517" t="inlineStr">
        <is>
          <t>GÄVLE</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46153-2019</t>
        </is>
      </c>
      <c r="B1518" s="1" t="n">
        <v>43718</v>
      </c>
      <c r="C1518" s="1" t="n">
        <v>45357</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46161-2019</t>
        </is>
      </c>
      <c r="B1519" s="1" t="n">
        <v>43718</v>
      </c>
      <c r="C1519" s="1" t="n">
        <v>45357</v>
      </c>
      <c r="D1519" t="inlineStr">
        <is>
          <t>GÄVLEBORGS LÄN</t>
        </is>
      </c>
      <c r="E1519" t="inlineStr">
        <is>
          <t>HOFORS</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46036-2019</t>
        </is>
      </c>
      <c r="B1520" s="1" t="n">
        <v>43718</v>
      </c>
      <c r="C1520" s="1" t="n">
        <v>45357</v>
      </c>
      <c r="D1520" t="inlineStr">
        <is>
          <t>GÄVLEBORGS LÄN</t>
        </is>
      </c>
      <c r="E1520" t="inlineStr">
        <is>
          <t>HUDIKSVALL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46113-2019</t>
        </is>
      </c>
      <c r="B1521" s="1" t="n">
        <v>43718</v>
      </c>
      <c r="C1521" s="1" t="n">
        <v>45357</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46262-2019</t>
        </is>
      </c>
      <c r="B1522" s="1" t="n">
        <v>43718</v>
      </c>
      <c r="C1522" s="1" t="n">
        <v>45357</v>
      </c>
      <c r="D1522" t="inlineStr">
        <is>
          <t>GÄVLEBORGS LÄN</t>
        </is>
      </c>
      <c r="E1522" t="inlineStr">
        <is>
          <t>SANDVIKEN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46019-2019</t>
        </is>
      </c>
      <c r="B1523" s="1" t="n">
        <v>43718</v>
      </c>
      <c r="C1523" s="1" t="n">
        <v>45357</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46444-2019</t>
        </is>
      </c>
      <c r="B1524" s="1" t="n">
        <v>43719</v>
      </c>
      <c r="C1524" s="1" t="n">
        <v>45357</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46442-2019</t>
        </is>
      </c>
      <c r="B1525" s="1" t="n">
        <v>43719</v>
      </c>
      <c r="C1525" s="1" t="n">
        <v>45357</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46408-2019</t>
        </is>
      </c>
      <c r="B1526" s="1" t="n">
        <v>43719</v>
      </c>
      <c r="C1526" s="1" t="n">
        <v>45357</v>
      </c>
      <c r="D1526" t="inlineStr">
        <is>
          <t>GÄVLEBORGS LÄN</t>
        </is>
      </c>
      <c r="E1526" t="inlineStr">
        <is>
          <t>LJUSDAL</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46577-2019</t>
        </is>
      </c>
      <c r="B1527" s="1" t="n">
        <v>43719</v>
      </c>
      <c r="C1527" s="1" t="n">
        <v>45357</v>
      </c>
      <c r="D1527" t="inlineStr">
        <is>
          <t>GÄVLEBORGS LÄN</t>
        </is>
      </c>
      <c r="E1527" t="inlineStr">
        <is>
          <t>HUDIKSVALL</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46949-2019</t>
        </is>
      </c>
      <c r="B1528" s="1" t="n">
        <v>43719</v>
      </c>
      <c r="C1528" s="1" t="n">
        <v>45357</v>
      </c>
      <c r="D1528" t="inlineStr">
        <is>
          <t>GÄVLEBORGS LÄN</t>
        </is>
      </c>
      <c r="E1528" t="inlineStr">
        <is>
          <t>SANDVIKEN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46865-2019</t>
        </is>
      </c>
      <c r="B1529" s="1" t="n">
        <v>43720</v>
      </c>
      <c r="C1529" s="1" t="n">
        <v>45357</v>
      </c>
      <c r="D1529" t="inlineStr">
        <is>
          <t>GÄVLEBORGS LÄN</t>
        </is>
      </c>
      <c r="E1529" t="inlineStr">
        <is>
          <t>HUDIKSVALL</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46773-2019</t>
        </is>
      </c>
      <c r="B1530" s="1" t="n">
        <v>43720</v>
      </c>
      <c r="C1530" s="1" t="n">
        <v>45357</v>
      </c>
      <c r="D1530" t="inlineStr">
        <is>
          <t>GÄVLEBORGS LÄN</t>
        </is>
      </c>
      <c r="E1530" t="inlineStr">
        <is>
          <t>LJUSDAL</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46864-2019</t>
        </is>
      </c>
      <c r="B1531" s="1" t="n">
        <v>43720</v>
      </c>
      <c r="C1531" s="1" t="n">
        <v>45357</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46794-2019</t>
        </is>
      </c>
      <c r="B1532" s="1" t="n">
        <v>43720</v>
      </c>
      <c r="C1532" s="1" t="n">
        <v>45357</v>
      </c>
      <c r="D1532" t="inlineStr">
        <is>
          <t>GÄVLEBORGS LÄN</t>
        </is>
      </c>
      <c r="E1532" t="inlineStr">
        <is>
          <t>HUDIKSVALL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47003-2019</t>
        </is>
      </c>
      <c r="B1533" s="1" t="n">
        <v>43720</v>
      </c>
      <c r="C1533" s="1" t="n">
        <v>45357</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47286-2019</t>
        </is>
      </c>
      <c r="B1534" s="1" t="n">
        <v>43721</v>
      </c>
      <c r="C1534" s="1" t="n">
        <v>45357</v>
      </c>
      <c r="D1534" t="inlineStr">
        <is>
          <t>GÄVLEBORGS LÄN</t>
        </is>
      </c>
      <c r="E1534" t="inlineStr">
        <is>
          <t>SANDVIKEN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47301-2019</t>
        </is>
      </c>
      <c r="B1535" s="1" t="n">
        <v>43721</v>
      </c>
      <c r="C1535" s="1" t="n">
        <v>45357</v>
      </c>
      <c r="D1535" t="inlineStr">
        <is>
          <t>GÄVLEBORGS LÄN</t>
        </is>
      </c>
      <c r="E1535" t="inlineStr">
        <is>
          <t>SÖDERHAMN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47290-2019</t>
        </is>
      </c>
      <c r="B1536" s="1" t="n">
        <v>43721</v>
      </c>
      <c r="C1536" s="1" t="n">
        <v>45357</v>
      </c>
      <c r="D1536" t="inlineStr">
        <is>
          <t>GÄVLEBORGS LÄN</t>
        </is>
      </c>
      <c r="E1536" t="inlineStr">
        <is>
          <t>HUDIKSVALL</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47326-2019</t>
        </is>
      </c>
      <c r="B1537" s="1" t="n">
        <v>43721</v>
      </c>
      <c r="C1537" s="1" t="n">
        <v>45357</v>
      </c>
      <c r="D1537" t="inlineStr">
        <is>
          <t>GÄVLEBORGS LÄN</t>
        </is>
      </c>
      <c r="E1537" t="inlineStr">
        <is>
          <t>LJUSDAL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47182-2019</t>
        </is>
      </c>
      <c r="B1538" s="1" t="n">
        <v>43721</v>
      </c>
      <c r="C1538" s="1" t="n">
        <v>45357</v>
      </c>
      <c r="D1538" t="inlineStr">
        <is>
          <t>GÄVLEBORGS LÄN</t>
        </is>
      </c>
      <c r="E1538" t="inlineStr">
        <is>
          <t>BOLLNÄS</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47205-2019</t>
        </is>
      </c>
      <c r="B1539" s="1" t="n">
        <v>43721</v>
      </c>
      <c r="C1539" s="1" t="n">
        <v>45357</v>
      </c>
      <c r="D1539" t="inlineStr">
        <is>
          <t>GÄVLEBORGS LÄN</t>
        </is>
      </c>
      <c r="E1539" t="inlineStr">
        <is>
          <t>OCKELBO</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47378-2019</t>
        </is>
      </c>
      <c r="B1540" s="1" t="n">
        <v>43721</v>
      </c>
      <c r="C1540" s="1" t="n">
        <v>45357</v>
      </c>
      <c r="D1540" t="inlineStr">
        <is>
          <t>GÄVLEBORGS LÄN</t>
        </is>
      </c>
      <c r="E1540" t="inlineStr">
        <is>
          <t>GÄVLE</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47329-2019</t>
        </is>
      </c>
      <c r="B1541" s="1" t="n">
        <v>43721</v>
      </c>
      <c r="C1541" s="1" t="n">
        <v>45357</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47449-2019</t>
        </is>
      </c>
      <c r="B1542" s="1" t="n">
        <v>43721</v>
      </c>
      <c r="C1542" s="1" t="n">
        <v>45357</v>
      </c>
      <c r="D1542" t="inlineStr">
        <is>
          <t>GÄVLEBORGS LÄN</t>
        </is>
      </c>
      <c r="E1542" t="inlineStr">
        <is>
          <t>LJUSDAL</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47443-2019</t>
        </is>
      </c>
      <c r="B1543" s="1" t="n">
        <v>43723</v>
      </c>
      <c r="C1543" s="1" t="n">
        <v>45357</v>
      </c>
      <c r="D1543" t="inlineStr">
        <is>
          <t>GÄVLEBORGS LÄN</t>
        </is>
      </c>
      <c r="E1543" t="inlineStr">
        <is>
          <t>SÖDERHAMN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47843-2019</t>
        </is>
      </c>
      <c r="B1544" s="1" t="n">
        <v>43725</v>
      </c>
      <c r="C1544" s="1" t="n">
        <v>45357</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48019-2019</t>
        </is>
      </c>
      <c r="B1545" s="1" t="n">
        <v>43725</v>
      </c>
      <c r="C1545" s="1" t="n">
        <v>45357</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47907-2019</t>
        </is>
      </c>
      <c r="B1546" s="1" t="n">
        <v>43725</v>
      </c>
      <c r="C1546" s="1" t="n">
        <v>45357</v>
      </c>
      <c r="D1546" t="inlineStr">
        <is>
          <t>GÄVLEBORGS LÄN</t>
        </is>
      </c>
      <c r="E1546" t="inlineStr">
        <is>
          <t>NORDANSTIG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47929-2019</t>
        </is>
      </c>
      <c r="B1547" s="1" t="n">
        <v>43725</v>
      </c>
      <c r="C1547" s="1" t="n">
        <v>45357</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47984-2019</t>
        </is>
      </c>
      <c r="B1548" s="1" t="n">
        <v>43725</v>
      </c>
      <c r="C1548" s="1" t="n">
        <v>45357</v>
      </c>
      <c r="D1548" t="inlineStr">
        <is>
          <t>GÄVLEBORGS LÄN</t>
        </is>
      </c>
      <c r="E1548" t="inlineStr">
        <is>
          <t>HUDIKSVALL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48100-2019</t>
        </is>
      </c>
      <c r="B1549" s="1" t="n">
        <v>43725</v>
      </c>
      <c r="C1549" s="1" t="n">
        <v>45357</v>
      </c>
      <c r="D1549" t="inlineStr">
        <is>
          <t>GÄVLEBORGS LÄN</t>
        </is>
      </c>
      <c r="E1549" t="inlineStr">
        <is>
          <t>SÖDERHAMN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48003-2019</t>
        </is>
      </c>
      <c r="B1550" s="1" t="n">
        <v>43725</v>
      </c>
      <c r="C1550" s="1" t="n">
        <v>45357</v>
      </c>
      <c r="D1550" t="inlineStr">
        <is>
          <t>GÄVLEBORGS LÄN</t>
        </is>
      </c>
      <c r="E1550" t="inlineStr">
        <is>
          <t>OVANÅKER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48139-2019</t>
        </is>
      </c>
      <c r="B1551" s="1" t="n">
        <v>43725</v>
      </c>
      <c r="C1551" s="1" t="n">
        <v>45357</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48236-2019</t>
        </is>
      </c>
      <c r="B1552" s="1" t="n">
        <v>43726</v>
      </c>
      <c r="C1552" s="1" t="n">
        <v>45357</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48358-2019</t>
        </is>
      </c>
      <c r="B1553" s="1" t="n">
        <v>43726</v>
      </c>
      <c r="C1553" s="1" t="n">
        <v>45357</v>
      </c>
      <c r="D1553" t="inlineStr">
        <is>
          <t>GÄVLEBORGS LÄN</t>
        </is>
      </c>
      <c r="E1553" t="inlineStr">
        <is>
          <t>HUDIKSVALL</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48379-2019</t>
        </is>
      </c>
      <c r="B1554" s="1" t="n">
        <v>43726</v>
      </c>
      <c r="C1554" s="1" t="n">
        <v>45357</v>
      </c>
      <c r="D1554" t="inlineStr">
        <is>
          <t>GÄVLEBORGS LÄN</t>
        </is>
      </c>
      <c r="E1554" t="inlineStr">
        <is>
          <t>LJUSDAL</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48178-2019</t>
        </is>
      </c>
      <c r="B1555" s="1" t="n">
        <v>43726</v>
      </c>
      <c r="C1555" s="1" t="n">
        <v>45357</v>
      </c>
      <c r="D1555" t="inlineStr">
        <is>
          <t>GÄVLEBORGS LÄN</t>
        </is>
      </c>
      <c r="E1555" t="inlineStr">
        <is>
          <t>OVANÅKER</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48375-2019</t>
        </is>
      </c>
      <c r="B1556" s="1" t="n">
        <v>43726</v>
      </c>
      <c r="C1556" s="1" t="n">
        <v>45357</v>
      </c>
      <c r="D1556" t="inlineStr">
        <is>
          <t>GÄVLEBORGS LÄN</t>
        </is>
      </c>
      <c r="E1556" t="inlineStr">
        <is>
          <t>LJUSDAL</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48344-2019</t>
        </is>
      </c>
      <c r="B1557" s="1" t="n">
        <v>43726</v>
      </c>
      <c r="C1557" s="1" t="n">
        <v>45357</v>
      </c>
      <c r="D1557" t="inlineStr">
        <is>
          <t>GÄVLEBORGS LÄN</t>
        </is>
      </c>
      <c r="E1557" t="inlineStr">
        <is>
          <t>BOLLNÄS</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48355-2019</t>
        </is>
      </c>
      <c r="B1558" s="1" t="n">
        <v>43726</v>
      </c>
      <c r="C1558" s="1" t="n">
        <v>45357</v>
      </c>
      <c r="D1558" t="inlineStr">
        <is>
          <t>GÄVLEBORGS LÄN</t>
        </is>
      </c>
      <c r="E1558" t="inlineStr">
        <is>
          <t>OCKELBO</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48467-2019</t>
        </is>
      </c>
      <c r="B1559" s="1" t="n">
        <v>43727</v>
      </c>
      <c r="C1559" s="1" t="n">
        <v>45357</v>
      </c>
      <c r="D1559" t="inlineStr">
        <is>
          <t>GÄVLEBORGS LÄN</t>
        </is>
      </c>
      <c r="E1559" t="inlineStr">
        <is>
          <t>LJUSDAL</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48439-2019</t>
        </is>
      </c>
      <c r="B1560" s="1" t="n">
        <v>43727</v>
      </c>
      <c r="C1560" s="1" t="n">
        <v>45357</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48599-2019</t>
        </is>
      </c>
      <c r="B1561" s="1" t="n">
        <v>43727</v>
      </c>
      <c r="C1561" s="1" t="n">
        <v>45357</v>
      </c>
      <c r="D1561" t="inlineStr">
        <is>
          <t>GÄVLEBORGS LÄN</t>
        </is>
      </c>
      <c r="E1561" t="inlineStr">
        <is>
          <t>HUDIKSVALL</t>
        </is>
      </c>
      <c r="F1561" t="inlineStr">
        <is>
          <t>Kommuner</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48772-2019</t>
        </is>
      </c>
      <c r="B1562" s="1" t="n">
        <v>43727</v>
      </c>
      <c r="C1562" s="1" t="n">
        <v>45357</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48781-2019</t>
        </is>
      </c>
      <c r="B1563" s="1" t="n">
        <v>43727</v>
      </c>
      <c r="C1563" s="1" t="n">
        <v>45357</v>
      </c>
      <c r="D1563" t="inlineStr">
        <is>
          <t>GÄVLEBORGS LÄN</t>
        </is>
      </c>
      <c r="E1563" t="inlineStr">
        <is>
          <t>SANDVIKEN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48765-2019</t>
        </is>
      </c>
      <c r="B1564" s="1" t="n">
        <v>43727</v>
      </c>
      <c r="C1564" s="1" t="n">
        <v>45357</v>
      </c>
      <c r="D1564" t="inlineStr">
        <is>
          <t>GÄVLEBORGS LÄN</t>
        </is>
      </c>
      <c r="E1564" t="inlineStr">
        <is>
          <t>SANDVIKEN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48764-2019</t>
        </is>
      </c>
      <c r="B1565" s="1" t="n">
        <v>43727</v>
      </c>
      <c r="C1565" s="1" t="n">
        <v>45357</v>
      </c>
      <c r="D1565" t="inlineStr">
        <is>
          <t>GÄVLEBORGS LÄN</t>
        </is>
      </c>
      <c r="E1565" t="inlineStr">
        <is>
          <t>SANDVIKEN</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48773-2019</t>
        </is>
      </c>
      <c r="B1566" s="1" t="n">
        <v>43727</v>
      </c>
      <c r="C1566" s="1" t="n">
        <v>45357</v>
      </c>
      <c r="D1566" t="inlineStr">
        <is>
          <t>GÄVLEBORGS LÄN</t>
        </is>
      </c>
      <c r="E1566" t="inlineStr">
        <is>
          <t>SANDVIKEN</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48787-2019</t>
        </is>
      </c>
      <c r="B1567" s="1" t="n">
        <v>43727</v>
      </c>
      <c r="C1567" s="1" t="n">
        <v>45357</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48596-2019</t>
        </is>
      </c>
      <c r="B1568" s="1" t="n">
        <v>43727</v>
      </c>
      <c r="C1568" s="1" t="n">
        <v>45357</v>
      </c>
      <c r="D1568" t="inlineStr">
        <is>
          <t>GÄVLEBORGS LÄN</t>
        </is>
      </c>
      <c r="E1568" t="inlineStr">
        <is>
          <t>OVANÅKER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48766-2019</t>
        </is>
      </c>
      <c r="B1569" s="1" t="n">
        <v>43727</v>
      </c>
      <c r="C1569" s="1" t="n">
        <v>45357</v>
      </c>
      <c r="D1569" t="inlineStr">
        <is>
          <t>GÄVLEBORGS LÄN</t>
        </is>
      </c>
      <c r="E1569" t="inlineStr">
        <is>
          <t>SANDVIKEN</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48885-2019</t>
        </is>
      </c>
      <c r="B1570" s="1" t="n">
        <v>43728</v>
      </c>
      <c r="C1570" s="1" t="n">
        <v>45357</v>
      </c>
      <c r="D1570" t="inlineStr">
        <is>
          <t>GÄVLEBORGS LÄN</t>
        </is>
      </c>
      <c r="E1570" t="inlineStr">
        <is>
          <t>HUDIKSVALL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48914-2019</t>
        </is>
      </c>
      <c r="B1571" s="1" t="n">
        <v>43728</v>
      </c>
      <c r="C1571" s="1" t="n">
        <v>45357</v>
      </c>
      <c r="D1571" t="inlineStr">
        <is>
          <t>GÄVLEBORGS LÄN</t>
        </is>
      </c>
      <c r="E1571" t="inlineStr">
        <is>
          <t>LJUSDAL</t>
        </is>
      </c>
      <c r="F1571" t="inlineStr">
        <is>
          <t>Holmen skog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48641-2019</t>
        </is>
      </c>
      <c r="B1572" s="1" t="n">
        <v>43728</v>
      </c>
      <c r="C1572" s="1" t="n">
        <v>45357</v>
      </c>
      <c r="D1572" t="inlineStr">
        <is>
          <t>GÄVLEBORGS LÄN</t>
        </is>
      </c>
      <c r="E1572" t="inlineStr">
        <is>
          <t>GÄVLE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48736-2019</t>
        </is>
      </c>
      <c r="B1573" s="1" t="n">
        <v>43728</v>
      </c>
      <c r="C1573" s="1" t="n">
        <v>45357</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48642-2019</t>
        </is>
      </c>
      <c r="B1574" s="1" t="n">
        <v>43728</v>
      </c>
      <c r="C1574" s="1" t="n">
        <v>45357</v>
      </c>
      <c r="D1574" t="inlineStr">
        <is>
          <t>GÄVLEBORGS LÄN</t>
        </is>
      </c>
      <c r="E1574" t="inlineStr">
        <is>
          <t>GÄVLE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48647-2019</t>
        </is>
      </c>
      <c r="B1575" s="1" t="n">
        <v>43728</v>
      </c>
      <c r="C1575" s="1" t="n">
        <v>45357</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48931-2019</t>
        </is>
      </c>
      <c r="B1576" s="1" t="n">
        <v>43728</v>
      </c>
      <c r="C1576" s="1" t="n">
        <v>45357</v>
      </c>
      <c r="D1576" t="inlineStr">
        <is>
          <t>GÄVLEBORGS LÄN</t>
        </is>
      </c>
      <c r="E1576" t="inlineStr">
        <is>
          <t>OVANÅKER</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49156-2019</t>
        </is>
      </c>
      <c r="B1577" s="1" t="n">
        <v>43731</v>
      </c>
      <c r="C1577" s="1" t="n">
        <v>45357</v>
      </c>
      <c r="D1577" t="inlineStr">
        <is>
          <t>GÄVLEBORGS LÄN</t>
        </is>
      </c>
      <c r="E1577" t="inlineStr">
        <is>
          <t>OVANÅKER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49108-2019</t>
        </is>
      </c>
      <c r="B1578" s="1" t="n">
        <v>43731</v>
      </c>
      <c r="C1578" s="1" t="n">
        <v>45357</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49127-2019</t>
        </is>
      </c>
      <c r="B1579" s="1" t="n">
        <v>43731</v>
      </c>
      <c r="C1579" s="1" t="n">
        <v>45357</v>
      </c>
      <c r="D1579" t="inlineStr">
        <is>
          <t>GÄVLEBORGS LÄN</t>
        </is>
      </c>
      <c r="E1579" t="inlineStr">
        <is>
          <t>OVANÅKER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49251-2019</t>
        </is>
      </c>
      <c r="B1580" s="1" t="n">
        <v>43731</v>
      </c>
      <c r="C1580" s="1" t="n">
        <v>45357</v>
      </c>
      <c r="D1580" t="inlineStr">
        <is>
          <t>GÄVLEBORGS LÄN</t>
        </is>
      </c>
      <c r="E1580" t="inlineStr">
        <is>
          <t>HUDIKSVALL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49103-2019</t>
        </is>
      </c>
      <c r="B1581" s="1" t="n">
        <v>43731</v>
      </c>
      <c r="C1581" s="1" t="n">
        <v>45357</v>
      </c>
      <c r="D1581" t="inlineStr">
        <is>
          <t>GÄVLEBORGS LÄN</t>
        </is>
      </c>
      <c r="E1581" t="inlineStr">
        <is>
          <t>OVANÅKER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49248-2019</t>
        </is>
      </c>
      <c r="B1582" s="1" t="n">
        <v>43731</v>
      </c>
      <c r="C1582" s="1" t="n">
        <v>45357</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49135-2019</t>
        </is>
      </c>
      <c r="B1583" s="1" t="n">
        <v>43731</v>
      </c>
      <c r="C1583" s="1" t="n">
        <v>45357</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49241-2019</t>
        </is>
      </c>
      <c r="B1584" s="1" t="n">
        <v>43731</v>
      </c>
      <c r="C1584" s="1" t="n">
        <v>45357</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49298-2019</t>
        </is>
      </c>
      <c r="B1585" s="1" t="n">
        <v>43731</v>
      </c>
      <c r="C1585" s="1" t="n">
        <v>45357</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49361-2019</t>
        </is>
      </c>
      <c r="B1586" s="1" t="n">
        <v>43731</v>
      </c>
      <c r="C1586" s="1" t="n">
        <v>45357</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49296-2019</t>
        </is>
      </c>
      <c r="B1587" s="1" t="n">
        <v>43731</v>
      </c>
      <c r="C1587" s="1" t="n">
        <v>45357</v>
      </c>
      <c r="D1587" t="inlineStr">
        <is>
          <t>GÄVLEBORGS LÄN</t>
        </is>
      </c>
      <c r="E1587" t="inlineStr">
        <is>
          <t>HOFORS</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50311-2019</t>
        </is>
      </c>
      <c r="B1588" s="1" t="n">
        <v>43731</v>
      </c>
      <c r="C1588" s="1" t="n">
        <v>45357</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49390-2019</t>
        </is>
      </c>
      <c r="B1589" s="1" t="n">
        <v>43732</v>
      </c>
      <c r="C1589" s="1" t="n">
        <v>45357</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49477-2019</t>
        </is>
      </c>
      <c r="B1590" s="1" t="n">
        <v>43732</v>
      </c>
      <c r="C1590" s="1" t="n">
        <v>45357</v>
      </c>
      <c r="D1590" t="inlineStr">
        <is>
          <t>GÄVLEBORGS LÄN</t>
        </is>
      </c>
      <c r="E1590" t="inlineStr">
        <is>
          <t>SÖDERHAMN</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49492-2019</t>
        </is>
      </c>
      <c r="B1591" s="1" t="n">
        <v>43732</v>
      </c>
      <c r="C1591" s="1" t="n">
        <v>45357</v>
      </c>
      <c r="D1591" t="inlineStr">
        <is>
          <t>GÄVLEBORGS LÄN</t>
        </is>
      </c>
      <c r="E1591" t="inlineStr">
        <is>
          <t>LJUSDAL</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49513-2019</t>
        </is>
      </c>
      <c r="B1592" s="1" t="n">
        <v>43732</v>
      </c>
      <c r="C1592" s="1" t="n">
        <v>45357</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49520-2019</t>
        </is>
      </c>
      <c r="B1593" s="1" t="n">
        <v>43732</v>
      </c>
      <c r="C1593" s="1" t="n">
        <v>45357</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49472-2019</t>
        </is>
      </c>
      <c r="B1594" s="1" t="n">
        <v>43732</v>
      </c>
      <c r="C1594" s="1" t="n">
        <v>45357</v>
      </c>
      <c r="D1594" t="inlineStr">
        <is>
          <t>GÄVLEBORGS LÄN</t>
        </is>
      </c>
      <c r="E1594" t="inlineStr">
        <is>
          <t>HUDIKSVALL</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49481-2019</t>
        </is>
      </c>
      <c r="B1595" s="1" t="n">
        <v>43732</v>
      </c>
      <c r="C1595" s="1" t="n">
        <v>45357</v>
      </c>
      <c r="D1595" t="inlineStr">
        <is>
          <t>GÄVLEBORGS LÄN</t>
        </is>
      </c>
      <c r="E1595" t="inlineStr">
        <is>
          <t>SÖDERHAMN</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49607-2019</t>
        </is>
      </c>
      <c r="B1596" s="1" t="n">
        <v>43732</v>
      </c>
      <c r="C1596" s="1" t="n">
        <v>45357</v>
      </c>
      <c r="D1596" t="inlineStr">
        <is>
          <t>GÄVLEBORGS LÄN</t>
        </is>
      </c>
      <c r="E1596" t="inlineStr">
        <is>
          <t>HUDIKSVALL</t>
        </is>
      </c>
      <c r="F1596" t="inlineStr">
        <is>
          <t>Holmen skog AB</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49656-2019</t>
        </is>
      </c>
      <c r="B1597" s="1" t="n">
        <v>43732</v>
      </c>
      <c r="C1597" s="1" t="n">
        <v>45357</v>
      </c>
      <c r="D1597" t="inlineStr">
        <is>
          <t>GÄVLEBORGS LÄN</t>
        </is>
      </c>
      <c r="E1597" t="inlineStr">
        <is>
          <t>LJUSDAL</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49622-2019</t>
        </is>
      </c>
      <c r="B1598" s="1" t="n">
        <v>43732</v>
      </c>
      <c r="C1598" s="1" t="n">
        <v>45357</v>
      </c>
      <c r="D1598" t="inlineStr">
        <is>
          <t>GÄVLEBORGS LÄN</t>
        </is>
      </c>
      <c r="E1598" t="inlineStr">
        <is>
          <t>OCKELBO</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49573-2019</t>
        </is>
      </c>
      <c r="B1599" s="1" t="n">
        <v>43732</v>
      </c>
      <c r="C1599" s="1" t="n">
        <v>45357</v>
      </c>
      <c r="D1599" t="inlineStr">
        <is>
          <t>GÄVLEBORGS LÄN</t>
        </is>
      </c>
      <c r="E1599" t="inlineStr">
        <is>
          <t>GÄVLE</t>
        </is>
      </c>
      <c r="F1599" t="inlineStr">
        <is>
          <t>Bergvik skog öst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49547-2019</t>
        </is>
      </c>
      <c r="B1600" s="1" t="n">
        <v>43732</v>
      </c>
      <c r="C1600" s="1" t="n">
        <v>45357</v>
      </c>
      <c r="D1600" t="inlineStr">
        <is>
          <t>GÄVLEBORGS LÄN</t>
        </is>
      </c>
      <c r="E1600" t="inlineStr">
        <is>
          <t>SÖDERHAMN</t>
        </is>
      </c>
      <c r="F1600" t="inlineStr">
        <is>
          <t>Kommuner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49528-2019</t>
        </is>
      </c>
      <c r="B1601" s="1" t="n">
        <v>43732</v>
      </c>
      <c r="C1601" s="1" t="n">
        <v>45357</v>
      </c>
      <c r="D1601" t="inlineStr">
        <is>
          <t>GÄVLEBORGS LÄN</t>
        </is>
      </c>
      <c r="E1601" t="inlineStr">
        <is>
          <t>SANDVIKEN</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49994-2019</t>
        </is>
      </c>
      <c r="B1602" s="1" t="n">
        <v>43733</v>
      </c>
      <c r="C1602" s="1" t="n">
        <v>45357</v>
      </c>
      <c r="D1602" t="inlineStr">
        <is>
          <t>GÄVLEBORGS LÄN</t>
        </is>
      </c>
      <c r="E1602" t="inlineStr">
        <is>
          <t>HUDIKSVALL</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49909-2019</t>
        </is>
      </c>
      <c r="B1603" s="1" t="n">
        <v>43733</v>
      </c>
      <c r="C1603" s="1" t="n">
        <v>45357</v>
      </c>
      <c r="D1603" t="inlineStr">
        <is>
          <t>GÄVLEBORGS LÄN</t>
        </is>
      </c>
      <c r="E1603" t="inlineStr">
        <is>
          <t>BOLLNÄS</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49906-2019</t>
        </is>
      </c>
      <c r="B1604" s="1" t="n">
        <v>43733</v>
      </c>
      <c r="C1604" s="1" t="n">
        <v>45357</v>
      </c>
      <c r="D1604" t="inlineStr">
        <is>
          <t>GÄVLEBORGS LÄN</t>
        </is>
      </c>
      <c r="E1604" t="inlineStr">
        <is>
          <t>BOLLNÄS</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50222-2019</t>
        </is>
      </c>
      <c r="B1605" s="1" t="n">
        <v>43734</v>
      </c>
      <c r="C1605" s="1" t="n">
        <v>45357</v>
      </c>
      <c r="D1605" t="inlineStr">
        <is>
          <t>GÄVLEBORGS LÄN</t>
        </is>
      </c>
      <c r="E1605" t="inlineStr">
        <is>
          <t>LJUSDAL</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50154-2019</t>
        </is>
      </c>
      <c r="B1606" s="1" t="n">
        <v>43734</v>
      </c>
      <c r="C1606" s="1" t="n">
        <v>45357</v>
      </c>
      <c r="D1606" t="inlineStr">
        <is>
          <t>GÄVLEBORGS LÄN</t>
        </is>
      </c>
      <c r="E1606" t="inlineStr">
        <is>
          <t>HUDIKSVALL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50201-2019</t>
        </is>
      </c>
      <c r="B1607" s="1" t="n">
        <v>43734</v>
      </c>
      <c r="C1607" s="1" t="n">
        <v>45357</v>
      </c>
      <c r="D1607" t="inlineStr">
        <is>
          <t>GÄVLEBORGS LÄN</t>
        </is>
      </c>
      <c r="E1607" t="inlineStr">
        <is>
          <t>SÖDERHAMN</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50093-2019</t>
        </is>
      </c>
      <c r="B1608" s="1" t="n">
        <v>43734</v>
      </c>
      <c r="C1608" s="1" t="n">
        <v>45357</v>
      </c>
      <c r="D1608" t="inlineStr">
        <is>
          <t>GÄVLEBORGS LÄN</t>
        </is>
      </c>
      <c r="E1608" t="inlineStr">
        <is>
          <t>HUDIKSVALL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50150-2019</t>
        </is>
      </c>
      <c r="B1609" s="1" t="n">
        <v>43734</v>
      </c>
      <c r="C1609" s="1" t="n">
        <v>45357</v>
      </c>
      <c r="D1609" t="inlineStr">
        <is>
          <t>GÄVLEBORGS LÄN</t>
        </is>
      </c>
      <c r="E1609" t="inlineStr">
        <is>
          <t>NORDANSTIG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50249-2019</t>
        </is>
      </c>
      <c r="B1610" s="1" t="n">
        <v>43734</v>
      </c>
      <c r="C1610" s="1" t="n">
        <v>45357</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50152-2019</t>
        </is>
      </c>
      <c r="B1611" s="1" t="n">
        <v>43734</v>
      </c>
      <c r="C1611" s="1" t="n">
        <v>45357</v>
      </c>
      <c r="D1611" t="inlineStr">
        <is>
          <t>GÄVLEBORGS LÄN</t>
        </is>
      </c>
      <c r="E1611" t="inlineStr">
        <is>
          <t>HUDIKSVALL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50333-2019</t>
        </is>
      </c>
      <c r="B1612" s="1" t="n">
        <v>43735</v>
      </c>
      <c r="C1612" s="1" t="n">
        <v>45357</v>
      </c>
      <c r="D1612" t="inlineStr">
        <is>
          <t>GÄVLEBORGS LÄN</t>
        </is>
      </c>
      <c r="E1612" t="inlineStr">
        <is>
          <t>GÄVLE</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50444-2019</t>
        </is>
      </c>
      <c r="B1613" s="1" t="n">
        <v>43735</v>
      </c>
      <c r="C1613" s="1" t="n">
        <v>45357</v>
      </c>
      <c r="D1613" t="inlineStr">
        <is>
          <t>GÄVLEBORGS LÄN</t>
        </is>
      </c>
      <c r="E1613" t="inlineStr">
        <is>
          <t>OVANÅKER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50307-2019</t>
        </is>
      </c>
      <c r="B1614" s="1" t="n">
        <v>43735</v>
      </c>
      <c r="C1614" s="1" t="n">
        <v>45357</v>
      </c>
      <c r="D1614" t="inlineStr">
        <is>
          <t>GÄVLEBORGS LÄN</t>
        </is>
      </c>
      <c r="E1614" t="inlineStr">
        <is>
          <t>LJUSDAL</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50757-2019</t>
        </is>
      </c>
      <c r="B1615" s="1" t="n">
        <v>43738</v>
      </c>
      <c r="C1615" s="1" t="n">
        <v>45357</v>
      </c>
      <c r="D1615" t="inlineStr">
        <is>
          <t>GÄVLEBORGS LÄN</t>
        </is>
      </c>
      <c r="E1615" t="inlineStr">
        <is>
          <t>HUDIKSVALL</t>
        </is>
      </c>
      <c r="F1615" t="inlineStr">
        <is>
          <t>Holmen skog AB</t>
        </is>
      </c>
      <c r="G1615" t="n">
        <v>35.3</v>
      </c>
      <c r="H1615" t="n">
        <v>0</v>
      </c>
      <c r="I1615" t="n">
        <v>0</v>
      </c>
      <c r="J1615" t="n">
        <v>0</v>
      </c>
      <c r="K1615" t="n">
        <v>0</v>
      </c>
      <c r="L1615" t="n">
        <v>0</v>
      </c>
      <c r="M1615" t="n">
        <v>0</v>
      </c>
      <c r="N1615" t="n">
        <v>0</v>
      </c>
      <c r="O1615" t="n">
        <v>0</v>
      </c>
      <c r="P1615" t="n">
        <v>0</v>
      </c>
      <c r="Q1615" t="n">
        <v>0</v>
      </c>
      <c r="R1615" s="2" t="inlineStr"/>
    </row>
    <row r="1616" ht="15" customHeight="1">
      <c r="A1616" t="inlineStr">
        <is>
          <t>A 50705-2019</t>
        </is>
      </c>
      <c r="B1616" s="1" t="n">
        <v>43738</v>
      </c>
      <c r="C1616" s="1" t="n">
        <v>45357</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55504-2019</t>
        </is>
      </c>
      <c r="B1617" s="1" t="n">
        <v>43738</v>
      </c>
      <c r="C1617" s="1" t="n">
        <v>45357</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50696-2019</t>
        </is>
      </c>
      <c r="B1618" s="1" t="n">
        <v>43738</v>
      </c>
      <c r="C1618" s="1" t="n">
        <v>45357</v>
      </c>
      <c r="D1618" t="inlineStr">
        <is>
          <t>GÄVLEBORGS LÄN</t>
        </is>
      </c>
      <c r="E1618" t="inlineStr">
        <is>
          <t>HOFORS</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50694-2019</t>
        </is>
      </c>
      <c r="B1619" s="1" t="n">
        <v>43738</v>
      </c>
      <c r="C1619" s="1" t="n">
        <v>45357</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55549-2019</t>
        </is>
      </c>
      <c r="B1620" s="1" t="n">
        <v>43738</v>
      </c>
      <c r="C1620" s="1" t="n">
        <v>45357</v>
      </c>
      <c r="D1620" t="inlineStr">
        <is>
          <t>GÄVLEBORGS LÄN</t>
        </is>
      </c>
      <c r="E1620" t="inlineStr">
        <is>
          <t>LJUSDAL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51162-2019</t>
        </is>
      </c>
      <c r="B1621" s="1" t="n">
        <v>43739</v>
      </c>
      <c r="C1621" s="1" t="n">
        <v>45357</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51286-2019</t>
        </is>
      </c>
      <c r="B1622" s="1" t="n">
        <v>43739</v>
      </c>
      <c r="C1622" s="1" t="n">
        <v>45357</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51307-2019</t>
        </is>
      </c>
      <c r="B1623" s="1" t="n">
        <v>43739</v>
      </c>
      <c r="C1623" s="1" t="n">
        <v>45357</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51076-2019</t>
        </is>
      </c>
      <c r="B1624" s="1" t="n">
        <v>43739</v>
      </c>
      <c r="C1624" s="1" t="n">
        <v>45357</v>
      </c>
      <c r="D1624" t="inlineStr">
        <is>
          <t>GÄVLEBORGS LÄN</t>
        </is>
      </c>
      <c r="E1624" t="inlineStr">
        <is>
          <t>HUDIKSVALL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51425-2019</t>
        </is>
      </c>
      <c r="B1625" s="1" t="n">
        <v>43740</v>
      </c>
      <c r="C1625" s="1" t="n">
        <v>45357</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51582-2019</t>
        </is>
      </c>
      <c r="B1626" s="1" t="n">
        <v>43740</v>
      </c>
      <c r="C1626" s="1" t="n">
        <v>45357</v>
      </c>
      <c r="D1626" t="inlineStr">
        <is>
          <t>GÄVLEBORGS LÄN</t>
        </is>
      </c>
      <c r="E1626" t="inlineStr">
        <is>
          <t>HUDIKSVALL</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53327-2019</t>
        </is>
      </c>
      <c r="B1627" s="1" t="n">
        <v>43740</v>
      </c>
      <c r="C1627" s="1" t="n">
        <v>45357</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51770-2019</t>
        </is>
      </c>
      <c r="B1628" s="1" t="n">
        <v>43741</v>
      </c>
      <c r="C1628" s="1" t="n">
        <v>45357</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51825-2019</t>
        </is>
      </c>
      <c r="B1629" s="1" t="n">
        <v>43741</v>
      </c>
      <c r="C1629" s="1" t="n">
        <v>45357</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51904-2019</t>
        </is>
      </c>
      <c r="B1630" s="1" t="n">
        <v>43741</v>
      </c>
      <c r="C1630" s="1" t="n">
        <v>45357</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51927-2019</t>
        </is>
      </c>
      <c r="B1631" s="1" t="n">
        <v>43741</v>
      </c>
      <c r="C1631" s="1" t="n">
        <v>45357</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51779-2019</t>
        </is>
      </c>
      <c r="B1632" s="1" t="n">
        <v>43741</v>
      </c>
      <c r="C1632" s="1" t="n">
        <v>45357</v>
      </c>
      <c r="D1632" t="inlineStr">
        <is>
          <t>GÄVLEBORGS LÄN</t>
        </is>
      </c>
      <c r="E1632" t="inlineStr">
        <is>
          <t>LJUSDAL</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52096-2019</t>
        </is>
      </c>
      <c r="B1633" s="1" t="n">
        <v>43742</v>
      </c>
      <c r="C1633" s="1" t="n">
        <v>45357</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52178-2019</t>
        </is>
      </c>
      <c r="B1634" s="1" t="n">
        <v>43742</v>
      </c>
      <c r="C1634" s="1" t="n">
        <v>45357</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52176-2019</t>
        </is>
      </c>
      <c r="B1635" s="1" t="n">
        <v>43742</v>
      </c>
      <c r="C1635" s="1" t="n">
        <v>45357</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52125-2019</t>
        </is>
      </c>
      <c r="B1636" s="1" t="n">
        <v>43742</v>
      </c>
      <c r="C1636" s="1" t="n">
        <v>45357</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52181-2019</t>
        </is>
      </c>
      <c r="B1637" s="1" t="n">
        <v>43742</v>
      </c>
      <c r="C1637" s="1" t="n">
        <v>45357</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52336-2019</t>
        </is>
      </c>
      <c r="B1638" s="1" t="n">
        <v>43745</v>
      </c>
      <c r="C1638" s="1" t="n">
        <v>45357</v>
      </c>
      <c r="D1638" t="inlineStr">
        <is>
          <t>GÄVLEBORGS LÄN</t>
        </is>
      </c>
      <c r="E1638" t="inlineStr">
        <is>
          <t>HUDIKSVALL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52458-2019</t>
        </is>
      </c>
      <c r="B1639" s="1" t="n">
        <v>43745</v>
      </c>
      <c r="C1639" s="1" t="n">
        <v>45357</v>
      </c>
      <c r="D1639" t="inlineStr">
        <is>
          <t>GÄVLEBORGS LÄN</t>
        </is>
      </c>
      <c r="E1639" t="inlineStr">
        <is>
          <t>SANDVIKEN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54168-2019</t>
        </is>
      </c>
      <c r="B1640" s="1" t="n">
        <v>43745</v>
      </c>
      <c r="C1640" s="1" t="n">
        <v>45357</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52405-2019</t>
        </is>
      </c>
      <c r="B1641" s="1" t="n">
        <v>43745</v>
      </c>
      <c r="C1641" s="1" t="n">
        <v>45357</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52365-2019</t>
        </is>
      </c>
      <c r="B1642" s="1" t="n">
        <v>43745</v>
      </c>
      <c r="C1642" s="1" t="n">
        <v>45357</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52795-2019</t>
        </is>
      </c>
      <c r="B1643" s="1" t="n">
        <v>43746</v>
      </c>
      <c r="C1643" s="1" t="n">
        <v>45357</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52626-2019</t>
        </is>
      </c>
      <c r="B1644" s="1" t="n">
        <v>43746</v>
      </c>
      <c r="C1644" s="1" t="n">
        <v>45357</v>
      </c>
      <c r="D1644" t="inlineStr">
        <is>
          <t>GÄVLEBORGS LÄN</t>
        </is>
      </c>
      <c r="E1644" t="inlineStr">
        <is>
          <t>LJUSDAL</t>
        </is>
      </c>
      <c r="G1644" t="n">
        <v>18.9</v>
      </c>
      <c r="H1644" t="n">
        <v>0</v>
      </c>
      <c r="I1644" t="n">
        <v>0</v>
      </c>
      <c r="J1644" t="n">
        <v>0</v>
      </c>
      <c r="K1644" t="n">
        <v>0</v>
      </c>
      <c r="L1644" t="n">
        <v>0</v>
      </c>
      <c r="M1644" t="n">
        <v>0</v>
      </c>
      <c r="N1644" t="n">
        <v>0</v>
      </c>
      <c r="O1644" t="n">
        <v>0</v>
      </c>
      <c r="P1644" t="n">
        <v>0</v>
      </c>
      <c r="Q1644" t="n">
        <v>0</v>
      </c>
      <c r="R1644" s="2" t="inlineStr"/>
    </row>
    <row r="1645" ht="15" customHeight="1">
      <c r="A1645" t="inlineStr">
        <is>
          <t>A 53589-2019</t>
        </is>
      </c>
      <c r="B1645" s="1" t="n">
        <v>43746</v>
      </c>
      <c r="C1645" s="1" t="n">
        <v>45357</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52743-2019</t>
        </is>
      </c>
      <c r="B1646" s="1" t="n">
        <v>43746</v>
      </c>
      <c r="C1646" s="1" t="n">
        <v>45357</v>
      </c>
      <c r="D1646" t="inlineStr">
        <is>
          <t>GÄVLEBORGS LÄN</t>
        </is>
      </c>
      <c r="E1646" t="inlineStr">
        <is>
          <t>GÄVLE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52942-2019</t>
        </is>
      </c>
      <c r="B1647" s="1" t="n">
        <v>43747</v>
      </c>
      <c r="C1647" s="1" t="n">
        <v>45357</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52976-2019</t>
        </is>
      </c>
      <c r="B1648" s="1" t="n">
        <v>43747</v>
      </c>
      <c r="C1648" s="1" t="n">
        <v>45357</v>
      </c>
      <c r="D1648" t="inlineStr">
        <is>
          <t>GÄVLEBORGS LÄN</t>
        </is>
      </c>
      <c r="E1648" t="inlineStr">
        <is>
          <t>SÖDERHAMN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53010-2019</t>
        </is>
      </c>
      <c r="B1649" s="1" t="n">
        <v>43747</v>
      </c>
      <c r="C1649" s="1" t="n">
        <v>45357</v>
      </c>
      <c r="D1649" t="inlineStr">
        <is>
          <t>GÄVLEBORGS LÄN</t>
        </is>
      </c>
      <c r="E1649" t="inlineStr">
        <is>
          <t>OCKELBO</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52972-2019</t>
        </is>
      </c>
      <c r="B1650" s="1" t="n">
        <v>43747</v>
      </c>
      <c r="C1650" s="1" t="n">
        <v>45357</v>
      </c>
      <c r="D1650" t="inlineStr">
        <is>
          <t>GÄVLEBORGS LÄN</t>
        </is>
      </c>
      <c r="E1650" t="inlineStr">
        <is>
          <t>LJUSDAL</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52973-2019</t>
        </is>
      </c>
      <c r="B1651" s="1" t="n">
        <v>43747</v>
      </c>
      <c r="C1651" s="1" t="n">
        <v>45357</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53219-2019</t>
        </is>
      </c>
      <c r="B1652" s="1" t="n">
        <v>43748</v>
      </c>
      <c r="C1652" s="1" t="n">
        <v>45357</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53312-2019</t>
        </is>
      </c>
      <c r="B1653" s="1" t="n">
        <v>43748</v>
      </c>
      <c r="C1653" s="1" t="n">
        <v>45357</v>
      </c>
      <c r="D1653" t="inlineStr">
        <is>
          <t>GÄVLEBORGS LÄN</t>
        </is>
      </c>
      <c r="E1653" t="inlineStr">
        <is>
          <t>HOFORS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53356-2019</t>
        </is>
      </c>
      <c r="B1654" s="1" t="n">
        <v>43748</v>
      </c>
      <c r="C1654" s="1" t="n">
        <v>45357</v>
      </c>
      <c r="D1654" t="inlineStr">
        <is>
          <t>GÄVLEBORGS LÄN</t>
        </is>
      </c>
      <c r="E1654" t="inlineStr">
        <is>
          <t>OCKELBO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53249-2019</t>
        </is>
      </c>
      <c r="B1655" s="1" t="n">
        <v>43748</v>
      </c>
      <c r="C1655" s="1" t="n">
        <v>45357</v>
      </c>
      <c r="D1655" t="inlineStr">
        <is>
          <t>GÄVLEBORGS LÄN</t>
        </is>
      </c>
      <c r="E1655" t="inlineStr">
        <is>
          <t>OVANÅKER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53361-2019</t>
        </is>
      </c>
      <c r="B1656" s="1" t="n">
        <v>43748</v>
      </c>
      <c r="C1656" s="1" t="n">
        <v>45357</v>
      </c>
      <c r="D1656" t="inlineStr">
        <is>
          <t>GÄVLEBORGS LÄN</t>
        </is>
      </c>
      <c r="E1656" t="inlineStr">
        <is>
          <t>NORDANSTIG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53384-2019</t>
        </is>
      </c>
      <c r="B1657" s="1" t="n">
        <v>43748</v>
      </c>
      <c r="C1657" s="1" t="n">
        <v>45357</v>
      </c>
      <c r="D1657" t="inlineStr">
        <is>
          <t>GÄVLEBORGS LÄN</t>
        </is>
      </c>
      <c r="E1657" t="inlineStr">
        <is>
          <t>HUDIKSVALL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53395-2019</t>
        </is>
      </c>
      <c r="B1658" s="1" t="n">
        <v>43748</v>
      </c>
      <c r="C1658" s="1" t="n">
        <v>45357</v>
      </c>
      <c r="D1658" t="inlineStr">
        <is>
          <t>GÄVLEBORGS LÄN</t>
        </is>
      </c>
      <c r="E1658" t="inlineStr">
        <is>
          <t>BOLLNÄS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53218-2019</t>
        </is>
      </c>
      <c r="B1659" s="1" t="n">
        <v>43748</v>
      </c>
      <c r="C1659" s="1" t="n">
        <v>45357</v>
      </c>
      <c r="D1659" t="inlineStr">
        <is>
          <t>GÄVLEBORGS LÄN</t>
        </is>
      </c>
      <c r="E1659" t="inlineStr">
        <is>
          <t>OCKELBO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53386-2019</t>
        </is>
      </c>
      <c r="B1660" s="1" t="n">
        <v>43748</v>
      </c>
      <c r="C1660" s="1" t="n">
        <v>45357</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53429-2019</t>
        </is>
      </c>
      <c r="B1661" s="1" t="n">
        <v>43748</v>
      </c>
      <c r="C1661" s="1" t="n">
        <v>45357</v>
      </c>
      <c r="D1661" t="inlineStr">
        <is>
          <t>GÄVLEBORGS LÄN</t>
        </is>
      </c>
      <c r="E1661" t="inlineStr">
        <is>
          <t>LJUSDAL</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53409-2019</t>
        </is>
      </c>
      <c r="B1662" s="1" t="n">
        <v>43748</v>
      </c>
      <c r="C1662" s="1" t="n">
        <v>45357</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53198-2019</t>
        </is>
      </c>
      <c r="B1663" s="1" t="n">
        <v>43748</v>
      </c>
      <c r="C1663" s="1" t="n">
        <v>45357</v>
      </c>
      <c r="D1663" t="inlineStr">
        <is>
          <t>GÄVLEBORGS LÄN</t>
        </is>
      </c>
      <c r="E1663" t="inlineStr">
        <is>
          <t>NORDANSTIG</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53215-2019</t>
        </is>
      </c>
      <c r="B1664" s="1" t="n">
        <v>43748</v>
      </c>
      <c r="C1664" s="1" t="n">
        <v>45357</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53646-2019</t>
        </is>
      </c>
      <c r="B1665" s="1" t="n">
        <v>43749</v>
      </c>
      <c r="C1665" s="1" t="n">
        <v>45357</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53513-2019</t>
        </is>
      </c>
      <c r="B1666" s="1" t="n">
        <v>43749</v>
      </c>
      <c r="C1666" s="1" t="n">
        <v>45357</v>
      </c>
      <c r="D1666" t="inlineStr">
        <is>
          <t>GÄVLEBORGS LÄN</t>
        </is>
      </c>
      <c r="E1666" t="inlineStr">
        <is>
          <t>LJUSDAL</t>
        </is>
      </c>
      <c r="F1666" t="inlineStr">
        <is>
          <t>Sveaskog</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53507-2019</t>
        </is>
      </c>
      <c r="B1667" s="1" t="n">
        <v>43749</v>
      </c>
      <c r="C1667" s="1" t="n">
        <v>45357</v>
      </c>
      <c r="D1667" t="inlineStr">
        <is>
          <t>GÄVLEBORGS LÄN</t>
        </is>
      </c>
      <c r="E1667" t="inlineStr">
        <is>
          <t>BOLLNÄS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53520-2019</t>
        </is>
      </c>
      <c r="B1668" s="1" t="n">
        <v>43749</v>
      </c>
      <c r="C1668" s="1" t="n">
        <v>45357</v>
      </c>
      <c r="D1668" t="inlineStr">
        <is>
          <t>GÄVLEBORGS LÄN</t>
        </is>
      </c>
      <c r="E1668" t="inlineStr">
        <is>
          <t>SANDVIKEN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53850-2019</t>
        </is>
      </c>
      <c r="B1669" s="1" t="n">
        <v>43752</v>
      </c>
      <c r="C1669" s="1" t="n">
        <v>45357</v>
      </c>
      <c r="D1669" t="inlineStr">
        <is>
          <t>GÄVLEBORGS LÄN</t>
        </is>
      </c>
      <c r="E1669" t="inlineStr">
        <is>
          <t>HOFORS</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53908-2019</t>
        </is>
      </c>
      <c r="B1670" s="1" t="n">
        <v>43752</v>
      </c>
      <c r="C1670" s="1" t="n">
        <v>45357</v>
      </c>
      <c r="D1670" t="inlineStr">
        <is>
          <t>GÄVLEBORGS LÄN</t>
        </is>
      </c>
      <c r="E1670" t="inlineStr">
        <is>
          <t>HOFORS</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53975-2019</t>
        </is>
      </c>
      <c r="B1671" s="1" t="n">
        <v>43752</v>
      </c>
      <c r="C1671" s="1" t="n">
        <v>45357</v>
      </c>
      <c r="D1671" t="inlineStr">
        <is>
          <t>GÄVLEBORGS LÄN</t>
        </is>
      </c>
      <c r="E1671" t="inlineStr">
        <is>
          <t>HOFORS</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53930-2019</t>
        </is>
      </c>
      <c r="B1672" s="1" t="n">
        <v>43752</v>
      </c>
      <c r="C1672" s="1" t="n">
        <v>45357</v>
      </c>
      <c r="D1672" t="inlineStr">
        <is>
          <t>GÄVLEBORGS LÄN</t>
        </is>
      </c>
      <c r="E1672" t="inlineStr">
        <is>
          <t>HOFORS</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54142-2019</t>
        </is>
      </c>
      <c r="B1673" s="1" t="n">
        <v>43753</v>
      </c>
      <c r="C1673" s="1" t="n">
        <v>45357</v>
      </c>
      <c r="D1673" t="inlineStr">
        <is>
          <t>GÄVLEBORGS LÄN</t>
        </is>
      </c>
      <c r="E1673" t="inlineStr">
        <is>
          <t>BOLLNÄS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54172-2019</t>
        </is>
      </c>
      <c r="B1674" s="1" t="n">
        <v>43753</v>
      </c>
      <c r="C1674" s="1" t="n">
        <v>45357</v>
      </c>
      <c r="D1674" t="inlineStr">
        <is>
          <t>GÄVLEBORGS LÄN</t>
        </is>
      </c>
      <c r="E1674" t="inlineStr">
        <is>
          <t>OCKELBO</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54402-2019</t>
        </is>
      </c>
      <c r="B1675" s="1" t="n">
        <v>43754</v>
      </c>
      <c r="C1675" s="1" t="n">
        <v>45357</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54600-2019</t>
        </is>
      </c>
      <c r="B1676" s="1" t="n">
        <v>43754</v>
      </c>
      <c r="C1676" s="1" t="n">
        <v>45357</v>
      </c>
      <c r="D1676" t="inlineStr">
        <is>
          <t>GÄVLEBORGS LÄN</t>
        </is>
      </c>
      <c r="E1676" t="inlineStr">
        <is>
          <t>BOLLNÄS</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54606-2019</t>
        </is>
      </c>
      <c r="B1677" s="1" t="n">
        <v>43754</v>
      </c>
      <c r="C1677" s="1" t="n">
        <v>45357</v>
      </c>
      <c r="D1677" t="inlineStr">
        <is>
          <t>GÄVLEBORGS LÄN</t>
        </is>
      </c>
      <c r="E1677" t="inlineStr">
        <is>
          <t>BOLLNÄS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54670-2019</t>
        </is>
      </c>
      <c r="B1678" s="1" t="n">
        <v>43754</v>
      </c>
      <c r="C1678" s="1" t="n">
        <v>45357</v>
      </c>
      <c r="D1678" t="inlineStr">
        <is>
          <t>GÄVLEBORGS LÄN</t>
        </is>
      </c>
      <c r="E1678" t="inlineStr">
        <is>
          <t>NORDANSTIG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54401-2019</t>
        </is>
      </c>
      <c r="B1679" s="1" t="n">
        <v>43754</v>
      </c>
      <c r="C1679" s="1" t="n">
        <v>45357</v>
      </c>
      <c r="D1679" t="inlineStr">
        <is>
          <t>GÄVLEBORGS LÄN</t>
        </is>
      </c>
      <c r="E1679" t="inlineStr">
        <is>
          <t>LJUSDAL</t>
        </is>
      </c>
      <c r="F1679" t="inlineStr">
        <is>
          <t>Sveaskog</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54773-2019</t>
        </is>
      </c>
      <c r="B1680" s="1" t="n">
        <v>43755</v>
      </c>
      <c r="C1680" s="1" t="n">
        <v>45357</v>
      </c>
      <c r="D1680" t="inlineStr">
        <is>
          <t>GÄVLEBORGS LÄN</t>
        </is>
      </c>
      <c r="E1680" t="inlineStr">
        <is>
          <t>GÄVLE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54812-2019</t>
        </is>
      </c>
      <c r="B1681" s="1" t="n">
        <v>43755</v>
      </c>
      <c r="C1681" s="1" t="n">
        <v>45357</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54934-2019</t>
        </is>
      </c>
      <c r="B1682" s="1" t="n">
        <v>43755</v>
      </c>
      <c r="C1682" s="1" t="n">
        <v>45357</v>
      </c>
      <c r="D1682" t="inlineStr">
        <is>
          <t>GÄVLEBORGS LÄN</t>
        </is>
      </c>
      <c r="E1682" t="inlineStr">
        <is>
          <t>HOFORS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54807-2019</t>
        </is>
      </c>
      <c r="B1683" s="1" t="n">
        <v>43755</v>
      </c>
      <c r="C1683" s="1" t="n">
        <v>45357</v>
      </c>
      <c r="D1683" t="inlineStr">
        <is>
          <t>GÄVLEBORGS LÄN</t>
        </is>
      </c>
      <c r="E1683" t="inlineStr">
        <is>
          <t>BOLLNÄS</t>
        </is>
      </c>
      <c r="F1683" t="inlineStr">
        <is>
          <t>Sveaskog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54840-2019</t>
        </is>
      </c>
      <c r="B1684" s="1" t="n">
        <v>43755</v>
      </c>
      <c r="C1684" s="1" t="n">
        <v>45357</v>
      </c>
      <c r="D1684" t="inlineStr">
        <is>
          <t>GÄVLEBORGS LÄN</t>
        </is>
      </c>
      <c r="E1684" t="inlineStr">
        <is>
          <t>OCKELBO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54833-2019</t>
        </is>
      </c>
      <c r="B1685" s="1" t="n">
        <v>43755</v>
      </c>
      <c r="C1685" s="1" t="n">
        <v>45357</v>
      </c>
      <c r="D1685" t="inlineStr">
        <is>
          <t>GÄVLEBORGS LÄN</t>
        </is>
      </c>
      <c r="E1685" t="inlineStr">
        <is>
          <t>OVANÅKER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54966-2019</t>
        </is>
      </c>
      <c r="B1686" s="1" t="n">
        <v>43755</v>
      </c>
      <c r="C1686" s="1" t="n">
        <v>45357</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54723-2019</t>
        </is>
      </c>
      <c r="B1687" s="1" t="n">
        <v>43755</v>
      </c>
      <c r="C1687" s="1" t="n">
        <v>45357</v>
      </c>
      <c r="D1687" t="inlineStr">
        <is>
          <t>GÄVLEBORGS LÄN</t>
        </is>
      </c>
      <c r="E1687" t="inlineStr">
        <is>
          <t>LJUSDAL</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55279-2019</t>
        </is>
      </c>
      <c r="B1688" s="1" t="n">
        <v>43756</v>
      </c>
      <c r="C1688" s="1" t="n">
        <v>45357</v>
      </c>
      <c r="D1688" t="inlineStr">
        <is>
          <t>GÄVLEBORGS LÄN</t>
        </is>
      </c>
      <c r="E1688" t="inlineStr">
        <is>
          <t>HUDIKSVALL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55108-2019</t>
        </is>
      </c>
      <c r="B1689" s="1" t="n">
        <v>43756</v>
      </c>
      <c r="C1689" s="1" t="n">
        <v>45357</v>
      </c>
      <c r="D1689" t="inlineStr">
        <is>
          <t>GÄVLEBORGS LÄN</t>
        </is>
      </c>
      <c r="E1689" t="inlineStr">
        <is>
          <t>OCKELBO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55045-2019</t>
        </is>
      </c>
      <c r="B1690" s="1" t="n">
        <v>43756</v>
      </c>
      <c r="C1690" s="1" t="n">
        <v>45357</v>
      </c>
      <c r="D1690" t="inlineStr">
        <is>
          <t>GÄVLEBORGS LÄN</t>
        </is>
      </c>
      <c r="E1690" t="inlineStr">
        <is>
          <t>HUDIKSVALL</t>
        </is>
      </c>
      <c r="F1690" t="inlineStr">
        <is>
          <t>Holmen skog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55789-2019</t>
        </is>
      </c>
      <c r="B1691" s="1" t="n">
        <v>43759</v>
      </c>
      <c r="C1691" s="1" t="n">
        <v>45357</v>
      </c>
      <c r="D1691" t="inlineStr">
        <is>
          <t>GÄVLEBORGS LÄN</t>
        </is>
      </c>
      <c r="E1691" t="inlineStr">
        <is>
          <t>SÖDERHAMN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55880-2019</t>
        </is>
      </c>
      <c r="B1692" s="1" t="n">
        <v>43759</v>
      </c>
      <c r="C1692" s="1" t="n">
        <v>45357</v>
      </c>
      <c r="D1692" t="inlineStr">
        <is>
          <t>GÄVLEBORGS LÄN</t>
        </is>
      </c>
      <c r="E1692" t="inlineStr">
        <is>
          <t>LJUSDAL</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55791-2019</t>
        </is>
      </c>
      <c r="B1693" s="1" t="n">
        <v>43759</v>
      </c>
      <c r="C1693" s="1" t="n">
        <v>45357</v>
      </c>
      <c r="D1693" t="inlineStr">
        <is>
          <t>GÄVLEBORGS LÄN</t>
        </is>
      </c>
      <c r="E1693" t="inlineStr">
        <is>
          <t>SANDVIKEN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55857-2019</t>
        </is>
      </c>
      <c r="B1694" s="1" t="n">
        <v>43759</v>
      </c>
      <c r="C1694" s="1" t="n">
        <v>45357</v>
      </c>
      <c r="D1694" t="inlineStr">
        <is>
          <t>GÄVLEBORGS LÄN</t>
        </is>
      </c>
      <c r="E1694" t="inlineStr">
        <is>
          <t>GÄVLE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56047-2019</t>
        </is>
      </c>
      <c r="B1695" s="1" t="n">
        <v>43759</v>
      </c>
      <c r="C1695" s="1" t="n">
        <v>45357</v>
      </c>
      <c r="D1695" t="inlineStr">
        <is>
          <t>GÄVLEBORGS LÄN</t>
        </is>
      </c>
      <c r="E1695" t="inlineStr">
        <is>
          <t>BOLLNÄS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56956-2019</t>
        </is>
      </c>
      <c r="B1696" s="1" t="n">
        <v>43759</v>
      </c>
      <c r="C1696" s="1" t="n">
        <v>45357</v>
      </c>
      <c r="D1696" t="inlineStr">
        <is>
          <t>GÄVLEBORGS LÄN</t>
        </is>
      </c>
      <c r="E1696" t="inlineStr">
        <is>
          <t>BOLLNÄS</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55956-2019</t>
        </is>
      </c>
      <c r="B1697" s="1" t="n">
        <v>43759</v>
      </c>
      <c r="C1697" s="1" t="n">
        <v>45357</v>
      </c>
      <c r="D1697" t="inlineStr">
        <is>
          <t>GÄVLEBORGS LÄN</t>
        </is>
      </c>
      <c r="E1697" t="inlineStr">
        <is>
          <t>LJUSDAL</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55464-2019</t>
        </is>
      </c>
      <c r="B1698" s="1" t="n">
        <v>43760</v>
      </c>
      <c r="C1698" s="1" t="n">
        <v>45357</v>
      </c>
      <c r="D1698" t="inlineStr">
        <is>
          <t>GÄVLEBORGS LÄN</t>
        </is>
      </c>
      <c r="E1698" t="inlineStr">
        <is>
          <t>LJUSDAL</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55539-2019</t>
        </is>
      </c>
      <c r="B1699" s="1" t="n">
        <v>43760</v>
      </c>
      <c r="C1699" s="1" t="n">
        <v>45357</v>
      </c>
      <c r="D1699" t="inlineStr">
        <is>
          <t>GÄVLEBORGS LÄN</t>
        </is>
      </c>
      <c r="E1699" t="inlineStr">
        <is>
          <t>BOLLNÄS</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56076-2019</t>
        </is>
      </c>
      <c r="B1700" s="1" t="n">
        <v>43761</v>
      </c>
      <c r="C1700" s="1" t="n">
        <v>45357</v>
      </c>
      <c r="D1700" t="inlineStr">
        <is>
          <t>GÄVLEBORGS LÄN</t>
        </is>
      </c>
      <c r="E1700" t="inlineStr">
        <is>
          <t>BOLLNÄS</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56142-2019</t>
        </is>
      </c>
      <c r="B1701" s="1" t="n">
        <v>43761</v>
      </c>
      <c r="C1701" s="1" t="n">
        <v>45357</v>
      </c>
      <c r="D1701" t="inlineStr">
        <is>
          <t>GÄVLEBORGS LÄN</t>
        </is>
      </c>
      <c r="E1701" t="inlineStr">
        <is>
          <t>SANDVIKEN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55774-2019</t>
        </is>
      </c>
      <c r="B1702" s="1" t="n">
        <v>43761</v>
      </c>
      <c r="C1702" s="1" t="n">
        <v>45357</v>
      </c>
      <c r="D1702" t="inlineStr">
        <is>
          <t>GÄVLEBORGS LÄN</t>
        </is>
      </c>
      <c r="E1702" t="inlineStr">
        <is>
          <t>GÄVLE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55933-2019</t>
        </is>
      </c>
      <c r="B1703" s="1" t="n">
        <v>43761</v>
      </c>
      <c r="C1703" s="1" t="n">
        <v>45357</v>
      </c>
      <c r="D1703" t="inlineStr">
        <is>
          <t>GÄVLEBORGS LÄN</t>
        </is>
      </c>
      <c r="E1703" t="inlineStr">
        <is>
          <t>SÖDERHAMN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55742-2019</t>
        </is>
      </c>
      <c r="B1704" s="1" t="n">
        <v>43761</v>
      </c>
      <c r="C1704" s="1" t="n">
        <v>45357</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55883-2019</t>
        </is>
      </c>
      <c r="B1705" s="1" t="n">
        <v>43761</v>
      </c>
      <c r="C1705" s="1" t="n">
        <v>45357</v>
      </c>
      <c r="D1705" t="inlineStr">
        <is>
          <t>GÄVLEBORGS LÄN</t>
        </is>
      </c>
      <c r="E1705" t="inlineStr">
        <is>
          <t>SANDVIKEN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56151-2019</t>
        </is>
      </c>
      <c r="B1706" s="1" t="n">
        <v>43761</v>
      </c>
      <c r="C1706" s="1" t="n">
        <v>45357</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55949-2019</t>
        </is>
      </c>
      <c r="B1707" s="1" t="n">
        <v>43761</v>
      </c>
      <c r="C1707" s="1" t="n">
        <v>45357</v>
      </c>
      <c r="D1707" t="inlineStr">
        <is>
          <t>GÄVLEBORGS LÄN</t>
        </is>
      </c>
      <c r="E1707" t="inlineStr">
        <is>
          <t>SÖDERHAMN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55932-2019</t>
        </is>
      </c>
      <c r="B1708" s="1" t="n">
        <v>43761</v>
      </c>
      <c r="C1708" s="1" t="n">
        <v>45357</v>
      </c>
      <c r="D1708" t="inlineStr">
        <is>
          <t>GÄVLEBORGS LÄN</t>
        </is>
      </c>
      <c r="E1708" t="inlineStr">
        <is>
          <t>SÖDERHAMN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56447-2019</t>
        </is>
      </c>
      <c r="B1709" s="1" t="n">
        <v>43762</v>
      </c>
      <c r="C1709" s="1" t="n">
        <v>45357</v>
      </c>
      <c r="D1709" t="inlineStr">
        <is>
          <t>GÄVLEBORGS LÄN</t>
        </is>
      </c>
      <c r="E1709" t="inlineStr">
        <is>
          <t>OCKELBO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56541-2019</t>
        </is>
      </c>
      <c r="B1710" s="1" t="n">
        <v>43763</v>
      </c>
      <c r="C1710" s="1" t="n">
        <v>45357</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56670-2019</t>
        </is>
      </c>
      <c r="B1711" s="1" t="n">
        <v>43763</v>
      </c>
      <c r="C1711" s="1" t="n">
        <v>45357</v>
      </c>
      <c r="D1711" t="inlineStr">
        <is>
          <t>GÄVLEBORGS LÄN</t>
        </is>
      </c>
      <c r="E1711" t="inlineStr">
        <is>
          <t>GÄVLE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56667-2019</t>
        </is>
      </c>
      <c r="B1712" s="1" t="n">
        <v>43763</v>
      </c>
      <c r="C1712" s="1" t="n">
        <v>45357</v>
      </c>
      <c r="D1712" t="inlineStr">
        <is>
          <t>GÄVLEBORGS LÄN</t>
        </is>
      </c>
      <c r="E1712" t="inlineStr">
        <is>
          <t>OVANÅKER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56693-2019</t>
        </is>
      </c>
      <c r="B1713" s="1" t="n">
        <v>43763</v>
      </c>
      <c r="C1713" s="1" t="n">
        <v>45357</v>
      </c>
      <c r="D1713" t="inlineStr">
        <is>
          <t>GÄVLEBORGS LÄN</t>
        </is>
      </c>
      <c r="E1713" t="inlineStr">
        <is>
          <t>LJUSDAL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56728-2019</t>
        </is>
      </c>
      <c r="B1714" s="1" t="n">
        <v>43763</v>
      </c>
      <c r="C1714" s="1" t="n">
        <v>45357</v>
      </c>
      <c r="D1714" t="inlineStr">
        <is>
          <t>GÄVLEBORGS LÄN</t>
        </is>
      </c>
      <c r="E1714" t="inlineStr">
        <is>
          <t>HUDIKSVALL</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57043-2019</t>
        </is>
      </c>
      <c r="B1715" s="1" t="n">
        <v>43766</v>
      </c>
      <c r="C1715" s="1" t="n">
        <v>45357</v>
      </c>
      <c r="D1715" t="inlineStr">
        <is>
          <t>GÄVLEBORGS LÄN</t>
        </is>
      </c>
      <c r="E1715" t="inlineStr">
        <is>
          <t>OCKELBO</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57061-2019</t>
        </is>
      </c>
      <c r="B1716" s="1" t="n">
        <v>43766</v>
      </c>
      <c r="C1716" s="1" t="n">
        <v>45357</v>
      </c>
      <c r="D1716" t="inlineStr">
        <is>
          <t>GÄVLEBORGS LÄN</t>
        </is>
      </c>
      <c r="E1716" t="inlineStr">
        <is>
          <t>OCKELBO</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56974-2019</t>
        </is>
      </c>
      <c r="B1717" s="1" t="n">
        <v>43766</v>
      </c>
      <c r="C1717" s="1" t="n">
        <v>45357</v>
      </c>
      <c r="D1717" t="inlineStr">
        <is>
          <t>GÄVLEBORGS LÄN</t>
        </is>
      </c>
      <c r="E1717" t="inlineStr">
        <is>
          <t>SÖDERHAMN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57002-2019</t>
        </is>
      </c>
      <c r="B1718" s="1" t="n">
        <v>43766</v>
      </c>
      <c r="C1718" s="1" t="n">
        <v>45357</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57135-2019</t>
        </is>
      </c>
      <c r="B1719" s="1" t="n">
        <v>43766</v>
      </c>
      <c r="C1719" s="1" t="n">
        <v>45357</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57348-2019</t>
        </is>
      </c>
      <c r="B1720" s="1" t="n">
        <v>43767</v>
      </c>
      <c r="C1720" s="1" t="n">
        <v>45357</v>
      </c>
      <c r="D1720" t="inlineStr">
        <is>
          <t>GÄVLEBORGS LÄN</t>
        </is>
      </c>
      <c r="E1720" t="inlineStr">
        <is>
          <t>NORDANSTIG</t>
        </is>
      </c>
      <c r="G1720" t="n">
        <v>17.1</v>
      </c>
      <c r="H1720" t="n">
        <v>0</v>
      </c>
      <c r="I1720" t="n">
        <v>0</v>
      </c>
      <c r="J1720" t="n">
        <v>0</v>
      </c>
      <c r="K1720" t="n">
        <v>0</v>
      </c>
      <c r="L1720" t="n">
        <v>0</v>
      </c>
      <c r="M1720" t="n">
        <v>0</v>
      </c>
      <c r="N1720" t="n">
        <v>0</v>
      </c>
      <c r="O1720" t="n">
        <v>0</v>
      </c>
      <c r="P1720" t="n">
        <v>0</v>
      </c>
      <c r="Q1720" t="n">
        <v>0</v>
      </c>
      <c r="R1720" s="2" t="inlineStr"/>
    </row>
    <row r="1721" ht="15" customHeight="1">
      <c r="A1721" t="inlineStr">
        <is>
          <t>A 57410-2019</t>
        </is>
      </c>
      <c r="B1721" s="1" t="n">
        <v>43767</v>
      </c>
      <c r="C1721" s="1" t="n">
        <v>45357</v>
      </c>
      <c r="D1721" t="inlineStr">
        <is>
          <t>GÄVLEBORGS LÄN</t>
        </is>
      </c>
      <c r="E1721" t="inlineStr">
        <is>
          <t>LJUSDAL</t>
        </is>
      </c>
      <c r="F1721" t="inlineStr">
        <is>
          <t>Holmen skog AB</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57522-2019</t>
        </is>
      </c>
      <c r="B1722" s="1" t="n">
        <v>43767</v>
      </c>
      <c r="C1722" s="1" t="n">
        <v>45357</v>
      </c>
      <c r="D1722" t="inlineStr">
        <is>
          <t>GÄVLEBORGS LÄN</t>
        </is>
      </c>
      <c r="E1722" t="inlineStr">
        <is>
          <t>HUDIKSVALL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57427-2019</t>
        </is>
      </c>
      <c r="B1723" s="1" t="n">
        <v>43767</v>
      </c>
      <c r="C1723" s="1" t="n">
        <v>45357</v>
      </c>
      <c r="D1723" t="inlineStr">
        <is>
          <t>GÄVLEBORGS LÄN</t>
        </is>
      </c>
      <c r="E1723" t="inlineStr">
        <is>
          <t>HUDIKSVALL</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57520-2019</t>
        </is>
      </c>
      <c r="B1724" s="1" t="n">
        <v>43767</v>
      </c>
      <c r="C1724" s="1" t="n">
        <v>45357</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57453-2019</t>
        </is>
      </c>
      <c r="B1725" s="1" t="n">
        <v>43767</v>
      </c>
      <c r="C1725" s="1" t="n">
        <v>45357</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57226-2019</t>
        </is>
      </c>
      <c r="B1726" s="1" t="n">
        <v>43767</v>
      </c>
      <c r="C1726" s="1" t="n">
        <v>45357</v>
      </c>
      <c r="D1726" t="inlineStr">
        <is>
          <t>GÄVLEBORGS LÄN</t>
        </is>
      </c>
      <c r="E1726" t="inlineStr">
        <is>
          <t>SANDVIKEN</t>
        </is>
      </c>
      <c r="F1726" t="inlineStr">
        <is>
          <t>Kyrkan</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57626-2019</t>
        </is>
      </c>
      <c r="B1727" s="1" t="n">
        <v>43768</v>
      </c>
      <c r="C1727" s="1" t="n">
        <v>45357</v>
      </c>
      <c r="D1727" t="inlineStr">
        <is>
          <t>GÄVLEBORGS LÄN</t>
        </is>
      </c>
      <c r="E1727" t="inlineStr">
        <is>
          <t>SANDVIKEN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57966-2019</t>
        </is>
      </c>
      <c r="B1728" s="1" t="n">
        <v>43769</v>
      </c>
      <c r="C1728" s="1" t="n">
        <v>45357</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58148-2019</t>
        </is>
      </c>
      <c r="B1729" s="1" t="n">
        <v>43769</v>
      </c>
      <c r="C1729" s="1" t="n">
        <v>45357</v>
      </c>
      <c r="D1729" t="inlineStr">
        <is>
          <t>GÄVLEBORGS LÄN</t>
        </is>
      </c>
      <c r="E1729" t="inlineStr">
        <is>
          <t>SANDVIKEN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58041-2019</t>
        </is>
      </c>
      <c r="B1730" s="1" t="n">
        <v>43769</v>
      </c>
      <c r="C1730" s="1" t="n">
        <v>45357</v>
      </c>
      <c r="D1730" t="inlineStr">
        <is>
          <t>GÄVLEBORGS LÄN</t>
        </is>
      </c>
      <c r="E1730" t="inlineStr">
        <is>
          <t>BOLLNÄS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58183-2019</t>
        </is>
      </c>
      <c r="B1731" s="1" t="n">
        <v>43770</v>
      </c>
      <c r="C1731" s="1" t="n">
        <v>45357</v>
      </c>
      <c r="D1731" t="inlineStr">
        <is>
          <t>GÄVLEBORGS LÄN</t>
        </is>
      </c>
      <c r="E1731" t="inlineStr">
        <is>
          <t>HUDIKSVALL</t>
        </is>
      </c>
      <c r="F1731" t="inlineStr">
        <is>
          <t>Holmen skog AB</t>
        </is>
      </c>
      <c r="G1731" t="n">
        <v>46.6</v>
      </c>
      <c r="H1731" t="n">
        <v>0</v>
      </c>
      <c r="I1731" t="n">
        <v>0</v>
      </c>
      <c r="J1731" t="n">
        <v>0</v>
      </c>
      <c r="K1731" t="n">
        <v>0</v>
      </c>
      <c r="L1731" t="n">
        <v>0</v>
      </c>
      <c r="M1731" t="n">
        <v>0</v>
      </c>
      <c r="N1731" t="n">
        <v>0</v>
      </c>
      <c r="O1731" t="n">
        <v>0</v>
      </c>
      <c r="P1731" t="n">
        <v>0</v>
      </c>
      <c r="Q1731" t="n">
        <v>0</v>
      </c>
      <c r="R1731" s="2" t="inlineStr"/>
    </row>
    <row r="1732" ht="15" customHeight="1">
      <c r="A1732" t="inlineStr">
        <is>
          <t>A 58287-2019</t>
        </is>
      </c>
      <c r="B1732" s="1" t="n">
        <v>43770</v>
      </c>
      <c r="C1732" s="1" t="n">
        <v>45357</v>
      </c>
      <c r="D1732" t="inlineStr">
        <is>
          <t>GÄVLEBORGS LÄN</t>
        </is>
      </c>
      <c r="E1732" t="inlineStr">
        <is>
          <t>GÄVLE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59269-2019</t>
        </is>
      </c>
      <c r="B1733" s="1" t="n">
        <v>43770</v>
      </c>
      <c r="C1733" s="1" t="n">
        <v>45357</v>
      </c>
      <c r="D1733" t="inlineStr">
        <is>
          <t>GÄVLEBORGS LÄN</t>
        </is>
      </c>
      <c r="E1733" t="inlineStr">
        <is>
          <t>SANDVIKEN</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58204-2019</t>
        </is>
      </c>
      <c r="B1734" s="1" t="n">
        <v>43770</v>
      </c>
      <c r="C1734" s="1" t="n">
        <v>45357</v>
      </c>
      <c r="D1734" t="inlineStr">
        <is>
          <t>GÄVLEBORGS LÄN</t>
        </is>
      </c>
      <c r="E1734" t="inlineStr">
        <is>
          <t>HUDIKSVALL</t>
        </is>
      </c>
      <c r="F1734" t="inlineStr">
        <is>
          <t>Kommuner</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58296-2019</t>
        </is>
      </c>
      <c r="B1735" s="1" t="n">
        <v>43770</v>
      </c>
      <c r="C1735" s="1" t="n">
        <v>45357</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58424-2019</t>
        </is>
      </c>
      <c r="B1736" s="1" t="n">
        <v>43773</v>
      </c>
      <c r="C1736" s="1" t="n">
        <v>45357</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58714-2019</t>
        </is>
      </c>
      <c r="B1737" s="1" t="n">
        <v>43773</v>
      </c>
      <c r="C1737" s="1" t="n">
        <v>45357</v>
      </c>
      <c r="D1737" t="inlineStr">
        <is>
          <t>GÄVLEBORGS LÄN</t>
        </is>
      </c>
      <c r="E1737" t="inlineStr">
        <is>
          <t>SANDVIKEN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58641-2019</t>
        </is>
      </c>
      <c r="B1738" s="1" t="n">
        <v>43773</v>
      </c>
      <c r="C1738" s="1" t="n">
        <v>45357</v>
      </c>
      <c r="D1738" t="inlineStr">
        <is>
          <t>GÄVLEBORGS LÄN</t>
        </is>
      </c>
      <c r="E1738" t="inlineStr">
        <is>
          <t>BOLLNÄS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58587-2019</t>
        </is>
      </c>
      <c r="B1739" s="1" t="n">
        <v>43773</v>
      </c>
      <c r="C1739" s="1" t="n">
        <v>45357</v>
      </c>
      <c r="D1739" t="inlineStr">
        <is>
          <t>GÄVLEBORGS LÄN</t>
        </is>
      </c>
      <c r="E1739" t="inlineStr">
        <is>
          <t>LJUSDAL</t>
        </is>
      </c>
      <c r="F1739" t="inlineStr">
        <is>
          <t>Allmännings- och besparingsskogar</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58897-2019</t>
        </is>
      </c>
      <c r="B1740" s="1" t="n">
        <v>43774</v>
      </c>
      <c r="C1740" s="1" t="n">
        <v>45357</v>
      </c>
      <c r="D1740" t="inlineStr">
        <is>
          <t>GÄVLEBORGS LÄN</t>
        </is>
      </c>
      <c r="E1740" t="inlineStr">
        <is>
          <t>LJUSDAL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58808-2019</t>
        </is>
      </c>
      <c r="B1741" s="1" t="n">
        <v>43774</v>
      </c>
      <c r="C1741" s="1" t="n">
        <v>45357</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58886-2019</t>
        </is>
      </c>
      <c r="B1742" s="1" t="n">
        <v>43774</v>
      </c>
      <c r="C1742" s="1" t="n">
        <v>45357</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59090-2019</t>
        </is>
      </c>
      <c r="B1743" s="1" t="n">
        <v>43774</v>
      </c>
      <c r="C1743" s="1" t="n">
        <v>45357</v>
      </c>
      <c r="D1743" t="inlineStr">
        <is>
          <t>GÄVLEBORGS LÄN</t>
        </is>
      </c>
      <c r="E1743" t="inlineStr">
        <is>
          <t>NORDANSTIG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59111-2019</t>
        </is>
      </c>
      <c r="B1744" s="1" t="n">
        <v>43775</v>
      </c>
      <c r="C1744" s="1" t="n">
        <v>45357</v>
      </c>
      <c r="D1744" t="inlineStr">
        <is>
          <t>GÄVLEBORGS LÄN</t>
        </is>
      </c>
      <c r="E1744" t="inlineStr">
        <is>
          <t>HUDIKSVALL</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59116-2019</t>
        </is>
      </c>
      <c r="B1745" s="1" t="n">
        <v>43775</v>
      </c>
      <c r="C1745" s="1" t="n">
        <v>45357</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59115-2019</t>
        </is>
      </c>
      <c r="B1746" s="1" t="n">
        <v>43775</v>
      </c>
      <c r="C1746" s="1" t="n">
        <v>45357</v>
      </c>
      <c r="D1746" t="inlineStr">
        <is>
          <t>GÄVLEBORGS LÄN</t>
        </is>
      </c>
      <c r="E1746" t="inlineStr">
        <is>
          <t>HOFORS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59990-2019</t>
        </is>
      </c>
      <c r="B1747" s="1" t="n">
        <v>43775</v>
      </c>
      <c r="C1747" s="1" t="n">
        <v>45357</v>
      </c>
      <c r="D1747" t="inlineStr">
        <is>
          <t>GÄVLEBORGS LÄN</t>
        </is>
      </c>
      <c r="E1747" t="inlineStr">
        <is>
          <t>LJUSDAL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59153-2019</t>
        </is>
      </c>
      <c r="B1748" s="1" t="n">
        <v>43775</v>
      </c>
      <c r="C1748" s="1" t="n">
        <v>45357</v>
      </c>
      <c r="D1748" t="inlineStr">
        <is>
          <t>GÄVLEBORGS LÄN</t>
        </is>
      </c>
      <c r="E1748" t="inlineStr">
        <is>
          <t>LJUSDAL</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59808-2019</t>
        </is>
      </c>
      <c r="B1749" s="1" t="n">
        <v>43775</v>
      </c>
      <c r="C1749" s="1" t="n">
        <v>45357</v>
      </c>
      <c r="D1749" t="inlineStr">
        <is>
          <t>GÄVLEBORGS LÄN</t>
        </is>
      </c>
      <c r="E1749" t="inlineStr">
        <is>
          <t>NORDANSTIG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59558-2019</t>
        </is>
      </c>
      <c r="B1750" s="1" t="n">
        <v>43776</v>
      </c>
      <c r="C1750" s="1" t="n">
        <v>45357</v>
      </c>
      <c r="D1750" t="inlineStr">
        <is>
          <t>GÄVLEBORGS LÄN</t>
        </is>
      </c>
      <c r="E1750" t="inlineStr">
        <is>
          <t>HUDIKSVALL</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59458-2019</t>
        </is>
      </c>
      <c r="B1751" s="1" t="n">
        <v>43776</v>
      </c>
      <c r="C1751" s="1" t="n">
        <v>45357</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59734-2019</t>
        </is>
      </c>
      <c r="B1752" s="1" t="n">
        <v>43776</v>
      </c>
      <c r="C1752" s="1" t="n">
        <v>45357</v>
      </c>
      <c r="D1752" t="inlineStr">
        <is>
          <t>GÄVLEBORGS LÄN</t>
        </is>
      </c>
      <c r="E1752" t="inlineStr">
        <is>
          <t>GÄVLE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60423-2019</t>
        </is>
      </c>
      <c r="B1753" s="1" t="n">
        <v>43776</v>
      </c>
      <c r="C1753" s="1" t="n">
        <v>45357</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60418-2019</t>
        </is>
      </c>
      <c r="B1754" s="1" t="n">
        <v>43776</v>
      </c>
      <c r="C1754" s="1" t="n">
        <v>45357</v>
      </c>
      <c r="D1754" t="inlineStr">
        <is>
          <t>GÄVLEBORGS LÄN</t>
        </is>
      </c>
      <c r="E1754" t="inlineStr">
        <is>
          <t>LJUSDAL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59699-2019</t>
        </is>
      </c>
      <c r="B1755" s="1" t="n">
        <v>43776</v>
      </c>
      <c r="C1755" s="1" t="n">
        <v>45357</v>
      </c>
      <c r="D1755" t="inlineStr">
        <is>
          <t>GÄVLEBORGS LÄN</t>
        </is>
      </c>
      <c r="E1755" t="inlineStr">
        <is>
          <t>BOLLNÄS</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59926-2019</t>
        </is>
      </c>
      <c r="B1756" s="1" t="n">
        <v>43777</v>
      </c>
      <c r="C1756" s="1" t="n">
        <v>45357</v>
      </c>
      <c r="D1756" t="inlineStr">
        <is>
          <t>GÄVLEBORGS LÄN</t>
        </is>
      </c>
      <c r="E1756" t="inlineStr">
        <is>
          <t>GÄVLE</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59956-2019</t>
        </is>
      </c>
      <c r="B1757" s="1" t="n">
        <v>43777</v>
      </c>
      <c r="C1757" s="1" t="n">
        <v>45357</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60049-2019</t>
        </is>
      </c>
      <c r="B1758" s="1" t="n">
        <v>43777</v>
      </c>
      <c r="C1758" s="1" t="n">
        <v>45357</v>
      </c>
      <c r="D1758" t="inlineStr">
        <is>
          <t>GÄVLEBORGS LÄN</t>
        </is>
      </c>
      <c r="E1758" t="inlineStr">
        <is>
          <t>HOFORS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59838-2019</t>
        </is>
      </c>
      <c r="B1759" s="1" t="n">
        <v>43777</v>
      </c>
      <c r="C1759" s="1" t="n">
        <v>45357</v>
      </c>
      <c r="D1759" t="inlineStr">
        <is>
          <t>GÄVLEBORGS LÄN</t>
        </is>
      </c>
      <c r="E1759" t="inlineStr">
        <is>
          <t>SANDVIKEN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59980-2019</t>
        </is>
      </c>
      <c r="B1760" s="1" t="n">
        <v>43777</v>
      </c>
      <c r="C1760" s="1" t="n">
        <v>45357</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60034-2019</t>
        </is>
      </c>
      <c r="B1761" s="1" t="n">
        <v>43777</v>
      </c>
      <c r="C1761" s="1" t="n">
        <v>45357</v>
      </c>
      <c r="D1761" t="inlineStr">
        <is>
          <t>GÄVLEBORGS LÄN</t>
        </is>
      </c>
      <c r="E1761" t="inlineStr">
        <is>
          <t>LJUSDAL</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59907-2019</t>
        </is>
      </c>
      <c r="B1762" s="1" t="n">
        <v>43777</v>
      </c>
      <c r="C1762" s="1" t="n">
        <v>45357</v>
      </c>
      <c r="D1762" t="inlineStr">
        <is>
          <t>GÄVLEBORGS LÄN</t>
        </is>
      </c>
      <c r="E1762" t="inlineStr">
        <is>
          <t>GÄVLE</t>
        </is>
      </c>
      <c r="F1762" t="inlineStr">
        <is>
          <t>Bergvik skog öst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59922-2019</t>
        </is>
      </c>
      <c r="B1763" s="1" t="n">
        <v>43777</v>
      </c>
      <c r="C1763" s="1" t="n">
        <v>45357</v>
      </c>
      <c r="D1763" t="inlineStr">
        <is>
          <t>GÄVLEBORGS LÄN</t>
        </is>
      </c>
      <c r="E1763" t="inlineStr">
        <is>
          <t>LJUSDAL</t>
        </is>
      </c>
      <c r="F1763" t="inlineStr">
        <is>
          <t>Allmännings- och besparingsskogar</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60262-2019</t>
        </is>
      </c>
      <c r="B1764" s="1" t="n">
        <v>43780</v>
      </c>
      <c r="C1764" s="1" t="n">
        <v>45357</v>
      </c>
      <c r="D1764" t="inlineStr">
        <is>
          <t>GÄVLEBORGS LÄN</t>
        </is>
      </c>
      <c r="E1764" t="inlineStr">
        <is>
          <t>HOFORS</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60336-2019</t>
        </is>
      </c>
      <c r="B1765" s="1" t="n">
        <v>43780</v>
      </c>
      <c r="C1765" s="1" t="n">
        <v>45357</v>
      </c>
      <c r="D1765" t="inlineStr">
        <is>
          <t>GÄVLEBORGS LÄN</t>
        </is>
      </c>
      <c r="E1765" t="inlineStr">
        <is>
          <t>OVANÅKER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60344-2019</t>
        </is>
      </c>
      <c r="B1766" s="1" t="n">
        <v>43780</v>
      </c>
      <c r="C1766" s="1" t="n">
        <v>45357</v>
      </c>
      <c r="D1766" t="inlineStr">
        <is>
          <t>GÄVLEBORGS LÄN</t>
        </is>
      </c>
      <c r="E1766" t="inlineStr">
        <is>
          <t>OVANÅKER</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60188-2019</t>
        </is>
      </c>
      <c r="B1767" s="1" t="n">
        <v>43780</v>
      </c>
      <c r="C1767" s="1" t="n">
        <v>45357</v>
      </c>
      <c r="D1767" t="inlineStr">
        <is>
          <t>GÄVLEBORGS LÄN</t>
        </is>
      </c>
      <c r="E1767" t="inlineStr">
        <is>
          <t>HUDIKSVALL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60405-2019</t>
        </is>
      </c>
      <c r="B1768" s="1" t="n">
        <v>43780</v>
      </c>
      <c r="C1768" s="1" t="n">
        <v>45357</v>
      </c>
      <c r="D1768" t="inlineStr">
        <is>
          <t>GÄVLEBORGS LÄN</t>
        </is>
      </c>
      <c r="E1768" t="inlineStr">
        <is>
          <t>HUDIKSVALL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60499-2019</t>
        </is>
      </c>
      <c r="B1769" s="1" t="n">
        <v>43780</v>
      </c>
      <c r="C1769" s="1" t="n">
        <v>45357</v>
      </c>
      <c r="D1769" t="inlineStr">
        <is>
          <t>GÄVLEBORGS LÄN</t>
        </is>
      </c>
      <c r="E1769" t="inlineStr">
        <is>
          <t>NORDANSTIG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60539-2019</t>
        </is>
      </c>
      <c r="B1770" s="1" t="n">
        <v>43781</v>
      </c>
      <c r="C1770" s="1" t="n">
        <v>45357</v>
      </c>
      <c r="D1770" t="inlineStr">
        <is>
          <t>GÄVLEBORGS LÄN</t>
        </is>
      </c>
      <c r="E1770" t="inlineStr">
        <is>
          <t>BOLLNÄS</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60574-2019</t>
        </is>
      </c>
      <c r="B1771" s="1" t="n">
        <v>43781</v>
      </c>
      <c r="C1771" s="1" t="n">
        <v>45357</v>
      </c>
      <c r="D1771" t="inlineStr">
        <is>
          <t>GÄVLEBORGS LÄN</t>
        </is>
      </c>
      <c r="E1771" t="inlineStr">
        <is>
          <t>LJUSDAL</t>
        </is>
      </c>
      <c r="F1771" t="inlineStr">
        <is>
          <t>Bergvik skog väst AB</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60651-2019</t>
        </is>
      </c>
      <c r="B1772" s="1" t="n">
        <v>43781</v>
      </c>
      <c r="C1772" s="1" t="n">
        <v>45357</v>
      </c>
      <c r="D1772" t="inlineStr">
        <is>
          <t>GÄVLEBORGS LÄN</t>
        </is>
      </c>
      <c r="E1772" t="inlineStr">
        <is>
          <t>LJUSDAL</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60552-2019</t>
        </is>
      </c>
      <c r="B1773" s="1" t="n">
        <v>43781</v>
      </c>
      <c r="C1773" s="1" t="n">
        <v>45357</v>
      </c>
      <c r="D1773" t="inlineStr">
        <is>
          <t>GÄVLEBORGS LÄN</t>
        </is>
      </c>
      <c r="E1773" t="inlineStr">
        <is>
          <t>HOFORS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60612-2019</t>
        </is>
      </c>
      <c r="B1774" s="1" t="n">
        <v>43781</v>
      </c>
      <c r="C1774" s="1" t="n">
        <v>45357</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60720-2019</t>
        </is>
      </c>
      <c r="B1775" s="1" t="n">
        <v>43781</v>
      </c>
      <c r="C1775" s="1" t="n">
        <v>45357</v>
      </c>
      <c r="D1775" t="inlineStr">
        <is>
          <t>GÄVLEBORGS LÄN</t>
        </is>
      </c>
      <c r="E1775" t="inlineStr">
        <is>
          <t>LJUSDAL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61030-2019</t>
        </is>
      </c>
      <c r="B1776" s="1" t="n">
        <v>43782</v>
      </c>
      <c r="C1776" s="1" t="n">
        <v>45357</v>
      </c>
      <c r="D1776" t="inlineStr">
        <is>
          <t>GÄVLEBORGS LÄN</t>
        </is>
      </c>
      <c r="E1776" t="inlineStr">
        <is>
          <t>OCKELBO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61192-2019</t>
        </is>
      </c>
      <c r="B1777" s="1" t="n">
        <v>43782</v>
      </c>
      <c r="C1777" s="1" t="n">
        <v>45357</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60966-2019</t>
        </is>
      </c>
      <c r="B1778" s="1" t="n">
        <v>43782</v>
      </c>
      <c r="C1778" s="1" t="n">
        <v>45357</v>
      </c>
      <c r="D1778" t="inlineStr">
        <is>
          <t>GÄVLEBORGS LÄN</t>
        </is>
      </c>
      <c r="E1778" t="inlineStr">
        <is>
          <t>SÖDERHAMN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60988-2019</t>
        </is>
      </c>
      <c r="B1779" s="1" t="n">
        <v>43782</v>
      </c>
      <c r="C1779" s="1" t="n">
        <v>45357</v>
      </c>
      <c r="D1779" t="inlineStr">
        <is>
          <t>GÄVLEBORGS LÄN</t>
        </is>
      </c>
      <c r="E1779" t="inlineStr">
        <is>
          <t>HUDIKSVALL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61070-2019</t>
        </is>
      </c>
      <c r="B1780" s="1" t="n">
        <v>43782</v>
      </c>
      <c r="C1780" s="1" t="n">
        <v>45357</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61195-2019</t>
        </is>
      </c>
      <c r="B1781" s="1" t="n">
        <v>43782</v>
      </c>
      <c r="C1781" s="1" t="n">
        <v>45357</v>
      </c>
      <c r="D1781" t="inlineStr">
        <is>
          <t>GÄVLEBORGS LÄN</t>
        </is>
      </c>
      <c r="E1781" t="inlineStr">
        <is>
          <t>LJUSDAL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62091-2019</t>
        </is>
      </c>
      <c r="B1782" s="1" t="n">
        <v>43782</v>
      </c>
      <c r="C1782" s="1" t="n">
        <v>45357</v>
      </c>
      <c r="D1782" t="inlineStr">
        <is>
          <t>GÄVLEBORGS LÄN</t>
        </is>
      </c>
      <c r="E1782" t="inlineStr">
        <is>
          <t>HOFORS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61194-2019</t>
        </is>
      </c>
      <c r="B1783" s="1" t="n">
        <v>43782</v>
      </c>
      <c r="C1783" s="1" t="n">
        <v>45357</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60993-2019</t>
        </is>
      </c>
      <c r="B1784" s="1" t="n">
        <v>43782</v>
      </c>
      <c r="C1784" s="1" t="n">
        <v>45357</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62085-2019</t>
        </is>
      </c>
      <c r="B1785" s="1" t="n">
        <v>43782</v>
      </c>
      <c r="C1785" s="1" t="n">
        <v>45357</v>
      </c>
      <c r="D1785" t="inlineStr">
        <is>
          <t>GÄVLEBORGS LÄN</t>
        </is>
      </c>
      <c r="E1785" t="inlineStr">
        <is>
          <t>SANDVIKEN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62088-2019</t>
        </is>
      </c>
      <c r="B1786" s="1" t="n">
        <v>43782</v>
      </c>
      <c r="C1786" s="1" t="n">
        <v>45357</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61168-2019</t>
        </is>
      </c>
      <c r="B1787" s="1" t="n">
        <v>43782</v>
      </c>
      <c r="C1787" s="1" t="n">
        <v>45357</v>
      </c>
      <c r="D1787" t="inlineStr">
        <is>
          <t>GÄVLEBORGS LÄN</t>
        </is>
      </c>
      <c r="E1787" t="inlineStr">
        <is>
          <t>HOFORS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61364-2019</t>
        </is>
      </c>
      <c r="B1788" s="1" t="n">
        <v>43783</v>
      </c>
      <c r="C1788" s="1" t="n">
        <v>45357</v>
      </c>
      <c r="D1788" t="inlineStr">
        <is>
          <t>GÄVLEBORGS LÄN</t>
        </is>
      </c>
      <c r="E1788" t="inlineStr">
        <is>
          <t>OCKELBO</t>
        </is>
      </c>
      <c r="F1788" t="inlineStr">
        <is>
          <t>Bergvik skog väst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61374-2019</t>
        </is>
      </c>
      <c r="B1789" s="1" t="n">
        <v>43783</v>
      </c>
      <c r="C1789" s="1" t="n">
        <v>45357</v>
      </c>
      <c r="D1789" t="inlineStr">
        <is>
          <t>GÄVLEBORGS LÄN</t>
        </is>
      </c>
      <c r="E1789" t="inlineStr">
        <is>
          <t>BOLLNÄS</t>
        </is>
      </c>
      <c r="F1789" t="inlineStr">
        <is>
          <t>Sveaskog</t>
        </is>
      </c>
      <c r="G1789" t="n">
        <v>2.8</v>
      </c>
      <c r="H1789" t="n">
        <v>0</v>
      </c>
      <c r="I1789" t="n">
        <v>0</v>
      </c>
      <c r="J1789" t="n">
        <v>0</v>
      </c>
      <c r="K1789" t="n">
        <v>0</v>
      </c>
      <c r="L1789" t="n">
        <v>0</v>
      </c>
      <c r="M1789" t="n">
        <v>0</v>
      </c>
      <c r="N1789" t="n">
        <v>0</v>
      </c>
      <c r="O1789" t="n">
        <v>0</v>
      </c>
      <c r="P1789" t="n">
        <v>0</v>
      </c>
      <c r="Q1789" t="n">
        <v>0</v>
      </c>
      <c r="R1789" s="2" t="inlineStr"/>
      <c r="U1789">
        <f>HYPERLINK("https://klasma.github.io/Logging_2183/knärot/A 61374-2019 karta knärot.png", "A 61374-2019")</f>
        <v/>
      </c>
      <c r="V1789">
        <f>HYPERLINK("https://klasma.github.io/Logging_2183/klagomål/A 61374-2019 FSC-klagomål.docx", "A 61374-2019")</f>
        <v/>
      </c>
      <c r="W1789">
        <f>HYPERLINK("https://klasma.github.io/Logging_2183/klagomålsmail/A 61374-2019 FSC-klagomål mail.docx", "A 61374-2019")</f>
        <v/>
      </c>
      <c r="X1789">
        <f>HYPERLINK("https://klasma.github.io/Logging_2183/tillsyn/A 61374-2019 tillsynsbegäran.docx", "A 61374-2019")</f>
        <v/>
      </c>
      <c r="Y1789">
        <f>HYPERLINK("https://klasma.github.io/Logging_2183/tillsynsmail/A 61374-2019 tillsynsbegäran mail.docx", "A 61374-2019")</f>
        <v/>
      </c>
    </row>
    <row r="1790" ht="15" customHeight="1">
      <c r="A1790" t="inlineStr">
        <is>
          <t>A 61246-2019</t>
        </is>
      </c>
      <c r="B1790" s="1" t="n">
        <v>43783</v>
      </c>
      <c r="C1790" s="1" t="n">
        <v>45357</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61392-2019</t>
        </is>
      </c>
      <c r="B1791" s="1" t="n">
        <v>43783</v>
      </c>
      <c r="C1791" s="1" t="n">
        <v>45357</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61481-2019</t>
        </is>
      </c>
      <c r="B1792" s="1" t="n">
        <v>43783</v>
      </c>
      <c r="C1792" s="1" t="n">
        <v>45357</v>
      </c>
      <c r="D1792" t="inlineStr">
        <is>
          <t>GÄVLEBORGS LÄN</t>
        </is>
      </c>
      <c r="E1792" t="inlineStr">
        <is>
          <t>SANDVIKEN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62938-2019</t>
        </is>
      </c>
      <c r="B1793" s="1" t="n">
        <v>43783</v>
      </c>
      <c r="C1793" s="1" t="n">
        <v>45357</v>
      </c>
      <c r="D1793" t="inlineStr">
        <is>
          <t>GÄVLEBORGS LÄN</t>
        </is>
      </c>
      <c r="E1793" t="inlineStr">
        <is>
          <t>BOLLNÄS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62448-2019</t>
        </is>
      </c>
      <c r="B1794" s="1" t="n">
        <v>43783</v>
      </c>
      <c r="C1794" s="1" t="n">
        <v>45357</v>
      </c>
      <c r="D1794" t="inlineStr">
        <is>
          <t>GÄVLEBORGS LÄN</t>
        </is>
      </c>
      <c r="E1794" t="inlineStr">
        <is>
          <t>SÖDERHAMN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61274-2019</t>
        </is>
      </c>
      <c r="B1795" s="1" t="n">
        <v>43783</v>
      </c>
      <c r="C1795" s="1" t="n">
        <v>45357</v>
      </c>
      <c r="D1795" t="inlineStr">
        <is>
          <t>GÄVLEBORGS LÄN</t>
        </is>
      </c>
      <c r="E1795" t="inlineStr">
        <is>
          <t>SÖDERHAMN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61501-2019</t>
        </is>
      </c>
      <c r="B1796" s="1" t="n">
        <v>43783</v>
      </c>
      <c r="C1796" s="1" t="n">
        <v>45357</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61563-2019</t>
        </is>
      </c>
      <c r="B1797" s="1" t="n">
        <v>43784</v>
      </c>
      <c r="C1797" s="1" t="n">
        <v>45357</v>
      </c>
      <c r="D1797" t="inlineStr">
        <is>
          <t>GÄVLEBORGS LÄN</t>
        </is>
      </c>
      <c r="E1797" t="inlineStr">
        <is>
          <t>HUDIKSVALL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61729-2019</t>
        </is>
      </c>
      <c r="B1798" s="1" t="n">
        <v>43784</v>
      </c>
      <c r="C1798" s="1" t="n">
        <v>45357</v>
      </c>
      <c r="D1798" t="inlineStr">
        <is>
          <t>GÄVLEBORGS LÄN</t>
        </is>
      </c>
      <c r="E1798" t="inlineStr">
        <is>
          <t>LJUSDAL</t>
        </is>
      </c>
      <c r="F1798" t="inlineStr">
        <is>
          <t>Allmännings- och besparingsskogar</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61675-2019</t>
        </is>
      </c>
      <c r="B1799" s="1" t="n">
        <v>43784</v>
      </c>
      <c r="C1799" s="1" t="n">
        <v>45357</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63115-2019</t>
        </is>
      </c>
      <c r="B1800" s="1" t="n">
        <v>43786</v>
      </c>
      <c r="C1800" s="1" t="n">
        <v>45357</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62044-2019</t>
        </is>
      </c>
      <c r="B1801" s="1" t="n">
        <v>43787</v>
      </c>
      <c r="C1801" s="1" t="n">
        <v>45357</v>
      </c>
      <c r="D1801" t="inlineStr">
        <is>
          <t>GÄVLEBORGS LÄN</t>
        </is>
      </c>
      <c r="E1801" t="inlineStr">
        <is>
          <t>OVANÅKER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61870-2019</t>
        </is>
      </c>
      <c r="B1802" s="1" t="n">
        <v>43787</v>
      </c>
      <c r="C1802" s="1" t="n">
        <v>45357</v>
      </c>
      <c r="D1802" t="inlineStr">
        <is>
          <t>GÄVLEBORGS LÄN</t>
        </is>
      </c>
      <c r="E1802" t="inlineStr">
        <is>
          <t>LJUSDAL</t>
        </is>
      </c>
      <c r="F1802" t="inlineStr">
        <is>
          <t>Allmännings- och besparingsskogar</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62119-2019</t>
        </is>
      </c>
      <c r="B1803" s="1" t="n">
        <v>43787</v>
      </c>
      <c r="C1803" s="1" t="n">
        <v>45357</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61988-2019</t>
        </is>
      </c>
      <c r="B1804" s="1" t="n">
        <v>43787</v>
      </c>
      <c r="C1804" s="1" t="n">
        <v>45357</v>
      </c>
      <c r="D1804" t="inlineStr">
        <is>
          <t>GÄVLEBORGS LÄN</t>
        </is>
      </c>
      <c r="E1804" t="inlineStr">
        <is>
          <t>LJUSDAL</t>
        </is>
      </c>
      <c r="F1804" t="inlineStr">
        <is>
          <t>Allmännings- och besparingsskogar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62211-2019</t>
        </is>
      </c>
      <c r="B1805" s="1" t="n">
        <v>43788</v>
      </c>
      <c r="C1805" s="1" t="n">
        <v>45357</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62387-2019</t>
        </is>
      </c>
      <c r="B1806" s="1" t="n">
        <v>43788</v>
      </c>
      <c r="C1806" s="1" t="n">
        <v>45357</v>
      </c>
      <c r="D1806" t="inlineStr">
        <is>
          <t>GÄVLEBORGS LÄN</t>
        </is>
      </c>
      <c r="E1806" t="inlineStr">
        <is>
          <t>HUDIKSVALL</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62250-2019</t>
        </is>
      </c>
      <c r="B1807" s="1" t="n">
        <v>43788</v>
      </c>
      <c r="C1807" s="1" t="n">
        <v>45357</v>
      </c>
      <c r="D1807" t="inlineStr">
        <is>
          <t>GÄVLEBORGS LÄN</t>
        </is>
      </c>
      <c r="E1807" t="inlineStr">
        <is>
          <t>GÄVLE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62348-2019</t>
        </is>
      </c>
      <c r="B1808" s="1" t="n">
        <v>43788</v>
      </c>
      <c r="C1808" s="1" t="n">
        <v>45357</v>
      </c>
      <c r="D1808" t="inlineStr">
        <is>
          <t>GÄVLEBORGS LÄN</t>
        </is>
      </c>
      <c r="E1808" t="inlineStr">
        <is>
          <t>OVANÅKER</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62291-2019</t>
        </is>
      </c>
      <c r="B1809" s="1" t="n">
        <v>43788</v>
      </c>
      <c r="C1809" s="1" t="n">
        <v>45357</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62388-2019</t>
        </is>
      </c>
      <c r="B1810" s="1" t="n">
        <v>43788</v>
      </c>
      <c r="C1810" s="1" t="n">
        <v>45357</v>
      </c>
      <c r="D1810" t="inlineStr">
        <is>
          <t>GÄVLEBORGS LÄN</t>
        </is>
      </c>
      <c r="E1810" t="inlineStr">
        <is>
          <t>NORDANSTIG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62439-2019</t>
        </is>
      </c>
      <c r="B1811" s="1" t="n">
        <v>43788</v>
      </c>
      <c r="C1811" s="1" t="n">
        <v>45357</v>
      </c>
      <c r="D1811" t="inlineStr">
        <is>
          <t>GÄVLEBORGS LÄN</t>
        </is>
      </c>
      <c r="E1811" t="inlineStr">
        <is>
          <t>SANDVIKEN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62615-2019</t>
        </is>
      </c>
      <c r="B1812" s="1" t="n">
        <v>43789</v>
      </c>
      <c r="C1812" s="1" t="n">
        <v>45357</v>
      </c>
      <c r="D1812" t="inlineStr">
        <is>
          <t>GÄVLEBORGS LÄN</t>
        </is>
      </c>
      <c r="E1812" t="inlineStr">
        <is>
          <t>SANDVIKEN</t>
        </is>
      </c>
      <c r="F1812" t="inlineStr">
        <is>
          <t>Naturvårdsverket</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62569-2019</t>
        </is>
      </c>
      <c r="B1813" s="1" t="n">
        <v>43789</v>
      </c>
      <c r="C1813" s="1" t="n">
        <v>45357</v>
      </c>
      <c r="D1813" t="inlineStr">
        <is>
          <t>GÄVLEBORGS LÄN</t>
        </is>
      </c>
      <c r="E1813" t="inlineStr">
        <is>
          <t>HUDIKSVALL</t>
        </is>
      </c>
      <c r="F1813" t="inlineStr">
        <is>
          <t>Holmen skog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62632-2019</t>
        </is>
      </c>
      <c r="B1814" s="1" t="n">
        <v>43789</v>
      </c>
      <c r="C1814" s="1" t="n">
        <v>45357</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62567-2019</t>
        </is>
      </c>
      <c r="B1815" s="1" t="n">
        <v>43789</v>
      </c>
      <c r="C1815" s="1" t="n">
        <v>45357</v>
      </c>
      <c r="D1815" t="inlineStr">
        <is>
          <t>GÄVLEBORGS LÄN</t>
        </is>
      </c>
      <c r="E1815" t="inlineStr">
        <is>
          <t>LJUSDAL</t>
        </is>
      </c>
      <c r="F1815" t="inlineStr">
        <is>
          <t>Allmännings- och besparingsskogar</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62633-2019</t>
        </is>
      </c>
      <c r="B1816" s="1" t="n">
        <v>43789</v>
      </c>
      <c r="C1816" s="1" t="n">
        <v>45357</v>
      </c>
      <c r="D1816" t="inlineStr">
        <is>
          <t>GÄVLEBORGS LÄN</t>
        </is>
      </c>
      <c r="E1816" t="inlineStr">
        <is>
          <t>BOLLNÄS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62586-2019</t>
        </is>
      </c>
      <c r="B1817" s="1" t="n">
        <v>43789</v>
      </c>
      <c r="C1817" s="1" t="n">
        <v>45357</v>
      </c>
      <c r="D1817" t="inlineStr">
        <is>
          <t>GÄVLEBORGS LÄN</t>
        </is>
      </c>
      <c r="E1817" t="inlineStr">
        <is>
          <t>LJUSDAL</t>
        </is>
      </c>
      <c r="F1817" t="inlineStr">
        <is>
          <t>Allmännings- och besparingsskogar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62772-2019</t>
        </is>
      </c>
      <c r="B1818" s="1" t="n">
        <v>43790</v>
      </c>
      <c r="C1818" s="1" t="n">
        <v>45357</v>
      </c>
      <c r="D1818" t="inlineStr">
        <is>
          <t>GÄVLEBORGS LÄN</t>
        </is>
      </c>
      <c r="E1818" t="inlineStr">
        <is>
          <t>OVANÅKER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62759-2019</t>
        </is>
      </c>
      <c r="B1819" s="1" t="n">
        <v>43790</v>
      </c>
      <c r="C1819" s="1" t="n">
        <v>45357</v>
      </c>
      <c r="D1819" t="inlineStr">
        <is>
          <t>GÄVLEBORGS LÄN</t>
        </is>
      </c>
      <c r="E1819" t="inlineStr">
        <is>
          <t>OVANÅKER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62767-2019</t>
        </is>
      </c>
      <c r="B1820" s="1" t="n">
        <v>43790</v>
      </c>
      <c r="C1820" s="1" t="n">
        <v>45357</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62775-2019</t>
        </is>
      </c>
      <c r="B1821" s="1" t="n">
        <v>43790</v>
      </c>
      <c r="C1821" s="1" t="n">
        <v>45357</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62841-2019</t>
        </is>
      </c>
      <c r="B1822" s="1" t="n">
        <v>43790</v>
      </c>
      <c r="C1822" s="1" t="n">
        <v>45357</v>
      </c>
      <c r="D1822" t="inlineStr">
        <is>
          <t>GÄVLEBORGS LÄN</t>
        </is>
      </c>
      <c r="E1822" t="inlineStr">
        <is>
          <t>GÄVLE</t>
        </is>
      </c>
      <c r="F1822" t="inlineStr">
        <is>
          <t>Bergvik skog väst AB</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62760-2019</t>
        </is>
      </c>
      <c r="B1823" s="1" t="n">
        <v>43790</v>
      </c>
      <c r="C1823" s="1" t="n">
        <v>45357</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62753-2019</t>
        </is>
      </c>
      <c r="B1824" s="1" t="n">
        <v>43790</v>
      </c>
      <c r="C1824" s="1" t="n">
        <v>45357</v>
      </c>
      <c r="D1824" t="inlineStr">
        <is>
          <t>GÄVLEBORGS LÄN</t>
        </is>
      </c>
      <c r="E1824" t="inlineStr">
        <is>
          <t>OVANÅKER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62934-2019</t>
        </is>
      </c>
      <c r="B1825" s="1" t="n">
        <v>43790</v>
      </c>
      <c r="C1825" s="1" t="n">
        <v>45357</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63009-2019</t>
        </is>
      </c>
      <c r="B1826" s="1" t="n">
        <v>43790</v>
      </c>
      <c r="C1826" s="1" t="n">
        <v>45357</v>
      </c>
      <c r="D1826" t="inlineStr">
        <is>
          <t>GÄVLEBORGS LÄN</t>
        </is>
      </c>
      <c r="E1826" t="inlineStr">
        <is>
          <t>NORDANSTIG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62758-2019</t>
        </is>
      </c>
      <c r="B1827" s="1" t="n">
        <v>43790</v>
      </c>
      <c r="C1827" s="1" t="n">
        <v>45357</v>
      </c>
      <c r="D1827" t="inlineStr">
        <is>
          <t>GÄVLEBORGS LÄN</t>
        </is>
      </c>
      <c r="E1827" t="inlineStr">
        <is>
          <t>HUDIKSVALL</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63037-2019</t>
        </is>
      </c>
      <c r="B1828" s="1" t="n">
        <v>43791</v>
      </c>
      <c r="C1828" s="1" t="n">
        <v>45357</v>
      </c>
      <c r="D1828" t="inlineStr">
        <is>
          <t>GÄVLEBORGS LÄN</t>
        </is>
      </c>
      <c r="E1828" t="inlineStr">
        <is>
          <t>LJUSDAL</t>
        </is>
      </c>
      <c r="F1828" t="inlineStr">
        <is>
          <t>Sveaskog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63068-2019</t>
        </is>
      </c>
      <c r="B1829" s="1" t="n">
        <v>43791</v>
      </c>
      <c r="C1829" s="1" t="n">
        <v>45357</v>
      </c>
      <c r="D1829" t="inlineStr">
        <is>
          <t>GÄVLEBORGS LÄN</t>
        </is>
      </c>
      <c r="E1829" t="inlineStr">
        <is>
          <t>OCKELBO</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63078-2019</t>
        </is>
      </c>
      <c r="B1830" s="1" t="n">
        <v>43791</v>
      </c>
      <c r="C1830" s="1" t="n">
        <v>45357</v>
      </c>
      <c r="D1830" t="inlineStr">
        <is>
          <t>GÄVLEBORGS LÄN</t>
        </is>
      </c>
      <c r="E1830" t="inlineStr">
        <is>
          <t>LJUSDAL</t>
        </is>
      </c>
      <c r="F1830" t="inlineStr">
        <is>
          <t>Allmännings- och besparingsskogar</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63013-2019</t>
        </is>
      </c>
      <c r="B1831" s="1" t="n">
        <v>43791</v>
      </c>
      <c r="C1831" s="1" t="n">
        <v>45357</v>
      </c>
      <c r="D1831" t="inlineStr">
        <is>
          <t>GÄVLEBORGS LÄN</t>
        </is>
      </c>
      <c r="E1831" t="inlineStr">
        <is>
          <t>HUDIKSVALL</t>
        </is>
      </c>
      <c r="F1831" t="inlineStr">
        <is>
          <t>Holmen skog AB</t>
        </is>
      </c>
      <c r="G1831" t="n">
        <v>33.3</v>
      </c>
      <c r="H1831" t="n">
        <v>0</v>
      </c>
      <c r="I1831" t="n">
        <v>0</v>
      </c>
      <c r="J1831" t="n">
        <v>0</v>
      </c>
      <c r="K1831" t="n">
        <v>0</v>
      </c>
      <c r="L1831" t="n">
        <v>0</v>
      </c>
      <c r="M1831" t="n">
        <v>0</v>
      </c>
      <c r="N1831" t="n">
        <v>0</v>
      </c>
      <c r="O1831" t="n">
        <v>0</v>
      </c>
      <c r="P1831" t="n">
        <v>0</v>
      </c>
      <c r="Q1831" t="n">
        <v>0</v>
      </c>
      <c r="R1831" s="2" t="inlineStr"/>
    </row>
    <row r="1832" ht="15" customHeight="1">
      <c r="A1832" t="inlineStr">
        <is>
          <t>A 63108-2019</t>
        </is>
      </c>
      <c r="B1832" s="1" t="n">
        <v>43791</v>
      </c>
      <c r="C1832" s="1" t="n">
        <v>45357</v>
      </c>
      <c r="D1832" t="inlineStr">
        <is>
          <t>GÄVLEBORGS LÄN</t>
        </is>
      </c>
      <c r="E1832" t="inlineStr">
        <is>
          <t>LJUSDAL</t>
        </is>
      </c>
      <c r="F1832" t="inlineStr">
        <is>
          <t>Allmännings- och besparingsskogar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63269-2019</t>
        </is>
      </c>
      <c r="B1833" s="1" t="n">
        <v>43793</v>
      </c>
      <c r="C1833" s="1" t="n">
        <v>45357</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63409-2019</t>
        </is>
      </c>
      <c r="B1834" s="1" t="n">
        <v>43794</v>
      </c>
      <c r="C1834" s="1" t="n">
        <v>45357</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63469-2019</t>
        </is>
      </c>
      <c r="B1835" s="1" t="n">
        <v>43794</v>
      </c>
      <c r="C1835" s="1" t="n">
        <v>45357</v>
      </c>
      <c r="D1835" t="inlineStr">
        <is>
          <t>GÄVLEBORGS LÄN</t>
        </is>
      </c>
      <c r="E1835" t="inlineStr">
        <is>
          <t>GÄVLE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63540-2019</t>
        </is>
      </c>
      <c r="B1836" s="1" t="n">
        <v>43794</v>
      </c>
      <c r="C1836" s="1" t="n">
        <v>45357</v>
      </c>
      <c r="D1836" t="inlineStr">
        <is>
          <t>GÄVLEBORGS LÄN</t>
        </is>
      </c>
      <c r="E1836" t="inlineStr">
        <is>
          <t>BOLLNÄS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64390-2019</t>
        </is>
      </c>
      <c r="B1837" s="1" t="n">
        <v>43794</v>
      </c>
      <c r="C1837" s="1" t="n">
        <v>45357</v>
      </c>
      <c r="D1837" t="inlineStr">
        <is>
          <t>GÄVLEBORGS LÄN</t>
        </is>
      </c>
      <c r="E1837" t="inlineStr">
        <is>
          <t>LJUSDAL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64373-2019</t>
        </is>
      </c>
      <c r="B1838" s="1" t="n">
        <v>43794</v>
      </c>
      <c r="C1838" s="1" t="n">
        <v>45357</v>
      </c>
      <c r="D1838" t="inlineStr">
        <is>
          <t>GÄVLEBORGS LÄN</t>
        </is>
      </c>
      <c r="E1838" t="inlineStr">
        <is>
          <t>LJUSDAL</t>
        </is>
      </c>
      <c r="G1838" t="n">
        <v>25.3</v>
      </c>
      <c r="H1838" t="n">
        <v>0</v>
      </c>
      <c r="I1838" t="n">
        <v>0</v>
      </c>
      <c r="J1838" t="n">
        <v>0</v>
      </c>
      <c r="K1838" t="n">
        <v>0</v>
      </c>
      <c r="L1838" t="n">
        <v>0</v>
      </c>
      <c r="M1838" t="n">
        <v>0</v>
      </c>
      <c r="N1838" t="n">
        <v>0</v>
      </c>
      <c r="O1838" t="n">
        <v>0</v>
      </c>
      <c r="P1838" t="n">
        <v>0</v>
      </c>
      <c r="Q1838" t="n">
        <v>0</v>
      </c>
      <c r="R1838" s="2" t="inlineStr"/>
    </row>
    <row r="1839" ht="15" customHeight="1">
      <c r="A1839" t="inlineStr">
        <is>
          <t>A 63588-2019</t>
        </is>
      </c>
      <c r="B1839" s="1" t="n">
        <v>43795</v>
      </c>
      <c r="C1839" s="1" t="n">
        <v>45357</v>
      </c>
      <c r="D1839" t="inlineStr">
        <is>
          <t>GÄVLEBORGS LÄN</t>
        </is>
      </c>
      <c r="E1839" t="inlineStr">
        <is>
          <t>HOFORS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63614-2019</t>
        </is>
      </c>
      <c r="B1840" s="1" t="n">
        <v>43795</v>
      </c>
      <c r="C1840" s="1" t="n">
        <v>45357</v>
      </c>
      <c r="D1840" t="inlineStr">
        <is>
          <t>GÄVLEBORGS LÄN</t>
        </is>
      </c>
      <c r="E1840" t="inlineStr">
        <is>
          <t>BOLLNÄS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63568-2019</t>
        </is>
      </c>
      <c r="B1841" s="1" t="n">
        <v>43795</v>
      </c>
      <c r="C1841" s="1" t="n">
        <v>45357</v>
      </c>
      <c r="D1841" t="inlineStr">
        <is>
          <t>GÄVLEBORGS LÄN</t>
        </is>
      </c>
      <c r="E1841" t="inlineStr">
        <is>
          <t>HUDIKSVALL</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63585-2019</t>
        </is>
      </c>
      <c r="B1842" s="1" t="n">
        <v>43795</v>
      </c>
      <c r="C1842" s="1" t="n">
        <v>45357</v>
      </c>
      <c r="D1842" t="inlineStr">
        <is>
          <t>GÄVLEBORGS LÄN</t>
        </is>
      </c>
      <c r="E1842" t="inlineStr">
        <is>
          <t>HOFORS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63894-2019</t>
        </is>
      </c>
      <c r="B1843" s="1" t="n">
        <v>43796</v>
      </c>
      <c r="C1843" s="1" t="n">
        <v>45357</v>
      </c>
      <c r="D1843" t="inlineStr">
        <is>
          <t>GÄVLEBORGS LÄN</t>
        </is>
      </c>
      <c r="E1843" t="inlineStr">
        <is>
          <t>OCKELBO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63948-2019</t>
        </is>
      </c>
      <c r="B1844" s="1" t="n">
        <v>43796</v>
      </c>
      <c r="C1844" s="1" t="n">
        <v>45357</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63917-2019</t>
        </is>
      </c>
      <c r="B1845" s="1" t="n">
        <v>43796</v>
      </c>
      <c r="C1845" s="1" t="n">
        <v>45357</v>
      </c>
      <c r="D1845" t="inlineStr">
        <is>
          <t>GÄVLEBORGS LÄN</t>
        </is>
      </c>
      <c r="E1845" t="inlineStr">
        <is>
          <t>OVANÅKER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64035-2019</t>
        </is>
      </c>
      <c r="B1846" s="1" t="n">
        <v>43796</v>
      </c>
      <c r="C1846" s="1" t="n">
        <v>45357</v>
      </c>
      <c r="D1846" t="inlineStr">
        <is>
          <t>GÄVLEBORGS LÄN</t>
        </is>
      </c>
      <c r="E1846" t="inlineStr">
        <is>
          <t>OCKELBO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63996-2019</t>
        </is>
      </c>
      <c r="B1847" s="1" t="n">
        <v>43796</v>
      </c>
      <c r="C1847" s="1" t="n">
        <v>45357</v>
      </c>
      <c r="D1847" t="inlineStr">
        <is>
          <t>GÄVLEBORGS LÄN</t>
        </is>
      </c>
      <c r="E1847" t="inlineStr">
        <is>
          <t>OCKELBO</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64000-2019</t>
        </is>
      </c>
      <c r="B1848" s="1" t="n">
        <v>43796</v>
      </c>
      <c r="C1848" s="1" t="n">
        <v>45357</v>
      </c>
      <c r="D1848" t="inlineStr">
        <is>
          <t>GÄVLEBORGS LÄN</t>
        </is>
      </c>
      <c r="E1848" t="inlineStr">
        <is>
          <t>OCKELBO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64023-2019</t>
        </is>
      </c>
      <c r="B1849" s="1" t="n">
        <v>43796</v>
      </c>
      <c r="C1849" s="1" t="n">
        <v>45357</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64176-2019</t>
        </is>
      </c>
      <c r="B1850" s="1" t="n">
        <v>43797</v>
      </c>
      <c r="C1850" s="1" t="n">
        <v>45357</v>
      </c>
      <c r="D1850" t="inlineStr">
        <is>
          <t>GÄVLEBORGS LÄN</t>
        </is>
      </c>
      <c r="E1850" t="inlineStr">
        <is>
          <t>OVANÅKER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64179-2019</t>
        </is>
      </c>
      <c r="B1851" s="1" t="n">
        <v>43797</v>
      </c>
      <c r="C1851" s="1" t="n">
        <v>45357</v>
      </c>
      <c r="D1851" t="inlineStr">
        <is>
          <t>GÄVLEBORGS LÄN</t>
        </is>
      </c>
      <c r="E1851" t="inlineStr">
        <is>
          <t>OCKELBO</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64264-2019</t>
        </is>
      </c>
      <c r="B1852" s="1" t="n">
        <v>43797</v>
      </c>
      <c r="C1852" s="1" t="n">
        <v>45357</v>
      </c>
      <c r="D1852" t="inlineStr">
        <is>
          <t>GÄVLEBORGS LÄN</t>
        </is>
      </c>
      <c r="E1852" t="inlineStr">
        <is>
          <t>SANDVIKEN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64362-2019</t>
        </is>
      </c>
      <c r="B1853" s="1" t="n">
        <v>43797</v>
      </c>
      <c r="C1853" s="1" t="n">
        <v>45357</v>
      </c>
      <c r="D1853" t="inlineStr">
        <is>
          <t>GÄVLEBORGS LÄN</t>
        </is>
      </c>
      <c r="E1853" t="inlineStr">
        <is>
          <t>HUDIKSVALL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64192-2019</t>
        </is>
      </c>
      <c r="B1854" s="1" t="n">
        <v>43797</v>
      </c>
      <c r="C1854" s="1" t="n">
        <v>45357</v>
      </c>
      <c r="D1854" t="inlineStr">
        <is>
          <t>GÄVLEBORGS LÄN</t>
        </is>
      </c>
      <c r="E1854" t="inlineStr">
        <is>
          <t>LJUSDAL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64200-2019</t>
        </is>
      </c>
      <c r="B1855" s="1" t="n">
        <v>43797</v>
      </c>
      <c r="C1855" s="1" t="n">
        <v>45357</v>
      </c>
      <c r="D1855" t="inlineStr">
        <is>
          <t>GÄVLEBORGS LÄN</t>
        </is>
      </c>
      <c r="E1855" t="inlineStr">
        <is>
          <t>LJUSDAL</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64673-2019</t>
        </is>
      </c>
      <c r="B1856" s="1" t="n">
        <v>43798</v>
      </c>
      <c r="C1856" s="1" t="n">
        <v>45357</v>
      </c>
      <c r="D1856" t="inlineStr">
        <is>
          <t>GÄVLEBORGS LÄN</t>
        </is>
      </c>
      <c r="E1856" t="inlineStr">
        <is>
          <t>BOLLNÄS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65428-2019</t>
        </is>
      </c>
      <c r="B1857" s="1" t="n">
        <v>43798</v>
      </c>
      <c r="C1857" s="1" t="n">
        <v>45357</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64747-2019</t>
        </is>
      </c>
      <c r="B1858" s="1" t="n">
        <v>43800</v>
      </c>
      <c r="C1858" s="1" t="n">
        <v>45357</v>
      </c>
      <c r="D1858" t="inlineStr">
        <is>
          <t>GÄVLEBORGS LÄN</t>
        </is>
      </c>
      <c r="E1858" t="inlineStr">
        <is>
          <t>BOLLNÄS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64750-2019</t>
        </is>
      </c>
      <c r="B1859" s="1" t="n">
        <v>43801</v>
      </c>
      <c r="C1859" s="1" t="n">
        <v>45357</v>
      </c>
      <c r="D1859" t="inlineStr">
        <is>
          <t>GÄVLEBORGS LÄN</t>
        </is>
      </c>
      <c r="E1859" t="inlineStr">
        <is>
          <t>SÖDERHAMN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64822-2019</t>
        </is>
      </c>
      <c r="B1860" s="1" t="n">
        <v>43801</v>
      </c>
      <c r="C1860" s="1" t="n">
        <v>45357</v>
      </c>
      <c r="D1860" t="inlineStr">
        <is>
          <t>GÄVLEBORGS LÄN</t>
        </is>
      </c>
      <c r="E1860" t="inlineStr">
        <is>
          <t>NORDANSTIG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64944-2019</t>
        </is>
      </c>
      <c r="B1861" s="1" t="n">
        <v>43801</v>
      </c>
      <c r="C1861" s="1" t="n">
        <v>45357</v>
      </c>
      <c r="D1861" t="inlineStr">
        <is>
          <t>GÄVLEBORGS LÄN</t>
        </is>
      </c>
      <c r="E1861" t="inlineStr">
        <is>
          <t>LJUSDAL</t>
        </is>
      </c>
      <c r="F1861" t="inlineStr">
        <is>
          <t>Holmen skog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65177-2019</t>
        </is>
      </c>
      <c r="B1862" s="1" t="n">
        <v>43802</v>
      </c>
      <c r="C1862" s="1" t="n">
        <v>45357</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65192-2019</t>
        </is>
      </c>
      <c r="B1863" s="1" t="n">
        <v>43802</v>
      </c>
      <c r="C1863" s="1" t="n">
        <v>45357</v>
      </c>
      <c r="D1863" t="inlineStr">
        <is>
          <t>GÄVLEBORGS LÄN</t>
        </is>
      </c>
      <c r="E1863" t="inlineStr">
        <is>
          <t>SÖDERHAMN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65262-2019</t>
        </is>
      </c>
      <c r="B1864" s="1" t="n">
        <v>43802</v>
      </c>
      <c r="C1864" s="1" t="n">
        <v>45357</v>
      </c>
      <c r="D1864" t="inlineStr">
        <is>
          <t>GÄVLEBORGS LÄN</t>
        </is>
      </c>
      <c r="E1864" t="inlineStr">
        <is>
          <t>LJUSDAL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65166-2019</t>
        </is>
      </c>
      <c r="B1865" s="1" t="n">
        <v>43802</v>
      </c>
      <c r="C1865" s="1" t="n">
        <v>45357</v>
      </c>
      <c r="D1865" t="inlineStr">
        <is>
          <t>GÄVLEBORGS LÄN</t>
        </is>
      </c>
      <c r="E1865" t="inlineStr">
        <is>
          <t>OVANÅKER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65320-2019</t>
        </is>
      </c>
      <c r="B1866" s="1" t="n">
        <v>43802</v>
      </c>
      <c r="C1866" s="1" t="n">
        <v>45357</v>
      </c>
      <c r="D1866" t="inlineStr">
        <is>
          <t>GÄVLEBORGS LÄN</t>
        </is>
      </c>
      <c r="E1866" t="inlineStr">
        <is>
          <t>HUDIKSVALL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65291-2019</t>
        </is>
      </c>
      <c r="B1867" s="1" t="n">
        <v>43802</v>
      </c>
      <c r="C1867" s="1" t="n">
        <v>45357</v>
      </c>
      <c r="D1867" t="inlineStr">
        <is>
          <t>GÄVLEBORGS LÄN</t>
        </is>
      </c>
      <c r="E1867" t="inlineStr">
        <is>
          <t>LJUSDAL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65462-2019</t>
        </is>
      </c>
      <c r="B1868" s="1" t="n">
        <v>43803</v>
      </c>
      <c r="C1868" s="1" t="n">
        <v>45357</v>
      </c>
      <c r="D1868" t="inlineStr">
        <is>
          <t>GÄVLEBORGS LÄN</t>
        </is>
      </c>
      <c r="E1868" t="inlineStr">
        <is>
          <t>HUDIKSVALL</t>
        </is>
      </c>
      <c r="F1868" t="inlineStr">
        <is>
          <t>Holmen skog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65614-2019</t>
        </is>
      </c>
      <c r="B1869" s="1" t="n">
        <v>43804</v>
      </c>
      <c r="C1869" s="1" t="n">
        <v>45357</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65648-2019</t>
        </is>
      </c>
      <c r="B1870" s="1" t="n">
        <v>43804</v>
      </c>
      <c r="C1870" s="1" t="n">
        <v>45357</v>
      </c>
      <c r="D1870" t="inlineStr">
        <is>
          <t>GÄVLEBORGS LÄN</t>
        </is>
      </c>
      <c r="E1870" t="inlineStr">
        <is>
          <t>OCKELBO</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65714-2019</t>
        </is>
      </c>
      <c r="B1871" s="1" t="n">
        <v>43804</v>
      </c>
      <c r="C1871" s="1" t="n">
        <v>45357</v>
      </c>
      <c r="D1871" t="inlineStr">
        <is>
          <t>GÄVLEBORGS LÄN</t>
        </is>
      </c>
      <c r="E1871" t="inlineStr">
        <is>
          <t>SÖDERHAMN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66096-2019</t>
        </is>
      </c>
      <c r="B1872" s="1" t="n">
        <v>43807</v>
      </c>
      <c r="C1872" s="1" t="n">
        <v>45357</v>
      </c>
      <c r="D1872" t="inlineStr">
        <is>
          <t>GÄVLEBORGS LÄN</t>
        </is>
      </c>
      <c r="E1872" t="inlineStr">
        <is>
          <t>HUDIKSVALL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66196-2019</t>
        </is>
      </c>
      <c r="B1873" s="1" t="n">
        <v>43808</v>
      </c>
      <c r="C1873" s="1" t="n">
        <v>45357</v>
      </c>
      <c r="D1873" t="inlineStr">
        <is>
          <t>GÄVLEBORGS LÄN</t>
        </is>
      </c>
      <c r="E1873" t="inlineStr">
        <is>
          <t>BOLLNÄS</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66265-2019</t>
        </is>
      </c>
      <c r="B1874" s="1" t="n">
        <v>43808</v>
      </c>
      <c r="C1874" s="1" t="n">
        <v>45357</v>
      </c>
      <c r="D1874" t="inlineStr">
        <is>
          <t>GÄVLEBORGS LÄN</t>
        </is>
      </c>
      <c r="E1874" t="inlineStr">
        <is>
          <t>OCKELBO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66206-2019</t>
        </is>
      </c>
      <c r="B1875" s="1" t="n">
        <v>43808</v>
      </c>
      <c r="C1875" s="1" t="n">
        <v>45357</v>
      </c>
      <c r="D1875" t="inlineStr">
        <is>
          <t>GÄVLEBORGS LÄN</t>
        </is>
      </c>
      <c r="E1875" t="inlineStr">
        <is>
          <t>GÄVLE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66212-2019</t>
        </is>
      </c>
      <c r="B1876" s="1" t="n">
        <v>43808</v>
      </c>
      <c r="C1876" s="1" t="n">
        <v>45357</v>
      </c>
      <c r="D1876" t="inlineStr">
        <is>
          <t>GÄVLEBORGS LÄN</t>
        </is>
      </c>
      <c r="E1876" t="inlineStr">
        <is>
          <t>LJUSDAL</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66211-2019</t>
        </is>
      </c>
      <c r="B1877" s="1" t="n">
        <v>43808</v>
      </c>
      <c r="C1877" s="1" t="n">
        <v>45357</v>
      </c>
      <c r="D1877" t="inlineStr">
        <is>
          <t>GÄVLEBORGS LÄN</t>
        </is>
      </c>
      <c r="E1877" t="inlineStr">
        <is>
          <t>OCKELBO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66399-2019</t>
        </is>
      </c>
      <c r="B1878" s="1" t="n">
        <v>43809</v>
      </c>
      <c r="C1878" s="1" t="n">
        <v>45357</v>
      </c>
      <c r="D1878" t="inlineStr">
        <is>
          <t>GÄVLEBORGS LÄN</t>
        </is>
      </c>
      <c r="E1878" t="inlineStr">
        <is>
          <t>BOLLNÄS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66479-2019</t>
        </is>
      </c>
      <c r="B1879" s="1" t="n">
        <v>43809</v>
      </c>
      <c r="C1879" s="1" t="n">
        <v>45357</v>
      </c>
      <c r="D1879" t="inlineStr">
        <is>
          <t>GÄVLEBORGS LÄN</t>
        </is>
      </c>
      <c r="E1879" t="inlineStr">
        <is>
          <t>BOLLNÄS</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66590-2019</t>
        </is>
      </c>
      <c r="B1880" s="1" t="n">
        <v>43809</v>
      </c>
      <c r="C1880" s="1" t="n">
        <v>45357</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66477-2019</t>
        </is>
      </c>
      <c r="B1881" s="1" t="n">
        <v>43809</v>
      </c>
      <c r="C1881" s="1" t="n">
        <v>45357</v>
      </c>
      <c r="D1881" t="inlineStr">
        <is>
          <t>GÄVLEBORGS LÄN</t>
        </is>
      </c>
      <c r="E1881" t="inlineStr">
        <is>
          <t>BOLLNÄS</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66410-2019</t>
        </is>
      </c>
      <c r="B1882" s="1" t="n">
        <v>43809</v>
      </c>
      <c r="C1882" s="1" t="n">
        <v>45357</v>
      </c>
      <c r="D1882" t="inlineStr">
        <is>
          <t>GÄVLEBORGS LÄN</t>
        </is>
      </c>
      <c r="E1882" t="inlineStr">
        <is>
          <t>GÄVLE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66784-2019</t>
        </is>
      </c>
      <c r="B1883" s="1" t="n">
        <v>43810</v>
      </c>
      <c r="C1883" s="1" t="n">
        <v>45357</v>
      </c>
      <c r="D1883" t="inlineStr">
        <is>
          <t>GÄVLEBORGS LÄN</t>
        </is>
      </c>
      <c r="E1883" t="inlineStr">
        <is>
          <t>LJUSDAL</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66756-2019</t>
        </is>
      </c>
      <c r="B1884" s="1" t="n">
        <v>43810</v>
      </c>
      <c r="C1884" s="1" t="n">
        <v>45357</v>
      </c>
      <c r="D1884" t="inlineStr">
        <is>
          <t>GÄVLEBORGS LÄN</t>
        </is>
      </c>
      <c r="E1884" t="inlineStr">
        <is>
          <t>LJUSDAL</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66920-2019</t>
        </is>
      </c>
      <c r="B1885" s="1" t="n">
        <v>43810</v>
      </c>
      <c r="C1885" s="1" t="n">
        <v>45357</v>
      </c>
      <c r="D1885" t="inlineStr">
        <is>
          <t>GÄVLEBORGS LÄN</t>
        </is>
      </c>
      <c r="E1885" t="inlineStr">
        <is>
          <t>LJUSDAL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66938-2019</t>
        </is>
      </c>
      <c r="B1886" s="1" t="n">
        <v>43810</v>
      </c>
      <c r="C1886" s="1" t="n">
        <v>45357</v>
      </c>
      <c r="D1886" t="inlineStr">
        <is>
          <t>GÄVLEBORGS LÄN</t>
        </is>
      </c>
      <c r="E1886" t="inlineStr">
        <is>
          <t>LJUSDAL</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67039-2019</t>
        </is>
      </c>
      <c r="B1887" s="1" t="n">
        <v>43811</v>
      </c>
      <c r="C1887" s="1" t="n">
        <v>45357</v>
      </c>
      <c r="D1887" t="inlineStr">
        <is>
          <t>GÄVLEBORGS LÄN</t>
        </is>
      </c>
      <c r="E1887" t="inlineStr">
        <is>
          <t>HUDIKSVALL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67138-2019</t>
        </is>
      </c>
      <c r="B1888" s="1" t="n">
        <v>43811</v>
      </c>
      <c r="C1888" s="1" t="n">
        <v>45357</v>
      </c>
      <c r="D1888" t="inlineStr">
        <is>
          <t>GÄVLEBORGS LÄN</t>
        </is>
      </c>
      <c r="E1888" t="inlineStr">
        <is>
          <t>GÄVLE</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67304-2019</t>
        </is>
      </c>
      <c r="B1889" s="1" t="n">
        <v>43812</v>
      </c>
      <c r="C1889" s="1" t="n">
        <v>45357</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67440-2019</t>
        </is>
      </c>
      <c r="B1890" s="1" t="n">
        <v>43812</v>
      </c>
      <c r="C1890" s="1" t="n">
        <v>45357</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67302-2019</t>
        </is>
      </c>
      <c r="B1891" s="1" t="n">
        <v>43812</v>
      </c>
      <c r="C1891" s="1" t="n">
        <v>45357</v>
      </c>
      <c r="D1891" t="inlineStr">
        <is>
          <t>GÄVLEBORGS LÄN</t>
        </is>
      </c>
      <c r="E1891" t="inlineStr">
        <is>
          <t>NORDANSTIG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67417-2019</t>
        </is>
      </c>
      <c r="B1892" s="1" t="n">
        <v>43812</v>
      </c>
      <c r="C1892" s="1" t="n">
        <v>45357</v>
      </c>
      <c r="D1892" t="inlineStr">
        <is>
          <t>GÄVLEBORGS LÄN</t>
        </is>
      </c>
      <c r="E1892" t="inlineStr">
        <is>
          <t>GÄVLE</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68532-2019</t>
        </is>
      </c>
      <c r="B1893" s="1" t="n">
        <v>43812</v>
      </c>
      <c r="C1893" s="1" t="n">
        <v>45357</v>
      </c>
      <c r="D1893" t="inlineStr">
        <is>
          <t>GÄVLEBORGS LÄN</t>
        </is>
      </c>
      <c r="E1893" t="inlineStr">
        <is>
          <t>BOLLNÄS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67418-2019</t>
        </is>
      </c>
      <c r="B1894" s="1" t="n">
        <v>43812</v>
      </c>
      <c r="C1894" s="1" t="n">
        <v>45357</v>
      </c>
      <c r="D1894" t="inlineStr">
        <is>
          <t>GÄVLEBORGS LÄN</t>
        </is>
      </c>
      <c r="E1894" t="inlineStr">
        <is>
          <t>GÄVLE</t>
        </is>
      </c>
      <c r="F1894" t="inlineStr">
        <is>
          <t>Kommuner</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67438-2019</t>
        </is>
      </c>
      <c r="B1895" s="1" t="n">
        <v>43812</v>
      </c>
      <c r="C1895" s="1" t="n">
        <v>45357</v>
      </c>
      <c r="D1895" t="inlineStr">
        <is>
          <t>GÄVLEBORGS LÄN</t>
        </is>
      </c>
      <c r="E1895" t="inlineStr">
        <is>
          <t>HUDIKSVALL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67415-2019</t>
        </is>
      </c>
      <c r="B1896" s="1" t="n">
        <v>43812</v>
      </c>
      <c r="C1896" s="1" t="n">
        <v>45357</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67651-2019</t>
        </is>
      </c>
      <c r="B1897" s="1" t="n">
        <v>43815</v>
      </c>
      <c r="C1897" s="1" t="n">
        <v>45357</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67776-2019</t>
        </is>
      </c>
      <c r="B1898" s="1" t="n">
        <v>43815</v>
      </c>
      <c r="C1898" s="1" t="n">
        <v>45357</v>
      </c>
      <c r="D1898" t="inlineStr">
        <is>
          <t>GÄVLEBORGS LÄN</t>
        </is>
      </c>
      <c r="E1898" t="inlineStr">
        <is>
          <t>SÖDERHAMN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67596-2019</t>
        </is>
      </c>
      <c r="B1899" s="1" t="n">
        <v>43815</v>
      </c>
      <c r="C1899" s="1" t="n">
        <v>45357</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67730-2019</t>
        </is>
      </c>
      <c r="B1900" s="1" t="n">
        <v>43815</v>
      </c>
      <c r="C1900" s="1" t="n">
        <v>45357</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67812-2019</t>
        </is>
      </c>
      <c r="B1901" s="1" t="n">
        <v>43815</v>
      </c>
      <c r="C1901" s="1" t="n">
        <v>45357</v>
      </c>
      <c r="D1901" t="inlineStr">
        <is>
          <t>GÄVLEBORGS LÄN</t>
        </is>
      </c>
      <c r="E1901" t="inlineStr">
        <is>
          <t>SÖDERHAMN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67816-2019</t>
        </is>
      </c>
      <c r="B1902" s="1" t="n">
        <v>43815</v>
      </c>
      <c r="C1902" s="1" t="n">
        <v>45357</v>
      </c>
      <c r="D1902" t="inlineStr">
        <is>
          <t>GÄVLEBORGS LÄN</t>
        </is>
      </c>
      <c r="E1902" t="inlineStr">
        <is>
          <t>NORDANSTIG</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67775-2019</t>
        </is>
      </c>
      <c r="B1903" s="1" t="n">
        <v>43815</v>
      </c>
      <c r="C1903" s="1" t="n">
        <v>45357</v>
      </c>
      <c r="D1903" t="inlineStr">
        <is>
          <t>GÄVLEBORGS LÄN</t>
        </is>
      </c>
      <c r="E1903" t="inlineStr">
        <is>
          <t>SÖDERHAMN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67725-2019</t>
        </is>
      </c>
      <c r="B1904" s="1" t="n">
        <v>43815</v>
      </c>
      <c r="C1904" s="1" t="n">
        <v>45357</v>
      </c>
      <c r="D1904" t="inlineStr">
        <is>
          <t>GÄVLEBORGS LÄN</t>
        </is>
      </c>
      <c r="E1904" t="inlineStr">
        <is>
          <t>HUDIKSVALL</t>
        </is>
      </c>
      <c r="F1904" t="inlineStr">
        <is>
          <t>Holmen skog AB</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68010-2019</t>
        </is>
      </c>
      <c r="B1905" s="1" t="n">
        <v>43816</v>
      </c>
      <c r="C1905" s="1" t="n">
        <v>45357</v>
      </c>
      <c r="D1905" t="inlineStr">
        <is>
          <t>GÄVLEBORGS LÄN</t>
        </is>
      </c>
      <c r="E1905" t="inlineStr">
        <is>
          <t>SANDVIKEN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67866-2019</t>
        </is>
      </c>
      <c r="B1906" s="1" t="n">
        <v>43816</v>
      </c>
      <c r="C1906" s="1" t="n">
        <v>45357</v>
      </c>
      <c r="D1906" t="inlineStr">
        <is>
          <t>GÄVLEBORGS LÄN</t>
        </is>
      </c>
      <c r="E1906" t="inlineStr">
        <is>
          <t>LJUSDAL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67916-2019</t>
        </is>
      </c>
      <c r="B1907" s="1" t="n">
        <v>43816</v>
      </c>
      <c r="C1907" s="1" t="n">
        <v>45357</v>
      </c>
      <c r="D1907" t="inlineStr">
        <is>
          <t>GÄVLEBORGS LÄN</t>
        </is>
      </c>
      <c r="E1907" t="inlineStr">
        <is>
          <t>NORDANSTIG</t>
        </is>
      </c>
      <c r="F1907" t="inlineStr">
        <is>
          <t>Holmen skog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67871-2019</t>
        </is>
      </c>
      <c r="B1908" s="1" t="n">
        <v>43816</v>
      </c>
      <c r="C1908" s="1" t="n">
        <v>45357</v>
      </c>
      <c r="D1908" t="inlineStr">
        <is>
          <t>GÄVLEBORGS LÄN</t>
        </is>
      </c>
      <c r="E1908" t="inlineStr">
        <is>
          <t>NORDANSTIG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67941-2019</t>
        </is>
      </c>
      <c r="B1909" s="1" t="n">
        <v>43816</v>
      </c>
      <c r="C1909" s="1" t="n">
        <v>45357</v>
      </c>
      <c r="D1909" t="inlineStr">
        <is>
          <t>GÄVLEBORGS LÄN</t>
        </is>
      </c>
      <c r="E1909" t="inlineStr">
        <is>
          <t>HUDIKSVALL</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408-2020</t>
        </is>
      </c>
      <c r="B1910" s="1" t="n">
        <v>43816</v>
      </c>
      <c r="C1910" s="1" t="n">
        <v>45357</v>
      </c>
      <c r="D1910" t="inlineStr">
        <is>
          <t>GÄVLEBORGS LÄN</t>
        </is>
      </c>
      <c r="E1910" t="inlineStr">
        <is>
          <t>LJUSDAL</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68015-2019</t>
        </is>
      </c>
      <c r="B1911" s="1" t="n">
        <v>43816</v>
      </c>
      <c r="C1911" s="1" t="n">
        <v>45357</v>
      </c>
      <c r="D1911" t="inlineStr">
        <is>
          <t>GÄVLEBORGS LÄN</t>
        </is>
      </c>
      <c r="E1911" t="inlineStr">
        <is>
          <t>SANDVIKEN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68116-2019</t>
        </is>
      </c>
      <c r="B1912" s="1" t="n">
        <v>43817</v>
      </c>
      <c r="C1912" s="1" t="n">
        <v>45357</v>
      </c>
      <c r="D1912" t="inlineStr">
        <is>
          <t>GÄVLEBORGS LÄN</t>
        </is>
      </c>
      <c r="E1912" t="inlineStr">
        <is>
          <t>OVANÅKER</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68252-2019</t>
        </is>
      </c>
      <c r="B1913" s="1" t="n">
        <v>43817</v>
      </c>
      <c r="C1913" s="1" t="n">
        <v>45357</v>
      </c>
      <c r="D1913" t="inlineStr">
        <is>
          <t>GÄVLEBORGS LÄN</t>
        </is>
      </c>
      <c r="E1913" t="inlineStr">
        <is>
          <t>HUDIKSVALL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68348-2019</t>
        </is>
      </c>
      <c r="B1914" s="1" t="n">
        <v>43818</v>
      </c>
      <c r="C1914" s="1" t="n">
        <v>45357</v>
      </c>
      <c r="D1914" t="inlineStr">
        <is>
          <t>GÄVLEBORGS LÄN</t>
        </is>
      </c>
      <c r="E1914" t="inlineStr">
        <is>
          <t>SÖDERHAMN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68436-2019</t>
        </is>
      </c>
      <c r="B1915" s="1" t="n">
        <v>43818</v>
      </c>
      <c r="C1915" s="1" t="n">
        <v>45357</v>
      </c>
      <c r="D1915" t="inlineStr">
        <is>
          <t>GÄVLEBORGS LÄN</t>
        </is>
      </c>
      <c r="E1915" t="inlineStr">
        <is>
          <t>GÄVLE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68455-2019</t>
        </is>
      </c>
      <c r="B1916" s="1" t="n">
        <v>43818</v>
      </c>
      <c r="C1916" s="1" t="n">
        <v>45357</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68555-2019</t>
        </is>
      </c>
      <c r="B1917" s="1" t="n">
        <v>43818</v>
      </c>
      <c r="C1917" s="1" t="n">
        <v>45357</v>
      </c>
      <c r="D1917" t="inlineStr">
        <is>
          <t>GÄVLEBORGS LÄN</t>
        </is>
      </c>
      <c r="E1917" t="inlineStr">
        <is>
          <t>GÄVLE</t>
        </is>
      </c>
      <c r="F1917" t="inlineStr">
        <is>
          <t>Övriga statliga verk och myndigheter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68633-2019</t>
        </is>
      </c>
      <c r="B1918" s="1" t="n">
        <v>43819</v>
      </c>
      <c r="C1918" s="1" t="n">
        <v>45357</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68800-2019</t>
        </is>
      </c>
      <c r="B1919" s="1" t="n">
        <v>43819</v>
      </c>
      <c r="C1919" s="1" t="n">
        <v>45357</v>
      </c>
      <c r="D1919" t="inlineStr">
        <is>
          <t>GÄVLEBORGS LÄN</t>
        </is>
      </c>
      <c r="E1919" t="inlineStr">
        <is>
          <t>BOLLNÄS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68915-2019</t>
        </is>
      </c>
      <c r="B1920" s="1" t="n">
        <v>43822</v>
      </c>
      <c r="C1920" s="1" t="n">
        <v>45357</v>
      </c>
      <c r="D1920" t="inlineStr">
        <is>
          <t>GÄVLEBORGS LÄN</t>
        </is>
      </c>
      <c r="E1920" t="inlineStr">
        <is>
          <t>NORDANSTIG</t>
        </is>
      </c>
      <c r="F1920" t="inlineStr">
        <is>
          <t>Holmen skog AB</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68961-2019</t>
        </is>
      </c>
      <c r="B1921" s="1" t="n">
        <v>43822</v>
      </c>
      <c r="C1921" s="1" t="n">
        <v>45357</v>
      </c>
      <c r="D1921" t="inlineStr">
        <is>
          <t>GÄVLEBORGS LÄN</t>
        </is>
      </c>
      <c r="E1921" t="inlineStr">
        <is>
          <t>SANDVIKEN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69096-2019</t>
        </is>
      </c>
      <c r="B1922" s="1" t="n">
        <v>43829</v>
      </c>
      <c r="C1922" s="1" t="n">
        <v>45357</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121-2020</t>
        </is>
      </c>
      <c r="B1923" s="1" t="n">
        <v>43832</v>
      </c>
      <c r="C1923" s="1" t="n">
        <v>45357</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115-2020</t>
        </is>
      </c>
      <c r="B1924" s="1" t="n">
        <v>43832</v>
      </c>
      <c r="C1924" s="1" t="n">
        <v>45357</v>
      </c>
      <c r="D1924" t="inlineStr">
        <is>
          <t>GÄVLEBORGS LÄN</t>
        </is>
      </c>
      <c r="E1924" t="inlineStr">
        <is>
          <t>HUDIKSVALL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223-2020</t>
        </is>
      </c>
      <c r="B1925" s="1" t="n">
        <v>43833</v>
      </c>
      <c r="C1925" s="1" t="n">
        <v>45357</v>
      </c>
      <c r="D1925" t="inlineStr">
        <is>
          <t>GÄVLEBORGS LÄN</t>
        </is>
      </c>
      <c r="E1925" t="inlineStr">
        <is>
          <t>NORDANSTIG</t>
        </is>
      </c>
      <c r="F1925" t="inlineStr">
        <is>
          <t>Naturvårdsverket</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329-2020</t>
        </is>
      </c>
      <c r="B1926" s="1" t="n">
        <v>43837</v>
      </c>
      <c r="C1926" s="1" t="n">
        <v>45357</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305-2020</t>
        </is>
      </c>
      <c r="B1927" s="1" t="n">
        <v>43837</v>
      </c>
      <c r="C1927" s="1" t="n">
        <v>45357</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360-2020</t>
        </is>
      </c>
      <c r="B1928" s="1" t="n">
        <v>43837</v>
      </c>
      <c r="C1928" s="1" t="n">
        <v>45357</v>
      </c>
      <c r="D1928" t="inlineStr">
        <is>
          <t>GÄVLEBORGS LÄN</t>
        </is>
      </c>
      <c r="E1928" t="inlineStr">
        <is>
          <t>OCKELBO</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498-2020</t>
        </is>
      </c>
      <c r="B1929" s="1" t="n">
        <v>43837</v>
      </c>
      <c r="C1929" s="1" t="n">
        <v>45357</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412-2020</t>
        </is>
      </c>
      <c r="B1930" s="1" t="n">
        <v>43837</v>
      </c>
      <c r="C1930" s="1" t="n">
        <v>45357</v>
      </c>
      <c r="D1930" t="inlineStr">
        <is>
          <t>GÄVLEBORGS LÄN</t>
        </is>
      </c>
      <c r="E1930" t="inlineStr">
        <is>
          <t>BOLLNÄS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528-2020</t>
        </is>
      </c>
      <c r="B1931" s="1" t="n">
        <v>43837</v>
      </c>
      <c r="C1931" s="1" t="n">
        <v>45357</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533-2020</t>
        </is>
      </c>
      <c r="B1932" s="1" t="n">
        <v>43837</v>
      </c>
      <c r="C1932" s="1" t="n">
        <v>45357</v>
      </c>
      <c r="D1932" t="inlineStr">
        <is>
          <t>GÄVLEBORGS LÄN</t>
        </is>
      </c>
      <c r="E1932" t="inlineStr">
        <is>
          <t>NORDANSTIG</t>
        </is>
      </c>
      <c r="F1932" t="inlineStr">
        <is>
          <t>Naturvårdsverket</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302-2020</t>
        </is>
      </c>
      <c r="B1933" s="1" t="n">
        <v>43837</v>
      </c>
      <c r="C1933" s="1" t="n">
        <v>45357</v>
      </c>
      <c r="D1933" t="inlineStr">
        <is>
          <t>GÄVLEBORGS LÄN</t>
        </is>
      </c>
      <c r="E1933" t="inlineStr">
        <is>
          <t>BOLLNÄS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548-2020</t>
        </is>
      </c>
      <c r="B1934" s="1" t="n">
        <v>43837</v>
      </c>
      <c r="C1934" s="1" t="n">
        <v>45357</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562-2020</t>
        </is>
      </c>
      <c r="B1935" s="1" t="n">
        <v>43838</v>
      </c>
      <c r="C1935" s="1" t="n">
        <v>45357</v>
      </c>
      <c r="D1935" t="inlineStr">
        <is>
          <t>GÄVLEBORGS LÄN</t>
        </is>
      </c>
      <c r="E1935" t="inlineStr">
        <is>
          <t>LJUSDAL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743-2020</t>
        </is>
      </c>
      <c r="B1936" s="1" t="n">
        <v>43838</v>
      </c>
      <c r="C1936" s="1" t="n">
        <v>45357</v>
      </c>
      <c r="D1936" t="inlineStr">
        <is>
          <t>GÄVLEBORGS LÄN</t>
        </is>
      </c>
      <c r="E1936" t="inlineStr">
        <is>
          <t>GÄVLE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977-2020</t>
        </is>
      </c>
      <c r="B1937" s="1" t="n">
        <v>43839</v>
      </c>
      <c r="C1937" s="1" t="n">
        <v>45357</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1008-2020</t>
        </is>
      </c>
      <c r="B1938" s="1" t="n">
        <v>43839</v>
      </c>
      <c r="C1938" s="1" t="n">
        <v>45357</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1122-2020</t>
        </is>
      </c>
      <c r="B1939" s="1" t="n">
        <v>43840</v>
      </c>
      <c r="C1939" s="1" t="n">
        <v>45357</v>
      </c>
      <c r="D1939" t="inlineStr">
        <is>
          <t>GÄVLEBORGS LÄN</t>
        </is>
      </c>
      <c r="E1939" t="inlineStr">
        <is>
          <t>NORDANSTIG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1118-2020</t>
        </is>
      </c>
      <c r="B1940" s="1" t="n">
        <v>43840</v>
      </c>
      <c r="C1940" s="1" t="n">
        <v>45357</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1231-2020</t>
        </is>
      </c>
      <c r="B1941" s="1" t="n">
        <v>43840</v>
      </c>
      <c r="C1941" s="1" t="n">
        <v>45357</v>
      </c>
      <c r="D1941" t="inlineStr">
        <is>
          <t>GÄVLEBORGS LÄN</t>
        </is>
      </c>
      <c r="E1941" t="inlineStr">
        <is>
          <t>LJUSDAL</t>
        </is>
      </c>
      <c r="F1941" t="inlineStr">
        <is>
          <t>Kommuner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1265-2020</t>
        </is>
      </c>
      <c r="B1942" s="1" t="n">
        <v>43840</v>
      </c>
      <c r="C1942" s="1" t="n">
        <v>45357</v>
      </c>
      <c r="D1942" t="inlineStr">
        <is>
          <t>GÄVLEBORGS LÄN</t>
        </is>
      </c>
      <c r="E1942" t="inlineStr">
        <is>
          <t>HUDIKSVALL</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2398-2020</t>
        </is>
      </c>
      <c r="B1943" s="1" t="n">
        <v>43840</v>
      </c>
      <c r="C1943" s="1" t="n">
        <v>45357</v>
      </c>
      <c r="D1943" t="inlineStr">
        <is>
          <t>GÄVLEBORGS LÄN</t>
        </is>
      </c>
      <c r="E1943" t="inlineStr">
        <is>
          <t>BOLLNÄS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1163-2020</t>
        </is>
      </c>
      <c r="B1944" s="1" t="n">
        <v>43840</v>
      </c>
      <c r="C1944" s="1" t="n">
        <v>45357</v>
      </c>
      <c r="D1944" t="inlineStr">
        <is>
          <t>GÄVLEBORGS LÄN</t>
        </is>
      </c>
      <c r="E1944" t="inlineStr">
        <is>
          <t>OCKELBO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2395-2020</t>
        </is>
      </c>
      <c r="B1945" s="1" t="n">
        <v>43840</v>
      </c>
      <c r="C1945" s="1" t="n">
        <v>45357</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1451-2020</t>
        </is>
      </c>
      <c r="B1946" s="1" t="n">
        <v>43843</v>
      </c>
      <c r="C1946" s="1" t="n">
        <v>45357</v>
      </c>
      <c r="D1946" t="inlineStr">
        <is>
          <t>GÄVLEBORGS LÄN</t>
        </is>
      </c>
      <c r="E1946" t="inlineStr">
        <is>
          <t>OCKELBO</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1477-2020</t>
        </is>
      </c>
      <c r="B1947" s="1" t="n">
        <v>43843</v>
      </c>
      <c r="C1947" s="1" t="n">
        <v>45357</v>
      </c>
      <c r="D1947" t="inlineStr">
        <is>
          <t>GÄVLEBORGS LÄN</t>
        </is>
      </c>
      <c r="E1947" t="inlineStr">
        <is>
          <t>BOLLNÄS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4864-2020</t>
        </is>
      </c>
      <c r="B1948" s="1" t="n">
        <v>43843</v>
      </c>
      <c r="C1948" s="1" t="n">
        <v>45357</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1916-2020</t>
        </is>
      </c>
      <c r="B1949" s="1" t="n">
        <v>43845</v>
      </c>
      <c r="C1949" s="1" t="n">
        <v>45357</v>
      </c>
      <c r="D1949" t="inlineStr">
        <is>
          <t>GÄVLEBORGS LÄN</t>
        </is>
      </c>
      <c r="E1949" t="inlineStr">
        <is>
          <t>SANDVIKEN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1926-2020</t>
        </is>
      </c>
      <c r="B1950" s="1" t="n">
        <v>43845</v>
      </c>
      <c r="C1950" s="1" t="n">
        <v>45357</v>
      </c>
      <c r="D1950" t="inlineStr">
        <is>
          <t>GÄVLEBORGS LÄN</t>
        </is>
      </c>
      <c r="E1950" t="inlineStr">
        <is>
          <t>SÖDERHAMN</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2033-2020</t>
        </is>
      </c>
      <c r="B1951" s="1" t="n">
        <v>43845</v>
      </c>
      <c r="C1951" s="1" t="n">
        <v>45357</v>
      </c>
      <c r="D1951" t="inlineStr">
        <is>
          <t>GÄVLEBORGS LÄN</t>
        </is>
      </c>
      <c r="E1951" t="inlineStr">
        <is>
          <t>HUDIKSVALL</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2282-2020</t>
        </is>
      </c>
      <c r="B1952" s="1" t="n">
        <v>43846</v>
      </c>
      <c r="C1952" s="1" t="n">
        <v>45357</v>
      </c>
      <c r="D1952" t="inlineStr">
        <is>
          <t>GÄVLEBORGS LÄN</t>
        </is>
      </c>
      <c r="E1952" t="inlineStr">
        <is>
          <t>OVANÅKER</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2270-2020</t>
        </is>
      </c>
      <c r="B1953" s="1" t="n">
        <v>43846</v>
      </c>
      <c r="C1953" s="1" t="n">
        <v>45357</v>
      </c>
      <c r="D1953" t="inlineStr">
        <is>
          <t>GÄVLEBORGS LÄN</t>
        </is>
      </c>
      <c r="E1953" t="inlineStr">
        <is>
          <t>OVANÅKER</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2281-2020</t>
        </is>
      </c>
      <c r="B1954" s="1" t="n">
        <v>43846</v>
      </c>
      <c r="C1954" s="1" t="n">
        <v>45357</v>
      </c>
      <c r="D1954" t="inlineStr">
        <is>
          <t>GÄVLEBORGS LÄN</t>
        </is>
      </c>
      <c r="E1954" t="inlineStr">
        <is>
          <t>BOLLNÄS</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2286-2020</t>
        </is>
      </c>
      <c r="B1955" s="1" t="n">
        <v>43846</v>
      </c>
      <c r="C1955" s="1" t="n">
        <v>45357</v>
      </c>
      <c r="D1955" t="inlineStr">
        <is>
          <t>GÄVLEBORGS LÄN</t>
        </is>
      </c>
      <c r="E1955" t="inlineStr">
        <is>
          <t>OVANÅKER</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2274-2020</t>
        </is>
      </c>
      <c r="B1956" s="1" t="n">
        <v>43846</v>
      </c>
      <c r="C1956" s="1" t="n">
        <v>45357</v>
      </c>
      <c r="D1956" t="inlineStr">
        <is>
          <t>GÄVLEBORGS LÄN</t>
        </is>
      </c>
      <c r="E1956" t="inlineStr">
        <is>
          <t>OVANÅKER</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2273-2020</t>
        </is>
      </c>
      <c r="B1957" s="1" t="n">
        <v>43846</v>
      </c>
      <c r="C1957" s="1" t="n">
        <v>45357</v>
      </c>
      <c r="D1957" t="inlineStr">
        <is>
          <t>GÄVLEBORGS LÄN</t>
        </is>
      </c>
      <c r="E1957" t="inlineStr">
        <is>
          <t>OVANÅKER</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2607-2020</t>
        </is>
      </c>
      <c r="B1958" s="1" t="n">
        <v>43847</v>
      </c>
      <c r="C1958" s="1" t="n">
        <v>45357</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2540-2020</t>
        </is>
      </c>
      <c r="B1959" s="1" t="n">
        <v>43847</v>
      </c>
      <c r="C1959" s="1" t="n">
        <v>45357</v>
      </c>
      <c r="D1959" t="inlineStr">
        <is>
          <t>GÄVLEBORGS LÄN</t>
        </is>
      </c>
      <c r="E1959" t="inlineStr">
        <is>
          <t>HUDIKSVALL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2567-2020</t>
        </is>
      </c>
      <c r="B1960" s="1" t="n">
        <v>43847</v>
      </c>
      <c r="C1960" s="1" t="n">
        <v>45357</v>
      </c>
      <c r="D1960" t="inlineStr">
        <is>
          <t>GÄVLEBORGS LÄN</t>
        </is>
      </c>
      <c r="E1960" t="inlineStr">
        <is>
          <t>HUDIKSVALL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2645-2020</t>
        </is>
      </c>
      <c r="B1961" s="1" t="n">
        <v>43847</v>
      </c>
      <c r="C1961" s="1" t="n">
        <v>45357</v>
      </c>
      <c r="D1961" t="inlineStr">
        <is>
          <t>GÄVLEBORGS LÄN</t>
        </is>
      </c>
      <c r="E1961" t="inlineStr">
        <is>
          <t>NORDANSTIG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2615-2020</t>
        </is>
      </c>
      <c r="B1962" s="1" t="n">
        <v>43847</v>
      </c>
      <c r="C1962" s="1" t="n">
        <v>45357</v>
      </c>
      <c r="D1962" t="inlineStr">
        <is>
          <t>GÄVLEBORGS LÄN</t>
        </is>
      </c>
      <c r="E1962" t="inlineStr">
        <is>
          <t>NORDANSTIG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2689-2020</t>
        </is>
      </c>
      <c r="B1963" s="1" t="n">
        <v>43850</v>
      </c>
      <c r="C1963" s="1" t="n">
        <v>45357</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2870-2020</t>
        </is>
      </c>
      <c r="B1964" s="1" t="n">
        <v>43850</v>
      </c>
      <c r="C1964" s="1" t="n">
        <v>45357</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2973-2020</t>
        </is>
      </c>
      <c r="B1965" s="1" t="n">
        <v>43850</v>
      </c>
      <c r="C1965" s="1" t="n">
        <v>45357</v>
      </c>
      <c r="D1965" t="inlineStr">
        <is>
          <t>GÄVLEBORGS LÄN</t>
        </is>
      </c>
      <c r="E1965" t="inlineStr">
        <is>
          <t>LJUSDAL</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2786-2020</t>
        </is>
      </c>
      <c r="B1966" s="1" t="n">
        <v>43850</v>
      </c>
      <c r="C1966" s="1" t="n">
        <v>45357</v>
      </c>
      <c r="D1966" t="inlineStr">
        <is>
          <t>GÄVLEBORGS LÄN</t>
        </is>
      </c>
      <c r="E1966" t="inlineStr">
        <is>
          <t>GÄVLE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2775-2020</t>
        </is>
      </c>
      <c r="B1967" s="1" t="n">
        <v>43850</v>
      </c>
      <c r="C1967" s="1" t="n">
        <v>45357</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2972-2020</t>
        </is>
      </c>
      <c r="B1968" s="1" t="n">
        <v>43850</v>
      </c>
      <c r="C1968" s="1" t="n">
        <v>45357</v>
      </c>
      <c r="D1968" t="inlineStr">
        <is>
          <t>GÄVLEBORGS LÄN</t>
        </is>
      </c>
      <c r="E1968" t="inlineStr">
        <is>
          <t>LJUSDAL</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2979-2020</t>
        </is>
      </c>
      <c r="B1969" s="1" t="n">
        <v>43850</v>
      </c>
      <c r="C1969" s="1" t="n">
        <v>45357</v>
      </c>
      <c r="D1969" t="inlineStr">
        <is>
          <t>GÄVLEBORGS LÄN</t>
        </is>
      </c>
      <c r="E1969" t="inlineStr">
        <is>
          <t>SÖDERHAMN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2680-2020</t>
        </is>
      </c>
      <c r="B1970" s="1" t="n">
        <v>43850</v>
      </c>
      <c r="C1970" s="1" t="n">
        <v>45357</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2953-2020</t>
        </is>
      </c>
      <c r="B1971" s="1" t="n">
        <v>43850</v>
      </c>
      <c r="C1971" s="1" t="n">
        <v>45357</v>
      </c>
      <c r="D1971" t="inlineStr">
        <is>
          <t>GÄVLEBORGS LÄN</t>
        </is>
      </c>
      <c r="E1971" t="inlineStr">
        <is>
          <t>LJUSDAL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3110-2020</t>
        </is>
      </c>
      <c r="B1972" s="1" t="n">
        <v>43851</v>
      </c>
      <c r="C1972" s="1" t="n">
        <v>45357</v>
      </c>
      <c r="D1972" t="inlineStr">
        <is>
          <t>GÄVLEBORGS LÄN</t>
        </is>
      </c>
      <c r="E1972" t="inlineStr">
        <is>
          <t>LJUSDAL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3136-2020</t>
        </is>
      </c>
      <c r="B1973" s="1" t="n">
        <v>43851</v>
      </c>
      <c r="C1973" s="1" t="n">
        <v>45357</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3210-2020</t>
        </is>
      </c>
      <c r="B1974" s="1" t="n">
        <v>43851</v>
      </c>
      <c r="C1974" s="1" t="n">
        <v>45357</v>
      </c>
      <c r="D1974" t="inlineStr">
        <is>
          <t>GÄVLEBORGS LÄN</t>
        </is>
      </c>
      <c r="E1974" t="inlineStr">
        <is>
          <t>SANDVIKEN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3319-2020</t>
        </is>
      </c>
      <c r="B1975" s="1" t="n">
        <v>43852</v>
      </c>
      <c r="C1975" s="1" t="n">
        <v>45357</v>
      </c>
      <c r="D1975" t="inlineStr">
        <is>
          <t>GÄVLEBORGS LÄN</t>
        </is>
      </c>
      <c r="E1975" t="inlineStr">
        <is>
          <t>OVANÅKER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3282-2020</t>
        </is>
      </c>
      <c r="B1976" s="1" t="n">
        <v>43852</v>
      </c>
      <c r="C1976" s="1" t="n">
        <v>45357</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3289-2020</t>
        </is>
      </c>
      <c r="B1977" s="1" t="n">
        <v>43852</v>
      </c>
      <c r="C1977" s="1" t="n">
        <v>45357</v>
      </c>
      <c r="D1977" t="inlineStr">
        <is>
          <t>GÄVLEBORGS LÄN</t>
        </is>
      </c>
      <c r="E1977" t="inlineStr">
        <is>
          <t>BOLLNÄS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3383-2020</t>
        </is>
      </c>
      <c r="B1978" s="1" t="n">
        <v>43852</v>
      </c>
      <c r="C1978" s="1" t="n">
        <v>45357</v>
      </c>
      <c r="D1978" t="inlineStr">
        <is>
          <t>GÄVLEBORGS LÄN</t>
        </is>
      </c>
      <c r="E1978" t="inlineStr">
        <is>
          <t>GÄVLE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3445-2020</t>
        </is>
      </c>
      <c r="B1979" s="1" t="n">
        <v>43852</v>
      </c>
      <c r="C1979" s="1" t="n">
        <v>45357</v>
      </c>
      <c r="D1979" t="inlineStr">
        <is>
          <t>GÄVLEBORGS LÄN</t>
        </is>
      </c>
      <c r="E1979" t="inlineStr">
        <is>
          <t>HUDIKSVALL</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3395-2020</t>
        </is>
      </c>
      <c r="B1980" s="1" t="n">
        <v>43852</v>
      </c>
      <c r="C1980" s="1" t="n">
        <v>45357</v>
      </c>
      <c r="D1980" t="inlineStr">
        <is>
          <t>GÄVLEBORGS LÄN</t>
        </is>
      </c>
      <c r="E1980" t="inlineStr">
        <is>
          <t>OVANÅKER</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3854-2020</t>
        </is>
      </c>
      <c r="B1981" s="1" t="n">
        <v>43854</v>
      </c>
      <c r="C1981" s="1" t="n">
        <v>45357</v>
      </c>
      <c r="D1981" t="inlineStr">
        <is>
          <t>GÄVLEBORGS LÄN</t>
        </is>
      </c>
      <c r="E1981" t="inlineStr">
        <is>
          <t>GÄVLE</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3893-2020</t>
        </is>
      </c>
      <c r="B1982" s="1" t="n">
        <v>43854</v>
      </c>
      <c r="C1982" s="1" t="n">
        <v>45357</v>
      </c>
      <c r="D1982" t="inlineStr">
        <is>
          <t>GÄVLEBORGS LÄN</t>
        </is>
      </c>
      <c r="E1982" t="inlineStr">
        <is>
          <t>OVANÅKER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3818-2020</t>
        </is>
      </c>
      <c r="B1983" s="1" t="n">
        <v>43854</v>
      </c>
      <c r="C1983" s="1" t="n">
        <v>45357</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3975-2020</t>
        </is>
      </c>
      <c r="B1984" s="1" t="n">
        <v>43854</v>
      </c>
      <c r="C1984" s="1" t="n">
        <v>45357</v>
      </c>
      <c r="D1984" t="inlineStr">
        <is>
          <t>GÄVLEBORGS LÄN</t>
        </is>
      </c>
      <c r="E1984" t="inlineStr">
        <is>
          <t>GÄVLE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5346-2020</t>
        </is>
      </c>
      <c r="B1985" s="1" t="n">
        <v>43854</v>
      </c>
      <c r="C1985" s="1" t="n">
        <v>45357</v>
      </c>
      <c r="D1985" t="inlineStr">
        <is>
          <t>GÄVLEBORGS LÄN</t>
        </is>
      </c>
      <c r="E1985" t="inlineStr">
        <is>
          <t>OVANÅKER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5344-2020</t>
        </is>
      </c>
      <c r="B1986" s="1" t="n">
        <v>43854</v>
      </c>
      <c r="C1986" s="1" t="n">
        <v>45357</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3974-2020</t>
        </is>
      </c>
      <c r="B1987" s="1" t="n">
        <v>43854</v>
      </c>
      <c r="C1987" s="1" t="n">
        <v>45357</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5340-2020</t>
        </is>
      </c>
      <c r="B1988" s="1" t="n">
        <v>43854</v>
      </c>
      <c r="C1988" s="1" t="n">
        <v>45357</v>
      </c>
      <c r="D1988" t="inlineStr">
        <is>
          <t>GÄVLEBORGS LÄN</t>
        </is>
      </c>
      <c r="E1988" t="inlineStr">
        <is>
          <t>OVANÅKER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5351-2020</t>
        </is>
      </c>
      <c r="B1989" s="1" t="n">
        <v>43854</v>
      </c>
      <c r="C1989" s="1" t="n">
        <v>45357</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3976-2020</t>
        </is>
      </c>
      <c r="B1990" s="1" t="n">
        <v>43855</v>
      </c>
      <c r="C1990" s="1" t="n">
        <v>45357</v>
      </c>
      <c r="D1990" t="inlineStr">
        <is>
          <t>GÄVLEBORGS LÄN</t>
        </is>
      </c>
      <c r="E1990" t="inlineStr">
        <is>
          <t>GÄVLE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4220-2020</t>
        </is>
      </c>
      <c r="B1991" s="1" t="n">
        <v>43857</v>
      </c>
      <c r="C1991" s="1" t="n">
        <v>45357</v>
      </c>
      <c r="D1991" t="inlineStr">
        <is>
          <t>GÄVLEBORGS LÄN</t>
        </is>
      </c>
      <c r="E1991" t="inlineStr">
        <is>
          <t>OCKELBO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4225-2020</t>
        </is>
      </c>
      <c r="B1992" s="1" t="n">
        <v>43857</v>
      </c>
      <c r="C1992" s="1" t="n">
        <v>45357</v>
      </c>
      <c r="D1992" t="inlineStr">
        <is>
          <t>GÄVLEBORGS LÄN</t>
        </is>
      </c>
      <c r="E1992" t="inlineStr">
        <is>
          <t>NORDANSTIG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4185-2020</t>
        </is>
      </c>
      <c r="B1993" s="1" t="n">
        <v>43857</v>
      </c>
      <c r="C1993" s="1" t="n">
        <v>45357</v>
      </c>
      <c r="D1993" t="inlineStr">
        <is>
          <t>GÄVLEBORGS LÄN</t>
        </is>
      </c>
      <c r="E1993" t="inlineStr">
        <is>
          <t>SÖDERHAMN</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4451-2020</t>
        </is>
      </c>
      <c r="B1994" s="1" t="n">
        <v>43858</v>
      </c>
      <c r="C1994" s="1" t="n">
        <v>45357</v>
      </c>
      <c r="D1994" t="inlineStr">
        <is>
          <t>GÄVLEBORGS LÄN</t>
        </is>
      </c>
      <c r="E1994" t="inlineStr">
        <is>
          <t>LJUSDAL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4625-2020</t>
        </is>
      </c>
      <c r="B1995" s="1" t="n">
        <v>43858</v>
      </c>
      <c r="C1995" s="1" t="n">
        <v>45357</v>
      </c>
      <c r="D1995" t="inlineStr">
        <is>
          <t>GÄVLEBORGS LÄN</t>
        </is>
      </c>
      <c r="E1995" t="inlineStr">
        <is>
          <t>OCKELBO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4554-2020</t>
        </is>
      </c>
      <c r="B1996" s="1" t="n">
        <v>43858</v>
      </c>
      <c r="C1996" s="1" t="n">
        <v>45357</v>
      </c>
      <c r="D1996" t="inlineStr">
        <is>
          <t>GÄVLEBORGS LÄN</t>
        </is>
      </c>
      <c r="E1996" t="inlineStr">
        <is>
          <t>HUDIKSVALL</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4697-2020</t>
        </is>
      </c>
      <c r="B1997" s="1" t="n">
        <v>43858</v>
      </c>
      <c r="C1997" s="1" t="n">
        <v>45357</v>
      </c>
      <c r="D1997" t="inlineStr">
        <is>
          <t>GÄVLEBORGS LÄN</t>
        </is>
      </c>
      <c r="E1997" t="inlineStr">
        <is>
          <t>SANDVIKEN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4696-2020</t>
        </is>
      </c>
      <c r="B1998" s="1" t="n">
        <v>43858</v>
      </c>
      <c r="C1998" s="1" t="n">
        <v>45357</v>
      </c>
      <c r="D1998" t="inlineStr">
        <is>
          <t>GÄVLEBORGS LÄN</t>
        </is>
      </c>
      <c r="E1998" t="inlineStr">
        <is>
          <t>SANDVIKEN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4374-2020</t>
        </is>
      </c>
      <c r="B1999" s="1" t="n">
        <v>43858</v>
      </c>
      <c r="C1999" s="1" t="n">
        <v>45357</v>
      </c>
      <c r="D1999" t="inlineStr">
        <is>
          <t>GÄVLEBORGS LÄN</t>
        </is>
      </c>
      <c r="E1999" t="inlineStr">
        <is>
          <t>BOLLNÄS</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4816-2020</t>
        </is>
      </c>
      <c r="B2000" s="1" t="n">
        <v>43859</v>
      </c>
      <c r="C2000" s="1" t="n">
        <v>45357</v>
      </c>
      <c r="D2000" t="inlineStr">
        <is>
          <t>GÄVLEBORGS LÄN</t>
        </is>
      </c>
      <c r="E2000" t="inlineStr">
        <is>
          <t>OVANÅKER</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4972-2020</t>
        </is>
      </c>
      <c r="B2001" s="1" t="n">
        <v>43859</v>
      </c>
      <c r="C2001" s="1" t="n">
        <v>45357</v>
      </c>
      <c r="D2001" t="inlineStr">
        <is>
          <t>GÄVLEBORGS LÄN</t>
        </is>
      </c>
      <c r="E2001" t="inlineStr">
        <is>
          <t>HUDIKSVALL</t>
        </is>
      </c>
      <c r="G2001" t="n">
        <v>26.2</v>
      </c>
      <c r="H2001" t="n">
        <v>0</v>
      </c>
      <c r="I2001" t="n">
        <v>0</v>
      </c>
      <c r="J2001" t="n">
        <v>0</v>
      </c>
      <c r="K2001" t="n">
        <v>0</v>
      </c>
      <c r="L2001" t="n">
        <v>0</v>
      </c>
      <c r="M2001" t="n">
        <v>0</v>
      </c>
      <c r="N2001" t="n">
        <v>0</v>
      </c>
      <c r="O2001" t="n">
        <v>0</v>
      </c>
      <c r="P2001" t="n">
        <v>0</v>
      </c>
      <c r="Q2001" t="n">
        <v>0</v>
      </c>
      <c r="R2001" s="2" t="inlineStr"/>
    </row>
    <row r="2002" ht="15" customHeight="1">
      <c r="A2002" t="inlineStr">
        <is>
          <t>A 5289-2020</t>
        </is>
      </c>
      <c r="B2002" s="1" t="n">
        <v>43860</v>
      </c>
      <c r="C2002" s="1" t="n">
        <v>45357</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5183-2020</t>
        </is>
      </c>
      <c r="B2003" s="1" t="n">
        <v>43860</v>
      </c>
      <c r="C2003" s="1" t="n">
        <v>45357</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5379-2020</t>
        </is>
      </c>
      <c r="B2004" s="1" t="n">
        <v>43860</v>
      </c>
      <c r="C2004" s="1" t="n">
        <v>45357</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5562-2020</t>
        </is>
      </c>
      <c r="B2005" s="1" t="n">
        <v>43861</v>
      </c>
      <c r="C2005" s="1" t="n">
        <v>45357</v>
      </c>
      <c r="D2005" t="inlineStr">
        <is>
          <t>GÄVLEBORGS LÄN</t>
        </is>
      </c>
      <c r="E2005" t="inlineStr">
        <is>
          <t>LJUSDAL</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5809-2020</t>
        </is>
      </c>
      <c r="B2006" s="1" t="n">
        <v>43864</v>
      </c>
      <c r="C2006" s="1" t="n">
        <v>45357</v>
      </c>
      <c r="D2006" t="inlineStr">
        <is>
          <t>GÄVLEBORGS LÄN</t>
        </is>
      </c>
      <c r="E2006" t="inlineStr">
        <is>
          <t>SANDVIKEN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6117-2020</t>
        </is>
      </c>
      <c r="B2007" s="1" t="n">
        <v>43865</v>
      </c>
      <c r="C2007" s="1" t="n">
        <v>45357</v>
      </c>
      <c r="D2007" t="inlineStr">
        <is>
          <t>GÄVLEBORGS LÄN</t>
        </is>
      </c>
      <c r="E2007" t="inlineStr">
        <is>
          <t>LJUSDAL</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6190-2020</t>
        </is>
      </c>
      <c r="B2008" s="1" t="n">
        <v>43865</v>
      </c>
      <c r="C2008" s="1" t="n">
        <v>45357</v>
      </c>
      <c r="D2008" t="inlineStr">
        <is>
          <t>GÄVLEBORGS LÄN</t>
        </is>
      </c>
      <c r="E2008" t="inlineStr">
        <is>
          <t>SANDVIKEN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6041-2020</t>
        </is>
      </c>
      <c r="B2009" s="1" t="n">
        <v>43865</v>
      </c>
      <c r="C2009" s="1" t="n">
        <v>45357</v>
      </c>
      <c r="D2009" t="inlineStr">
        <is>
          <t>GÄVLEBORGS LÄN</t>
        </is>
      </c>
      <c r="E2009" t="inlineStr">
        <is>
          <t>BOLLNÄS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6046-2020</t>
        </is>
      </c>
      <c r="B2010" s="1" t="n">
        <v>43865</v>
      </c>
      <c r="C2010" s="1" t="n">
        <v>45357</v>
      </c>
      <c r="D2010" t="inlineStr">
        <is>
          <t>GÄVLEBORGS LÄN</t>
        </is>
      </c>
      <c r="E2010" t="inlineStr">
        <is>
          <t>GÄVLE</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6389-2020</t>
        </is>
      </c>
      <c r="B2011" s="1" t="n">
        <v>43866</v>
      </c>
      <c r="C2011" s="1" t="n">
        <v>45357</v>
      </c>
      <c r="D2011" t="inlineStr">
        <is>
          <t>GÄVLEBORGS LÄN</t>
        </is>
      </c>
      <c r="E2011" t="inlineStr">
        <is>
          <t>LJUSDAL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6638-2020</t>
        </is>
      </c>
      <c r="B2012" s="1" t="n">
        <v>43867</v>
      </c>
      <c r="C2012" s="1" t="n">
        <v>45357</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6603-2020</t>
        </is>
      </c>
      <c r="B2013" s="1" t="n">
        <v>43867</v>
      </c>
      <c r="C2013" s="1" t="n">
        <v>45357</v>
      </c>
      <c r="D2013" t="inlineStr">
        <is>
          <t>GÄVLEBORGS LÄN</t>
        </is>
      </c>
      <c r="E2013" t="inlineStr">
        <is>
          <t>HUDIKSVALL</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6626-2020</t>
        </is>
      </c>
      <c r="B2014" s="1" t="n">
        <v>43867</v>
      </c>
      <c r="C2014" s="1" t="n">
        <v>45357</v>
      </c>
      <c r="D2014" t="inlineStr">
        <is>
          <t>GÄVLEBORGS LÄN</t>
        </is>
      </c>
      <c r="E2014" t="inlineStr">
        <is>
          <t>SANDVIKEN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6645-2020</t>
        </is>
      </c>
      <c r="B2015" s="1" t="n">
        <v>43867</v>
      </c>
      <c r="C2015" s="1" t="n">
        <v>45357</v>
      </c>
      <c r="D2015" t="inlineStr">
        <is>
          <t>GÄVLEBORGS LÄN</t>
        </is>
      </c>
      <c r="E2015" t="inlineStr">
        <is>
          <t>HOFORS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6678-2020</t>
        </is>
      </c>
      <c r="B2016" s="1" t="n">
        <v>43867</v>
      </c>
      <c r="C2016" s="1" t="n">
        <v>45357</v>
      </c>
      <c r="D2016" t="inlineStr">
        <is>
          <t>GÄVLEBORGS LÄN</t>
        </is>
      </c>
      <c r="E2016" t="inlineStr">
        <is>
          <t>HOFORS</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7101-2020</t>
        </is>
      </c>
      <c r="B2017" s="1" t="n">
        <v>43868</v>
      </c>
      <c r="C2017" s="1" t="n">
        <v>45357</v>
      </c>
      <c r="D2017" t="inlineStr">
        <is>
          <t>GÄVLEBORGS LÄN</t>
        </is>
      </c>
      <c r="E2017" t="inlineStr">
        <is>
          <t>HUDIKSVALL</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6995-2020</t>
        </is>
      </c>
      <c r="B2018" s="1" t="n">
        <v>43868</v>
      </c>
      <c r="C2018" s="1" t="n">
        <v>45357</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7240-2020</t>
        </is>
      </c>
      <c r="B2019" s="1" t="n">
        <v>43871</v>
      </c>
      <c r="C2019" s="1" t="n">
        <v>45357</v>
      </c>
      <c r="D2019" t="inlineStr">
        <is>
          <t>GÄVLEBORGS LÄN</t>
        </is>
      </c>
      <c r="E2019" t="inlineStr">
        <is>
          <t>GÄVLE</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7205-2020</t>
        </is>
      </c>
      <c r="B2020" s="1" t="n">
        <v>43871</v>
      </c>
      <c r="C2020" s="1" t="n">
        <v>45357</v>
      </c>
      <c r="D2020" t="inlineStr">
        <is>
          <t>GÄVLEBORGS LÄN</t>
        </is>
      </c>
      <c r="E2020" t="inlineStr">
        <is>
          <t>SANDVIKEN</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7237-2020</t>
        </is>
      </c>
      <c r="B2021" s="1" t="n">
        <v>43871</v>
      </c>
      <c r="C2021" s="1" t="n">
        <v>45357</v>
      </c>
      <c r="D2021" t="inlineStr">
        <is>
          <t>GÄVLEBORGS LÄN</t>
        </is>
      </c>
      <c r="E2021" t="inlineStr">
        <is>
          <t>BOLLNÄS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7348-2020</t>
        </is>
      </c>
      <c r="B2022" s="1" t="n">
        <v>43871</v>
      </c>
      <c r="C2022" s="1" t="n">
        <v>45357</v>
      </c>
      <c r="D2022" t="inlineStr">
        <is>
          <t>GÄVLEBORGS LÄN</t>
        </is>
      </c>
      <c r="E2022" t="inlineStr">
        <is>
          <t>SANDVIKEN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7208-2020</t>
        </is>
      </c>
      <c r="B2023" s="1" t="n">
        <v>43871</v>
      </c>
      <c r="C2023" s="1" t="n">
        <v>45357</v>
      </c>
      <c r="D2023" t="inlineStr">
        <is>
          <t>GÄVLEBORGS LÄN</t>
        </is>
      </c>
      <c r="E2023" t="inlineStr">
        <is>
          <t>SANDVIKEN</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7387-2020</t>
        </is>
      </c>
      <c r="B2024" s="1" t="n">
        <v>43871</v>
      </c>
      <c r="C2024" s="1" t="n">
        <v>45357</v>
      </c>
      <c r="D2024" t="inlineStr">
        <is>
          <t>GÄVLEBORGS LÄN</t>
        </is>
      </c>
      <c r="E2024" t="inlineStr">
        <is>
          <t>SÖDERHAMN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7282-2020</t>
        </is>
      </c>
      <c r="B2025" s="1" t="n">
        <v>43871</v>
      </c>
      <c r="C2025" s="1" t="n">
        <v>45357</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7483-2020</t>
        </is>
      </c>
      <c r="B2026" s="1" t="n">
        <v>43871</v>
      </c>
      <c r="C2026" s="1" t="n">
        <v>45357</v>
      </c>
      <c r="D2026" t="inlineStr">
        <is>
          <t>GÄVLEBORGS LÄN</t>
        </is>
      </c>
      <c r="E2026" t="inlineStr">
        <is>
          <t>BOLLNÄS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7389-2020</t>
        </is>
      </c>
      <c r="B2027" s="1" t="n">
        <v>43871</v>
      </c>
      <c r="C2027" s="1" t="n">
        <v>45357</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7202-2020</t>
        </is>
      </c>
      <c r="B2028" s="1" t="n">
        <v>43871</v>
      </c>
      <c r="C2028" s="1" t="n">
        <v>45357</v>
      </c>
      <c r="D2028" t="inlineStr">
        <is>
          <t>GÄVLEBORGS LÄN</t>
        </is>
      </c>
      <c r="E2028" t="inlineStr">
        <is>
          <t>SANDVIKEN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7521-2020</t>
        </is>
      </c>
      <c r="B2029" s="1" t="n">
        <v>43872</v>
      </c>
      <c r="C2029" s="1" t="n">
        <v>45357</v>
      </c>
      <c r="D2029" t="inlineStr">
        <is>
          <t>GÄVLEBORGS LÄN</t>
        </is>
      </c>
      <c r="E2029" t="inlineStr">
        <is>
          <t>HUDIKSVALL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7636-2020</t>
        </is>
      </c>
      <c r="B2030" s="1" t="n">
        <v>43872</v>
      </c>
      <c r="C2030" s="1" t="n">
        <v>45357</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7725-2020</t>
        </is>
      </c>
      <c r="B2031" s="1" t="n">
        <v>43872</v>
      </c>
      <c r="C2031" s="1" t="n">
        <v>45357</v>
      </c>
      <c r="D2031" t="inlineStr">
        <is>
          <t>GÄVLEBORGS LÄN</t>
        </is>
      </c>
      <c r="E2031" t="inlineStr">
        <is>
          <t>GÄVLE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7871-2020</t>
        </is>
      </c>
      <c r="B2032" s="1" t="n">
        <v>43873</v>
      </c>
      <c r="C2032" s="1" t="n">
        <v>45357</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7942-2020</t>
        </is>
      </c>
      <c r="B2033" s="1" t="n">
        <v>43873</v>
      </c>
      <c r="C2033" s="1" t="n">
        <v>45357</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7982-2020</t>
        </is>
      </c>
      <c r="B2034" s="1" t="n">
        <v>43873</v>
      </c>
      <c r="C2034" s="1" t="n">
        <v>45357</v>
      </c>
      <c r="D2034" t="inlineStr">
        <is>
          <t>GÄVLEBORGS LÄN</t>
        </is>
      </c>
      <c r="E2034" t="inlineStr">
        <is>
          <t>GÄVLE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7989-2020</t>
        </is>
      </c>
      <c r="B2035" s="1" t="n">
        <v>43873</v>
      </c>
      <c r="C2035" s="1" t="n">
        <v>45357</v>
      </c>
      <c r="D2035" t="inlineStr">
        <is>
          <t>GÄVLEBORGS LÄN</t>
        </is>
      </c>
      <c r="E2035" t="inlineStr">
        <is>
          <t>GÄVLE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7973-2020</t>
        </is>
      </c>
      <c r="B2036" s="1" t="n">
        <v>43873</v>
      </c>
      <c r="C2036" s="1" t="n">
        <v>45357</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7841-2020</t>
        </is>
      </c>
      <c r="B2037" s="1" t="n">
        <v>43873</v>
      </c>
      <c r="C2037" s="1" t="n">
        <v>45357</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8170-2020</t>
        </is>
      </c>
      <c r="B2038" s="1" t="n">
        <v>43874</v>
      </c>
      <c r="C2038" s="1" t="n">
        <v>45357</v>
      </c>
      <c r="D2038" t="inlineStr">
        <is>
          <t>GÄVLEBORGS LÄN</t>
        </is>
      </c>
      <c r="E2038" t="inlineStr">
        <is>
          <t>OVANÅKER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8183-2020</t>
        </is>
      </c>
      <c r="B2039" s="1" t="n">
        <v>43874</v>
      </c>
      <c r="C2039" s="1" t="n">
        <v>45357</v>
      </c>
      <c r="D2039" t="inlineStr">
        <is>
          <t>GÄVLEBORGS LÄN</t>
        </is>
      </c>
      <c r="E2039" t="inlineStr">
        <is>
          <t>BOLLNÄS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8273-2020</t>
        </is>
      </c>
      <c r="B2040" s="1" t="n">
        <v>43874</v>
      </c>
      <c r="C2040" s="1" t="n">
        <v>45357</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8173-2020</t>
        </is>
      </c>
      <c r="B2041" s="1" t="n">
        <v>43874</v>
      </c>
      <c r="C2041" s="1" t="n">
        <v>45357</v>
      </c>
      <c r="D2041" t="inlineStr">
        <is>
          <t>GÄVLEBORGS LÄN</t>
        </is>
      </c>
      <c r="E2041" t="inlineStr">
        <is>
          <t>OVANÅKER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8237-2020</t>
        </is>
      </c>
      <c r="B2042" s="1" t="n">
        <v>43874</v>
      </c>
      <c r="C2042" s="1" t="n">
        <v>45357</v>
      </c>
      <c r="D2042" t="inlineStr">
        <is>
          <t>GÄVLEBORGS LÄN</t>
        </is>
      </c>
      <c r="E2042" t="inlineStr">
        <is>
          <t>SANDVIKEN</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8143-2020</t>
        </is>
      </c>
      <c r="B2043" s="1" t="n">
        <v>43874</v>
      </c>
      <c r="C2043" s="1" t="n">
        <v>45357</v>
      </c>
      <c r="D2043" t="inlineStr">
        <is>
          <t>GÄVLEBORGS LÄN</t>
        </is>
      </c>
      <c r="E2043" t="inlineStr">
        <is>
          <t>SANDVIKEN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8357-2020</t>
        </is>
      </c>
      <c r="B2044" s="1" t="n">
        <v>43875</v>
      </c>
      <c r="C2044" s="1" t="n">
        <v>45357</v>
      </c>
      <c r="D2044" t="inlineStr">
        <is>
          <t>GÄVLEBORGS LÄN</t>
        </is>
      </c>
      <c r="E2044" t="inlineStr">
        <is>
          <t>HUDIKSVALL</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8381-2020</t>
        </is>
      </c>
      <c r="B2045" s="1" t="n">
        <v>43875</v>
      </c>
      <c r="C2045" s="1" t="n">
        <v>45357</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8450-2020</t>
        </is>
      </c>
      <c r="B2046" s="1" t="n">
        <v>43875</v>
      </c>
      <c r="C2046" s="1" t="n">
        <v>45357</v>
      </c>
      <c r="D2046" t="inlineStr">
        <is>
          <t>GÄVLEBORGS LÄN</t>
        </is>
      </c>
      <c r="E2046" t="inlineStr">
        <is>
          <t>HUDIKSVALL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8449-2020</t>
        </is>
      </c>
      <c r="B2047" s="1" t="n">
        <v>43875</v>
      </c>
      <c r="C2047" s="1" t="n">
        <v>45357</v>
      </c>
      <c r="D2047" t="inlineStr">
        <is>
          <t>GÄVLEBORGS LÄN</t>
        </is>
      </c>
      <c r="E2047" t="inlineStr">
        <is>
          <t>OVANÅKER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8659-2020</t>
        </is>
      </c>
      <c r="B2048" s="1" t="n">
        <v>43878</v>
      </c>
      <c r="C2048" s="1" t="n">
        <v>45357</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8581-2020</t>
        </is>
      </c>
      <c r="B2049" s="1" t="n">
        <v>43878</v>
      </c>
      <c r="C2049" s="1" t="n">
        <v>45357</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8633-2020</t>
        </is>
      </c>
      <c r="B2050" s="1" t="n">
        <v>43878</v>
      </c>
      <c r="C2050" s="1" t="n">
        <v>45357</v>
      </c>
      <c r="D2050" t="inlineStr">
        <is>
          <t>GÄVLEBORGS LÄN</t>
        </is>
      </c>
      <c r="E2050" t="inlineStr">
        <is>
          <t>BOLLNÄS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8623-2020</t>
        </is>
      </c>
      <c r="B2051" s="1" t="n">
        <v>43878</v>
      </c>
      <c r="C2051" s="1" t="n">
        <v>45357</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9003-2020</t>
        </is>
      </c>
      <c r="B2052" s="1" t="n">
        <v>43879</v>
      </c>
      <c r="C2052" s="1" t="n">
        <v>45357</v>
      </c>
      <c r="D2052" t="inlineStr">
        <is>
          <t>GÄVLEBORGS LÄN</t>
        </is>
      </c>
      <c r="E2052" t="inlineStr">
        <is>
          <t>HUDIKSVALL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9095-2020</t>
        </is>
      </c>
      <c r="B2053" s="1" t="n">
        <v>43879</v>
      </c>
      <c r="C2053" s="1" t="n">
        <v>45357</v>
      </c>
      <c r="D2053" t="inlineStr">
        <is>
          <t>GÄVLEBORGS LÄN</t>
        </is>
      </c>
      <c r="E2053" t="inlineStr">
        <is>
          <t>SANDVIKEN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9081-2020</t>
        </is>
      </c>
      <c r="B2054" s="1" t="n">
        <v>43879</v>
      </c>
      <c r="C2054" s="1" t="n">
        <v>45357</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9098-2020</t>
        </is>
      </c>
      <c r="B2055" s="1" t="n">
        <v>43879</v>
      </c>
      <c r="C2055" s="1" t="n">
        <v>45357</v>
      </c>
      <c r="D2055" t="inlineStr">
        <is>
          <t>GÄVLEBORGS LÄN</t>
        </is>
      </c>
      <c r="E2055" t="inlineStr">
        <is>
          <t>SANDVIKEN</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9206-2020</t>
        </is>
      </c>
      <c r="B2056" s="1" t="n">
        <v>43879</v>
      </c>
      <c r="C2056" s="1" t="n">
        <v>45357</v>
      </c>
      <c r="D2056" t="inlineStr">
        <is>
          <t>GÄVLEBORGS LÄN</t>
        </is>
      </c>
      <c r="E2056" t="inlineStr">
        <is>
          <t>LJUSDAL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9218-2020</t>
        </is>
      </c>
      <c r="B2057" s="1" t="n">
        <v>43879</v>
      </c>
      <c r="C2057" s="1" t="n">
        <v>45357</v>
      </c>
      <c r="D2057" t="inlineStr">
        <is>
          <t>GÄVLEBORGS LÄN</t>
        </is>
      </c>
      <c r="E2057" t="inlineStr">
        <is>
          <t>GÄVLE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9138-2020</t>
        </is>
      </c>
      <c r="B2058" s="1" t="n">
        <v>43879</v>
      </c>
      <c r="C2058" s="1" t="n">
        <v>45357</v>
      </c>
      <c r="D2058" t="inlineStr">
        <is>
          <t>GÄVLEBORGS LÄN</t>
        </is>
      </c>
      <c r="E2058" t="inlineStr">
        <is>
          <t>GÄVLE</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9293-2020</t>
        </is>
      </c>
      <c r="B2059" s="1" t="n">
        <v>43880</v>
      </c>
      <c r="C2059" s="1" t="n">
        <v>45357</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9531-2020</t>
        </is>
      </c>
      <c r="B2060" s="1" t="n">
        <v>43881</v>
      </c>
      <c r="C2060" s="1" t="n">
        <v>45357</v>
      </c>
      <c r="D2060" t="inlineStr">
        <is>
          <t>GÄVLEBORGS LÄN</t>
        </is>
      </c>
      <c r="E2060" t="inlineStr">
        <is>
          <t>HUDIKSVALL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9588-2020</t>
        </is>
      </c>
      <c r="B2061" s="1" t="n">
        <v>43881</v>
      </c>
      <c r="C2061" s="1" t="n">
        <v>45357</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9590-2020</t>
        </is>
      </c>
      <c r="B2062" s="1" t="n">
        <v>43881</v>
      </c>
      <c r="C2062" s="1" t="n">
        <v>45357</v>
      </c>
      <c r="D2062" t="inlineStr">
        <is>
          <t>GÄVLEBORGS LÄN</t>
        </is>
      </c>
      <c r="E2062" t="inlineStr">
        <is>
          <t>OVANÅKER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9593-2020</t>
        </is>
      </c>
      <c r="B2063" s="1" t="n">
        <v>43881</v>
      </c>
      <c r="C2063" s="1" t="n">
        <v>45357</v>
      </c>
      <c r="D2063" t="inlineStr">
        <is>
          <t>GÄVLEBORGS LÄN</t>
        </is>
      </c>
      <c r="E2063" t="inlineStr">
        <is>
          <t>BOLLNÄS</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9872-2020</t>
        </is>
      </c>
      <c r="B2064" s="1" t="n">
        <v>43882</v>
      </c>
      <c r="C2064" s="1" t="n">
        <v>45357</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10050-2020</t>
        </is>
      </c>
      <c r="B2065" s="1" t="n">
        <v>43882</v>
      </c>
      <c r="C2065" s="1" t="n">
        <v>45357</v>
      </c>
      <c r="D2065" t="inlineStr">
        <is>
          <t>GÄVLEBORGS LÄN</t>
        </is>
      </c>
      <c r="E2065" t="inlineStr">
        <is>
          <t>BOLLNÄS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10052-2020</t>
        </is>
      </c>
      <c r="B2066" s="1" t="n">
        <v>43882</v>
      </c>
      <c r="C2066" s="1" t="n">
        <v>45357</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10295-2020</t>
        </is>
      </c>
      <c r="B2067" s="1" t="n">
        <v>43885</v>
      </c>
      <c r="C2067" s="1" t="n">
        <v>45357</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10952-2020</t>
        </is>
      </c>
      <c r="B2068" s="1" t="n">
        <v>43885</v>
      </c>
      <c r="C2068" s="1" t="n">
        <v>45357</v>
      </c>
      <c r="D2068" t="inlineStr">
        <is>
          <t>GÄVLEBORGS LÄN</t>
        </is>
      </c>
      <c r="E2068" t="inlineStr">
        <is>
          <t>SÖDERHAMN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10509-2020</t>
        </is>
      </c>
      <c r="B2069" s="1" t="n">
        <v>43886</v>
      </c>
      <c r="C2069" s="1" t="n">
        <v>45357</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10440-2020</t>
        </is>
      </c>
      <c r="B2070" s="1" t="n">
        <v>43886</v>
      </c>
      <c r="C2070" s="1" t="n">
        <v>45357</v>
      </c>
      <c r="D2070" t="inlineStr">
        <is>
          <t>GÄVLEBORGS LÄN</t>
        </is>
      </c>
      <c r="E2070" t="inlineStr">
        <is>
          <t>SANDVIKEN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10536-2020</t>
        </is>
      </c>
      <c r="B2071" s="1" t="n">
        <v>43886</v>
      </c>
      <c r="C2071" s="1" t="n">
        <v>45357</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10426-2020</t>
        </is>
      </c>
      <c r="B2072" s="1" t="n">
        <v>43886</v>
      </c>
      <c r="C2072" s="1" t="n">
        <v>45357</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10521-2020</t>
        </is>
      </c>
      <c r="B2073" s="1" t="n">
        <v>43886</v>
      </c>
      <c r="C2073" s="1" t="n">
        <v>45357</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10534-2020</t>
        </is>
      </c>
      <c r="B2074" s="1" t="n">
        <v>43886</v>
      </c>
      <c r="C2074" s="1" t="n">
        <v>45357</v>
      </c>
      <c r="D2074" t="inlineStr">
        <is>
          <t>GÄVLEBORGS LÄN</t>
        </is>
      </c>
      <c r="E2074" t="inlineStr">
        <is>
          <t>HUDIKSVALL</t>
        </is>
      </c>
      <c r="F2074" t="inlineStr">
        <is>
          <t>Holmen skog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10502-2020</t>
        </is>
      </c>
      <c r="B2075" s="1" t="n">
        <v>43886</v>
      </c>
      <c r="C2075" s="1" t="n">
        <v>45357</v>
      </c>
      <c r="D2075" t="inlineStr">
        <is>
          <t>GÄVLEBORGS LÄN</t>
        </is>
      </c>
      <c r="E2075" t="inlineStr">
        <is>
          <t>OVANÅKER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10604-2020</t>
        </is>
      </c>
      <c r="B2076" s="1" t="n">
        <v>43887</v>
      </c>
      <c r="C2076" s="1" t="n">
        <v>45357</v>
      </c>
      <c r="D2076" t="inlineStr">
        <is>
          <t>GÄVLEBORGS LÄN</t>
        </is>
      </c>
      <c r="E2076" t="inlineStr">
        <is>
          <t>NORDANSTIG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10334-2020</t>
        </is>
      </c>
      <c r="B2077" s="1" t="n">
        <v>43887</v>
      </c>
      <c r="C2077" s="1" t="n">
        <v>45357</v>
      </c>
      <c r="D2077" t="inlineStr">
        <is>
          <t>GÄVLEBORGS LÄN</t>
        </is>
      </c>
      <c r="E2077" t="inlineStr">
        <is>
          <t>BOLLNÄS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10607-2020</t>
        </is>
      </c>
      <c r="B2078" s="1" t="n">
        <v>43887</v>
      </c>
      <c r="C2078" s="1" t="n">
        <v>45357</v>
      </c>
      <c r="D2078" t="inlineStr">
        <is>
          <t>GÄVLEBORGS LÄN</t>
        </is>
      </c>
      <c r="E2078" t="inlineStr">
        <is>
          <t>HUDIKSVALL</t>
        </is>
      </c>
      <c r="F2078" t="inlineStr">
        <is>
          <t>Holmen skog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10755-2020</t>
        </is>
      </c>
      <c r="B2079" s="1" t="n">
        <v>43888</v>
      </c>
      <c r="C2079" s="1" t="n">
        <v>45357</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10665-2020</t>
        </is>
      </c>
      <c r="B2080" s="1" t="n">
        <v>43888</v>
      </c>
      <c r="C2080" s="1" t="n">
        <v>45357</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10833-2020</t>
        </is>
      </c>
      <c r="B2081" s="1" t="n">
        <v>43888</v>
      </c>
      <c r="C2081" s="1" t="n">
        <v>45357</v>
      </c>
      <c r="D2081" t="inlineStr">
        <is>
          <t>GÄVLEBORGS LÄN</t>
        </is>
      </c>
      <c r="E2081" t="inlineStr">
        <is>
          <t>GÄVLE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11126-2020</t>
        </is>
      </c>
      <c r="B2082" s="1" t="n">
        <v>43889</v>
      </c>
      <c r="C2082" s="1" t="n">
        <v>45357</v>
      </c>
      <c r="D2082" t="inlineStr">
        <is>
          <t>GÄVLEBORGS LÄN</t>
        </is>
      </c>
      <c r="E2082" t="inlineStr">
        <is>
          <t>HUDIKSVALL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11121-2020</t>
        </is>
      </c>
      <c r="B2083" s="1" t="n">
        <v>43889</v>
      </c>
      <c r="C2083" s="1" t="n">
        <v>45357</v>
      </c>
      <c r="D2083" t="inlineStr">
        <is>
          <t>GÄVLEBORGS LÄN</t>
        </is>
      </c>
      <c r="E2083" t="inlineStr">
        <is>
          <t>GÄVLE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11036-2020</t>
        </is>
      </c>
      <c r="B2084" s="1" t="n">
        <v>43889</v>
      </c>
      <c r="C2084" s="1" t="n">
        <v>45357</v>
      </c>
      <c r="D2084" t="inlineStr">
        <is>
          <t>GÄVLEBORGS LÄN</t>
        </is>
      </c>
      <c r="E2084" t="inlineStr">
        <is>
          <t>SÖDERHAMN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11130-2020</t>
        </is>
      </c>
      <c r="B2085" s="1" t="n">
        <v>43889</v>
      </c>
      <c r="C2085" s="1" t="n">
        <v>45357</v>
      </c>
      <c r="D2085" t="inlineStr">
        <is>
          <t>GÄVLEBORGS LÄN</t>
        </is>
      </c>
      <c r="E2085" t="inlineStr">
        <is>
          <t>HOFORS</t>
        </is>
      </c>
      <c r="F2085" t="inlineStr">
        <is>
          <t>Sveaskog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11131-2020</t>
        </is>
      </c>
      <c r="B2086" s="1" t="n">
        <v>43889</v>
      </c>
      <c r="C2086" s="1" t="n">
        <v>45357</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11133-2020</t>
        </is>
      </c>
      <c r="B2087" s="1" t="n">
        <v>43889</v>
      </c>
      <c r="C2087" s="1" t="n">
        <v>45357</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11240-2020</t>
        </is>
      </c>
      <c r="B2088" s="1" t="n">
        <v>43892</v>
      </c>
      <c r="C2088" s="1" t="n">
        <v>45357</v>
      </c>
      <c r="D2088" t="inlineStr">
        <is>
          <t>GÄVLEBORGS LÄN</t>
        </is>
      </c>
      <c r="E2088" t="inlineStr">
        <is>
          <t>BOLLNÄS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11342-2020</t>
        </is>
      </c>
      <c r="B2089" s="1" t="n">
        <v>43892</v>
      </c>
      <c r="C2089" s="1" t="n">
        <v>45357</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11386-2020</t>
        </is>
      </c>
      <c r="B2090" s="1" t="n">
        <v>43892</v>
      </c>
      <c r="C2090" s="1" t="n">
        <v>45357</v>
      </c>
      <c r="D2090" t="inlineStr">
        <is>
          <t>GÄVLEBORGS LÄN</t>
        </is>
      </c>
      <c r="E2090" t="inlineStr">
        <is>
          <t>OVANÅKER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11346-2020</t>
        </is>
      </c>
      <c r="B2091" s="1" t="n">
        <v>43892</v>
      </c>
      <c r="C2091" s="1" t="n">
        <v>45357</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11338-2020</t>
        </is>
      </c>
      <c r="B2092" s="1" t="n">
        <v>43892</v>
      </c>
      <c r="C2092" s="1" t="n">
        <v>45357</v>
      </c>
      <c r="D2092" t="inlineStr">
        <is>
          <t>GÄVLEBORGS LÄN</t>
        </is>
      </c>
      <c r="E2092" t="inlineStr">
        <is>
          <t>SANDVIKEN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11494-2020</t>
        </is>
      </c>
      <c r="B2093" s="1" t="n">
        <v>43893</v>
      </c>
      <c r="C2093" s="1" t="n">
        <v>45357</v>
      </c>
      <c r="D2093" t="inlineStr">
        <is>
          <t>GÄVLEBORGS LÄN</t>
        </is>
      </c>
      <c r="E2093" t="inlineStr">
        <is>
          <t>HUDIKSVALL</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11501-2020</t>
        </is>
      </c>
      <c r="B2094" s="1" t="n">
        <v>43893</v>
      </c>
      <c r="C2094" s="1" t="n">
        <v>45357</v>
      </c>
      <c r="D2094" t="inlineStr">
        <is>
          <t>GÄVLEBORGS LÄN</t>
        </is>
      </c>
      <c r="E2094" t="inlineStr">
        <is>
          <t>OVANÅKER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12664-2020</t>
        </is>
      </c>
      <c r="B2095" s="1" t="n">
        <v>43893</v>
      </c>
      <c r="C2095" s="1" t="n">
        <v>45357</v>
      </c>
      <c r="D2095" t="inlineStr">
        <is>
          <t>GÄVLEBORGS LÄN</t>
        </is>
      </c>
      <c r="E2095" t="inlineStr">
        <is>
          <t>HUDIKSVALL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11508-2020</t>
        </is>
      </c>
      <c r="B2096" s="1" t="n">
        <v>43893</v>
      </c>
      <c r="C2096" s="1" t="n">
        <v>45357</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11751-2020</t>
        </is>
      </c>
      <c r="B2097" s="1" t="n">
        <v>43894</v>
      </c>
      <c r="C2097" s="1" t="n">
        <v>45357</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11749-2020</t>
        </is>
      </c>
      <c r="B2098" s="1" t="n">
        <v>43894</v>
      </c>
      <c r="C2098" s="1" t="n">
        <v>45357</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11838-2020</t>
        </is>
      </c>
      <c r="B2099" s="1" t="n">
        <v>43894</v>
      </c>
      <c r="C2099" s="1" t="n">
        <v>45357</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11898-2020</t>
        </is>
      </c>
      <c r="B2100" s="1" t="n">
        <v>43894</v>
      </c>
      <c r="C2100" s="1" t="n">
        <v>45357</v>
      </c>
      <c r="D2100" t="inlineStr">
        <is>
          <t>GÄVLEBORGS LÄN</t>
        </is>
      </c>
      <c r="E2100" t="inlineStr">
        <is>
          <t>LJUSDAL</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11841-2020</t>
        </is>
      </c>
      <c r="B2101" s="1" t="n">
        <v>43894</v>
      </c>
      <c r="C2101" s="1" t="n">
        <v>45357</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11763-2020</t>
        </is>
      </c>
      <c r="B2102" s="1" t="n">
        <v>43894</v>
      </c>
      <c r="C2102" s="1" t="n">
        <v>45357</v>
      </c>
      <c r="D2102" t="inlineStr">
        <is>
          <t>GÄVLEBORGS LÄN</t>
        </is>
      </c>
      <c r="E2102" t="inlineStr">
        <is>
          <t>SANDVIKEN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13422-2020</t>
        </is>
      </c>
      <c r="B2103" s="1" t="n">
        <v>43894</v>
      </c>
      <c r="C2103" s="1" t="n">
        <v>45357</v>
      </c>
      <c r="D2103" t="inlineStr">
        <is>
          <t>GÄVLEBORGS LÄN</t>
        </is>
      </c>
      <c r="E2103" t="inlineStr">
        <is>
          <t>SÖDERHAMN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12217-2020</t>
        </is>
      </c>
      <c r="B2104" s="1" t="n">
        <v>43895</v>
      </c>
      <c r="C2104" s="1" t="n">
        <v>45357</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12224-2020</t>
        </is>
      </c>
      <c r="B2105" s="1" t="n">
        <v>43895</v>
      </c>
      <c r="C2105" s="1" t="n">
        <v>45357</v>
      </c>
      <c r="D2105" t="inlineStr">
        <is>
          <t>GÄVLEBORGS LÄN</t>
        </is>
      </c>
      <c r="E2105" t="inlineStr">
        <is>
          <t>SÖDERHAMN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12268-2020</t>
        </is>
      </c>
      <c r="B2106" s="1" t="n">
        <v>43895</v>
      </c>
      <c r="C2106" s="1" t="n">
        <v>45357</v>
      </c>
      <c r="D2106" t="inlineStr">
        <is>
          <t>GÄVLEBORGS LÄN</t>
        </is>
      </c>
      <c r="E2106" t="inlineStr">
        <is>
          <t>GÄVLE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12406-2020</t>
        </is>
      </c>
      <c r="B2107" s="1" t="n">
        <v>43896</v>
      </c>
      <c r="C2107" s="1" t="n">
        <v>45357</v>
      </c>
      <c r="D2107" t="inlineStr">
        <is>
          <t>GÄVLEBORGS LÄN</t>
        </is>
      </c>
      <c r="E2107" t="inlineStr">
        <is>
          <t>HOFORS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12513-2020</t>
        </is>
      </c>
      <c r="B2108" s="1" t="n">
        <v>43896</v>
      </c>
      <c r="C2108" s="1" t="n">
        <v>45357</v>
      </c>
      <c r="D2108" t="inlineStr">
        <is>
          <t>GÄVLEBORGS LÄN</t>
        </is>
      </c>
      <c r="E2108" t="inlineStr">
        <is>
          <t>GÄVLE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12793-2020</t>
        </is>
      </c>
      <c r="B2109" s="1" t="n">
        <v>43899</v>
      </c>
      <c r="C2109" s="1" t="n">
        <v>45357</v>
      </c>
      <c r="D2109" t="inlineStr">
        <is>
          <t>GÄVLEBORGS LÄN</t>
        </is>
      </c>
      <c r="E2109" t="inlineStr">
        <is>
          <t>NORDANSTIG</t>
        </is>
      </c>
      <c r="F2109" t="inlineStr">
        <is>
          <t>Holmen skog AB</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13034-2020</t>
        </is>
      </c>
      <c r="B2110" s="1" t="n">
        <v>43900</v>
      </c>
      <c r="C2110" s="1" t="n">
        <v>45357</v>
      </c>
      <c r="D2110" t="inlineStr">
        <is>
          <t>GÄVLEBORGS LÄN</t>
        </is>
      </c>
      <c r="E2110" t="inlineStr">
        <is>
          <t>SÖDERHAMN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13032-2020</t>
        </is>
      </c>
      <c r="B2111" s="1" t="n">
        <v>43900</v>
      </c>
      <c r="C2111" s="1" t="n">
        <v>45357</v>
      </c>
      <c r="D2111" t="inlineStr">
        <is>
          <t>GÄVLEBORGS LÄN</t>
        </is>
      </c>
      <c r="E2111" t="inlineStr">
        <is>
          <t>SÖDERHAMN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13062-2020</t>
        </is>
      </c>
      <c r="B2112" s="1" t="n">
        <v>43900</v>
      </c>
      <c r="C2112" s="1" t="n">
        <v>45357</v>
      </c>
      <c r="D2112" t="inlineStr">
        <is>
          <t>GÄVLEBORGS LÄN</t>
        </is>
      </c>
      <c r="E2112" t="inlineStr">
        <is>
          <t>SANDVIKEN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12996-2020</t>
        </is>
      </c>
      <c r="B2113" s="1" t="n">
        <v>43900</v>
      </c>
      <c r="C2113" s="1" t="n">
        <v>45357</v>
      </c>
      <c r="D2113" t="inlineStr">
        <is>
          <t>GÄVLEBORGS LÄN</t>
        </is>
      </c>
      <c r="E2113" t="inlineStr">
        <is>
          <t>OVANÅKER</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13216-2020</t>
        </is>
      </c>
      <c r="B2114" s="1" t="n">
        <v>43901</v>
      </c>
      <c r="C2114" s="1" t="n">
        <v>45357</v>
      </c>
      <c r="D2114" t="inlineStr">
        <is>
          <t>GÄVLEBORGS LÄN</t>
        </is>
      </c>
      <c r="E2114" t="inlineStr">
        <is>
          <t>HUDIKSVALL</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13190-2020</t>
        </is>
      </c>
      <c r="B2115" s="1" t="n">
        <v>43901</v>
      </c>
      <c r="C2115" s="1" t="n">
        <v>45357</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14242-2020</t>
        </is>
      </c>
      <c r="B2116" s="1" t="n">
        <v>43901</v>
      </c>
      <c r="C2116" s="1" t="n">
        <v>45357</v>
      </c>
      <c r="D2116" t="inlineStr">
        <is>
          <t>GÄVLEBORGS LÄN</t>
        </is>
      </c>
      <c r="E2116" t="inlineStr">
        <is>
          <t>GÄVLE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13200-2020</t>
        </is>
      </c>
      <c r="B2117" s="1" t="n">
        <v>43901</v>
      </c>
      <c r="C2117" s="1" t="n">
        <v>45357</v>
      </c>
      <c r="D2117" t="inlineStr">
        <is>
          <t>GÄVLEBORGS LÄN</t>
        </is>
      </c>
      <c r="E2117" t="inlineStr">
        <is>
          <t>BOLLNÄS</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13208-2020</t>
        </is>
      </c>
      <c r="B2118" s="1" t="n">
        <v>43901</v>
      </c>
      <c r="C2118" s="1" t="n">
        <v>45357</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13329-2020</t>
        </is>
      </c>
      <c r="B2119" s="1" t="n">
        <v>43902</v>
      </c>
      <c r="C2119" s="1" t="n">
        <v>45357</v>
      </c>
      <c r="D2119" t="inlineStr">
        <is>
          <t>GÄVLEBORGS LÄN</t>
        </is>
      </c>
      <c r="E2119" t="inlineStr">
        <is>
          <t>LJUSDAL</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13507-2020</t>
        </is>
      </c>
      <c r="B2120" s="1" t="n">
        <v>43902</v>
      </c>
      <c r="C2120" s="1" t="n">
        <v>45357</v>
      </c>
      <c r="D2120" t="inlineStr">
        <is>
          <t>GÄVLEBORGS LÄN</t>
        </is>
      </c>
      <c r="E2120" t="inlineStr">
        <is>
          <t>HUDIKSVALL</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13489-2020</t>
        </is>
      </c>
      <c r="B2121" s="1" t="n">
        <v>43902</v>
      </c>
      <c r="C2121" s="1" t="n">
        <v>45357</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13617-2020</t>
        </is>
      </c>
      <c r="B2122" s="1" t="n">
        <v>43903</v>
      </c>
      <c r="C2122" s="1" t="n">
        <v>45357</v>
      </c>
      <c r="D2122" t="inlineStr">
        <is>
          <t>GÄVLEBORGS LÄN</t>
        </is>
      </c>
      <c r="E2122" t="inlineStr">
        <is>
          <t>LJUSDAL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13715-2020</t>
        </is>
      </c>
      <c r="B2123" s="1" t="n">
        <v>43903</v>
      </c>
      <c r="C2123" s="1" t="n">
        <v>45357</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13836-2020</t>
        </is>
      </c>
      <c r="B2124" s="1" t="n">
        <v>43906</v>
      </c>
      <c r="C2124" s="1" t="n">
        <v>45357</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13978-2020</t>
        </is>
      </c>
      <c r="B2125" s="1" t="n">
        <v>43906</v>
      </c>
      <c r="C2125" s="1" t="n">
        <v>45357</v>
      </c>
      <c r="D2125" t="inlineStr">
        <is>
          <t>GÄVLEBORGS LÄN</t>
        </is>
      </c>
      <c r="E2125" t="inlineStr">
        <is>
          <t>GÄVLE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14884-2020</t>
        </is>
      </c>
      <c r="B2126" s="1" t="n">
        <v>43906</v>
      </c>
      <c r="C2126" s="1" t="n">
        <v>45357</v>
      </c>
      <c r="D2126" t="inlineStr">
        <is>
          <t>GÄVLEBORGS LÄN</t>
        </is>
      </c>
      <c r="E2126" t="inlineStr">
        <is>
          <t>OVANÅKER</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14035-2020</t>
        </is>
      </c>
      <c r="B2127" s="1" t="n">
        <v>43906</v>
      </c>
      <c r="C2127" s="1" t="n">
        <v>45357</v>
      </c>
      <c r="D2127" t="inlineStr">
        <is>
          <t>GÄVLEBORGS LÄN</t>
        </is>
      </c>
      <c r="E2127" t="inlineStr">
        <is>
          <t>HUDIKSVALL</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14169-2020</t>
        </is>
      </c>
      <c r="B2128" s="1" t="n">
        <v>43907</v>
      </c>
      <c r="C2128" s="1" t="n">
        <v>45357</v>
      </c>
      <c r="D2128" t="inlineStr">
        <is>
          <t>GÄVLEBORGS LÄN</t>
        </is>
      </c>
      <c r="E2128" t="inlineStr">
        <is>
          <t>OVANÅKER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14096-2020</t>
        </is>
      </c>
      <c r="B2129" s="1" t="n">
        <v>43907</v>
      </c>
      <c r="C2129" s="1" t="n">
        <v>45357</v>
      </c>
      <c r="D2129" t="inlineStr">
        <is>
          <t>GÄVLEBORGS LÄN</t>
        </is>
      </c>
      <c r="E2129" t="inlineStr">
        <is>
          <t>OCKELBO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14321-2020</t>
        </is>
      </c>
      <c r="B2130" s="1" t="n">
        <v>43907</v>
      </c>
      <c r="C2130" s="1" t="n">
        <v>45357</v>
      </c>
      <c r="D2130" t="inlineStr">
        <is>
          <t>GÄVLEBORGS LÄN</t>
        </is>
      </c>
      <c r="E2130" t="inlineStr">
        <is>
          <t>SÖDERHAMN</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14449-2020</t>
        </is>
      </c>
      <c r="B2131" s="1" t="n">
        <v>43908</v>
      </c>
      <c r="C2131" s="1" t="n">
        <v>45357</v>
      </c>
      <c r="D2131" t="inlineStr">
        <is>
          <t>GÄVLEBORGS LÄN</t>
        </is>
      </c>
      <c r="E2131" t="inlineStr">
        <is>
          <t>SÖDERHAMN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14444-2020</t>
        </is>
      </c>
      <c r="B2132" s="1" t="n">
        <v>43908</v>
      </c>
      <c r="C2132" s="1" t="n">
        <v>45357</v>
      </c>
      <c r="D2132" t="inlineStr">
        <is>
          <t>GÄVLEBORGS LÄN</t>
        </is>
      </c>
      <c r="E2132" t="inlineStr">
        <is>
          <t>LJUSDAL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14612-2020</t>
        </is>
      </c>
      <c r="B2133" s="1" t="n">
        <v>43909</v>
      </c>
      <c r="C2133" s="1" t="n">
        <v>45357</v>
      </c>
      <c r="D2133" t="inlineStr">
        <is>
          <t>GÄVLEBORGS LÄN</t>
        </is>
      </c>
      <c r="E2133" t="inlineStr">
        <is>
          <t>OVANÅKER</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14688-2020</t>
        </is>
      </c>
      <c r="B2134" s="1" t="n">
        <v>43909</v>
      </c>
      <c r="C2134" s="1" t="n">
        <v>45357</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14974-2020</t>
        </is>
      </c>
      <c r="B2135" s="1" t="n">
        <v>43910</v>
      </c>
      <c r="C2135" s="1" t="n">
        <v>45357</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14992-2020</t>
        </is>
      </c>
      <c r="B2136" s="1" t="n">
        <v>43910</v>
      </c>
      <c r="C2136" s="1" t="n">
        <v>45357</v>
      </c>
      <c r="D2136" t="inlineStr">
        <is>
          <t>GÄVLEBORGS LÄN</t>
        </is>
      </c>
      <c r="E2136" t="inlineStr">
        <is>
          <t>SÖDERHAMN</t>
        </is>
      </c>
      <c r="F2136" t="inlineStr">
        <is>
          <t>Bergvik skog väst AB</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15070-2020</t>
        </is>
      </c>
      <c r="B2137" s="1" t="n">
        <v>43910</v>
      </c>
      <c r="C2137" s="1" t="n">
        <v>45357</v>
      </c>
      <c r="D2137" t="inlineStr">
        <is>
          <t>GÄVLEBORGS LÄN</t>
        </is>
      </c>
      <c r="E2137" t="inlineStr">
        <is>
          <t>HUDIKSVALL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15074-2020</t>
        </is>
      </c>
      <c r="B2138" s="1" t="n">
        <v>43910</v>
      </c>
      <c r="C2138" s="1" t="n">
        <v>45357</v>
      </c>
      <c r="D2138" t="inlineStr">
        <is>
          <t>GÄVLEBORGS LÄN</t>
        </is>
      </c>
      <c r="E2138" t="inlineStr">
        <is>
          <t>HUDIKSVALL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15016-2020</t>
        </is>
      </c>
      <c r="B2139" s="1" t="n">
        <v>43910</v>
      </c>
      <c r="C2139" s="1" t="n">
        <v>45357</v>
      </c>
      <c r="D2139" t="inlineStr">
        <is>
          <t>GÄVLEBORGS LÄN</t>
        </is>
      </c>
      <c r="E2139" t="inlineStr">
        <is>
          <t>HUDIKSVALL</t>
        </is>
      </c>
      <c r="F2139" t="inlineStr">
        <is>
          <t>Holmen skog AB</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15159-2020</t>
        </is>
      </c>
      <c r="B2140" s="1" t="n">
        <v>43912</v>
      </c>
      <c r="C2140" s="1" t="n">
        <v>45357</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15198-2020</t>
        </is>
      </c>
      <c r="B2141" s="1" t="n">
        <v>43913</v>
      </c>
      <c r="C2141" s="1" t="n">
        <v>45357</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15211-2020</t>
        </is>
      </c>
      <c r="B2142" s="1" t="n">
        <v>43913</v>
      </c>
      <c r="C2142" s="1" t="n">
        <v>45357</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15317-2020</t>
        </is>
      </c>
      <c r="B2143" s="1" t="n">
        <v>43913</v>
      </c>
      <c r="C2143" s="1" t="n">
        <v>45357</v>
      </c>
      <c r="D2143" t="inlineStr">
        <is>
          <t>GÄVLEBORGS LÄN</t>
        </is>
      </c>
      <c r="E2143" t="inlineStr">
        <is>
          <t>BOLLNÄS</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15183-2020</t>
        </is>
      </c>
      <c r="B2144" s="1" t="n">
        <v>43913</v>
      </c>
      <c r="C2144" s="1" t="n">
        <v>45357</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15343-2020</t>
        </is>
      </c>
      <c r="B2145" s="1" t="n">
        <v>43913</v>
      </c>
      <c r="C2145" s="1" t="n">
        <v>45357</v>
      </c>
      <c r="D2145" t="inlineStr">
        <is>
          <t>GÄVLEBORGS LÄN</t>
        </is>
      </c>
      <c r="E2145" t="inlineStr">
        <is>
          <t>LJUSDAL</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15543-2020</t>
        </is>
      </c>
      <c r="B2146" s="1" t="n">
        <v>43914</v>
      </c>
      <c r="C2146" s="1" t="n">
        <v>45357</v>
      </c>
      <c r="D2146" t="inlineStr">
        <is>
          <t>GÄVLEBORGS LÄN</t>
        </is>
      </c>
      <c r="E2146" t="inlineStr">
        <is>
          <t>OVANÅKER</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15438-2020</t>
        </is>
      </c>
      <c r="B2147" s="1" t="n">
        <v>43914</v>
      </c>
      <c r="C2147" s="1" t="n">
        <v>45357</v>
      </c>
      <c r="D2147" t="inlineStr">
        <is>
          <t>GÄVLEBORGS LÄN</t>
        </is>
      </c>
      <c r="E2147" t="inlineStr">
        <is>
          <t>SANDVIKEN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15531-2020</t>
        </is>
      </c>
      <c r="B2148" s="1" t="n">
        <v>43914</v>
      </c>
      <c r="C2148" s="1" t="n">
        <v>45357</v>
      </c>
      <c r="D2148" t="inlineStr">
        <is>
          <t>GÄVLEBORGS LÄN</t>
        </is>
      </c>
      <c r="E2148" t="inlineStr">
        <is>
          <t>OVANÅKER</t>
        </is>
      </c>
      <c r="F2148" t="inlineStr">
        <is>
          <t>Bergvik skog väst AB</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15416-2020</t>
        </is>
      </c>
      <c r="B2149" s="1" t="n">
        <v>43914</v>
      </c>
      <c r="C2149" s="1" t="n">
        <v>45357</v>
      </c>
      <c r="D2149" t="inlineStr">
        <is>
          <t>GÄVLEBORGS LÄN</t>
        </is>
      </c>
      <c r="E2149" t="inlineStr">
        <is>
          <t>HUDIKSVALL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15656-2020</t>
        </is>
      </c>
      <c r="B2150" s="1" t="n">
        <v>43915</v>
      </c>
      <c r="C2150" s="1" t="n">
        <v>45357</v>
      </c>
      <c r="D2150" t="inlineStr">
        <is>
          <t>GÄVLEBORGS LÄN</t>
        </is>
      </c>
      <c r="E2150" t="inlineStr">
        <is>
          <t>OCKELBO</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15820-2020</t>
        </is>
      </c>
      <c r="B2151" s="1" t="n">
        <v>43915</v>
      </c>
      <c r="C2151" s="1" t="n">
        <v>45357</v>
      </c>
      <c r="D2151" t="inlineStr">
        <is>
          <t>GÄVLEBORGS LÄN</t>
        </is>
      </c>
      <c r="E2151" t="inlineStr">
        <is>
          <t>OVANÅKER</t>
        </is>
      </c>
      <c r="F2151" t="inlineStr">
        <is>
          <t>Bergvik skog väst AB</t>
        </is>
      </c>
      <c r="G2151" t="n">
        <v>27.8</v>
      </c>
      <c r="H2151" t="n">
        <v>0</v>
      </c>
      <c r="I2151" t="n">
        <v>0</v>
      </c>
      <c r="J2151" t="n">
        <v>0</v>
      </c>
      <c r="K2151" t="n">
        <v>0</v>
      </c>
      <c r="L2151" t="n">
        <v>0</v>
      </c>
      <c r="M2151" t="n">
        <v>0</v>
      </c>
      <c r="N2151" t="n">
        <v>0</v>
      </c>
      <c r="O2151" t="n">
        <v>0</v>
      </c>
      <c r="P2151" t="n">
        <v>0</v>
      </c>
      <c r="Q2151" t="n">
        <v>0</v>
      </c>
      <c r="R2151" s="2" t="inlineStr"/>
    </row>
    <row r="2152" ht="15" customHeight="1">
      <c r="A2152" t="inlineStr">
        <is>
          <t>A 15691-2020</t>
        </is>
      </c>
      <c r="B2152" s="1" t="n">
        <v>43915</v>
      </c>
      <c r="C2152" s="1" t="n">
        <v>45357</v>
      </c>
      <c r="D2152" t="inlineStr">
        <is>
          <t>GÄVLEBORGS LÄN</t>
        </is>
      </c>
      <c r="E2152" t="inlineStr">
        <is>
          <t>OVANÅKER</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15930-2020</t>
        </is>
      </c>
      <c r="B2153" s="1" t="n">
        <v>43916</v>
      </c>
      <c r="C2153" s="1" t="n">
        <v>45357</v>
      </c>
      <c r="D2153" t="inlineStr">
        <is>
          <t>GÄVLEBORGS LÄN</t>
        </is>
      </c>
      <c r="E2153" t="inlineStr">
        <is>
          <t>BOLLNÄS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16107-2020</t>
        </is>
      </c>
      <c r="B2154" s="1" t="n">
        <v>43916</v>
      </c>
      <c r="C2154" s="1" t="n">
        <v>45357</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16113-2020</t>
        </is>
      </c>
      <c r="B2155" s="1" t="n">
        <v>43916</v>
      </c>
      <c r="C2155" s="1" t="n">
        <v>45357</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15948-2020</t>
        </is>
      </c>
      <c r="B2156" s="1" t="n">
        <v>43916</v>
      </c>
      <c r="C2156" s="1" t="n">
        <v>45357</v>
      </c>
      <c r="D2156" t="inlineStr">
        <is>
          <t>GÄVLEBORGS LÄN</t>
        </is>
      </c>
      <c r="E2156" t="inlineStr">
        <is>
          <t>OVANÅKER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16108-2020</t>
        </is>
      </c>
      <c r="B2157" s="1" t="n">
        <v>43916</v>
      </c>
      <c r="C2157" s="1" t="n">
        <v>45357</v>
      </c>
      <c r="D2157" t="inlineStr">
        <is>
          <t>GÄVLEBORGS LÄN</t>
        </is>
      </c>
      <c r="E2157" t="inlineStr">
        <is>
          <t>SANDVIKEN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16088-2020</t>
        </is>
      </c>
      <c r="B2158" s="1" t="n">
        <v>43916</v>
      </c>
      <c r="C2158" s="1" t="n">
        <v>45357</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16176-2020</t>
        </is>
      </c>
      <c r="B2159" s="1" t="n">
        <v>43917</v>
      </c>
      <c r="C2159" s="1" t="n">
        <v>45357</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16259-2020</t>
        </is>
      </c>
      <c r="B2160" s="1" t="n">
        <v>43917</v>
      </c>
      <c r="C2160" s="1" t="n">
        <v>45357</v>
      </c>
      <c r="D2160" t="inlineStr">
        <is>
          <t>GÄVLEBORGS LÄN</t>
        </is>
      </c>
      <c r="E2160" t="inlineStr">
        <is>
          <t>OVANÅKER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16225-2020</t>
        </is>
      </c>
      <c r="B2161" s="1" t="n">
        <v>43917</v>
      </c>
      <c r="C2161" s="1" t="n">
        <v>45357</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16251-2020</t>
        </is>
      </c>
      <c r="B2162" s="1" t="n">
        <v>43917</v>
      </c>
      <c r="C2162" s="1" t="n">
        <v>45357</v>
      </c>
      <c r="D2162" t="inlineStr">
        <is>
          <t>GÄVLEBORGS LÄN</t>
        </is>
      </c>
      <c r="E2162" t="inlineStr">
        <is>
          <t>OVANÅKER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16292-2020</t>
        </is>
      </c>
      <c r="B2163" s="1" t="n">
        <v>43917</v>
      </c>
      <c r="C2163" s="1" t="n">
        <v>45357</v>
      </c>
      <c r="D2163" t="inlineStr">
        <is>
          <t>GÄVLEBORGS LÄN</t>
        </is>
      </c>
      <c r="E2163" t="inlineStr">
        <is>
          <t>OVANÅKER</t>
        </is>
      </c>
      <c r="F2163" t="inlineStr">
        <is>
          <t>Sveaskog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16274-2020</t>
        </is>
      </c>
      <c r="B2164" s="1" t="n">
        <v>43917</v>
      </c>
      <c r="C2164" s="1" t="n">
        <v>45357</v>
      </c>
      <c r="D2164" t="inlineStr">
        <is>
          <t>GÄVLEBORGS LÄN</t>
        </is>
      </c>
      <c r="E2164" t="inlineStr">
        <is>
          <t>SANDVIKEN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16372-2020</t>
        </is>
      </c>
      <c r="B2165" s="1" t="n">
        <v>43917</v>
      </c>
      <c r="C2165" s="1" t="n">
        <v>45357</v>
      </c>
      <c r="D2165" t="inlineStr">
        <is>
          <t>GÄVLEBORGS LÄN</t>
        </is>
      </c>
      <c r="E2165" t="inlineStr">
        <is>
          <t>SÖDERHAMN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16611-2020</t>
        </is>
      </c>
      <c r="B2166" s="1" t="n">
        <v>43920</v>
      </c>
      <c r="C2166" s="1" t="n">
        <v>45357</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16559-2020</t>
        </is>
      </c>
      <c r="B2167" s="1" t="n">
        <v>43920</v>
      </c>
      <c r="C2167" s="1" t="n">
        <v>45357</v>
      </c>
      <c r="D2167" t="inlineStr">
        <is>
          <t>GÄVLEBORGS LÄN</t>
        </is>
      </c>
      <c r="E2167" t="inlineStr">
        <is>
          <t>SANDVIKEN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17004-2020</t>
        </is>
      </c>
      <c r="B2168" s="1" t="n">
        <v>43921</v>
      </c>
      <c r="C2168" s="1" t="n">
        <v>45357</v>
      </c>
      <c r="D2168" t="inlineStr">
        <is>
          <t>GÄVLEBORGS LÄN</t>
        </is>
      </c>
      <c r="E2168" t="inlineStr">
        <is>
          <t>OVANÅKER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16975-2020</t>
        </is>
      </c>
      <c r="B2169" s="1" t="n">
        <v>43921</v>
      </c>
      <c r="C2169" s="1" t="n">
        <v>45357</v>
      </c>
      <c r="D2169" t="inlineStr">
        <is>
          <t>GÄVLEBORGS LÄN</t>
        </is>
      </c>
      <c r="E2169" t="inlineStr">
        <is>
          <t>HUDIKSVALL</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16863-2020</t>
        </is>
      </c>
      <c r="B2170" s="1" t="n">
        <v>43921</v>
      </c>
      <c r="C2170" s="1" t="n">
        <v>45357</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16996-2020</t>
        </is>
      </c>
      <c r="B2171" s="1" t="n">
        <v>43921</v>
      </c>
      <c r="C2171" s="1" t="n">
        <v>45357</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17128-2020</t>
        </is>
      </c>
      <c r="B2172" s="1" t="n">
        <v>43922</v>
      </c>
      <c r="C2172" s="1" t="n">
        <v>45357</v>
      </c>
      <c r="D2172" t="inlineStr">
        <is>
          <t>GÄVLEBORGS LÄN</t>
        </is>
      </c>
      <c r="E2172" t="inlineStr">
        <is>
          <t>NORDANSTIG</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17319-2020</t>
        </is>
      </c>
      <c r="B2173" s="1" t="n">
        <v>43922</v>
      </c>
      <c r="C2173" s="1" t="n">
        <v>45357</v>
      </c>
      <c r="D2173" t="inlineStr">
        <is>
          <t>GÄVLEBORGS LÄN</t>
        </is>
      </c>
      <c r="E2173" t="inlineStr">
        <is>
          <t>NORDANSTIG</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17326-2020</t>
        </is>
      </c>
      <c r="B2174" s="1" t="n">
        <v>43922</v>
      </c>
      <c r="C2174" s="1" t="n">
        <v>45357</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17198-2020</t>
        </is>
      </c>
      <c r="B2175" s="1" t="n">
        <v>43922</v>
      </c>
      <c r="C2175" s="1" t="n">
        <v>45357</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17312-2020</t>
        </is>
      </c>
      <c r="B2176" s="1" t="n">
        <v>43922</v>
      </c>
      <c r="C2176" s="1" t="n">
        <v>45357</v>
      </c>
      <c r="D2176" t="inlineStr">
        <is>
          <t>GÄVLEBORGS LÄN</t>
        </is>
      </c>
      <c r="E2176" t="inlineStr">
        <is>
          <t>HUDIKSVALL</t>
        </is>
      </c>
      <c r="F2176" t="inlineStr">
        <is>
          <t>Holmen skog AB</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17505-2020</t>
        </is>
      </c>
      <c r="B2177" s="1" t="n">
        <v>43923</v>
      </c>
      <c r="C2177" s="1" t="n">
        <v>45357</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17423-2020</t>
        </is>
      </c>
      <c r="B2178" s="1" t="n">
        <v>43923</v>
      </c>
      <c r="C2178" s="1" t="n">
        <v>45357</v>
      </c>
      <c r="D2178" t="inlineStr">
        <is>
          <t>GÄVLEBORGS LÄN</t>
        </is>
      </c>
      <c r="E2178" t="inlineStr">
        <is>
          <t>OCKELBO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17642-2020</t>
        </is>
      </c>
      <c r="B2179" s="1" t="n">
        <v>43923</v>
      </c>
      <c r="C2179" s="1" t="n">
        <v>45357</v>
      </c>
      <c r="D2179" t="inlineStr">
        <is>
          <t>GÄVLEBORGS LÄN</t>
        </is>
      </c>
      <c r="E2179" t="inlineStr">
        <is>
          <t>SANDVIKEN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17648-2020</t>
        </is>
      </c>
      <c r="B2180" s="1" t="n">
        <v>43923</v>
      </c>
      <c r="C2180" s="1" t="n">
        <v>45357</v>
      </c>
      <c r="D2180" t="inlineStr">
        <is>
          <t>GÄVLEBORGS LÄN</t>
        </is>
      </c>
      <c r="E2180" t="inlineStr">
        <is>
          <t>SANDVIKEN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17650-2020</t>
        </is>
      </c>
      <c r="B2181" s="1" t="n">
        <v>43923</v>
      </c>
      <c r="C2181" s="1" t="n">
        <v>45357</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17645-2020</t>
        </is>
      </c>
      <c r="B2182" s="1" t="n">
        <v>43923</v>
      </c>
      <c r="C2182" s="1" t="n">
        <v>45357</v>
      </c>
      <c r="D2182" t="inlineStr">
        <is>
          <t>GÄVLEBORGS LÄN</t>
        </is>
      </c>
      <c r="E2182" t="inlineStr">
        <is>
          <t>SANDVIKEN</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17643-2020</t>
        </is>
      </c>
      <c r="B2183" s="1" t="n">
        <v>43923</v>
      </c>
      <c r="C2183" s="1" t="n">
        <v>45357</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17745-2020</t>
        </is>
      </c>
      <c r="B2184" s="1" t="n">
        <v>43924</v>
      </c>
      <c r="C2184" s="1" t="n">
        <v>45357</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17880-2020</t>
        </is>
      </c>
      <c r="B2185" s="1" t="n">
        <v>43924</v>
      </c>
      <c r="C2185" s="1" t="n">
        <v>45357</v>
      </c>
      <c r="D2185" t="inlineStr">
        <is>
          <t>GÄVLEBORGS LÄN</t>
        </is>
      </c>
      <c r="E2185" t="inlineStr">
        <is>
          <t>BOLLNÄS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17707-2020</t>
        </is>
      </c>
      <c r="B2186" s="1" t="n">
        <v>43924</v>
      </c>
      <c r="C2186" s="1" t="n">
        <v>45357</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17899-2020</t>
        </is>
      </c>
      <c r="B2187" s="1" t="n">
        <v>43924</v>
      </c>
      <c r="C2187" s="1" t="n">
        <v>45357</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17905-2020</t>
        </is>
      </c>
      <c r="B2188" s="1" t="n">
        <v>43924</v>
      </c>
      <c r="C2188" s="1" t="n">
        <v>45357</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17996-2020</t>
        </is>
      </c>
      <c r="B2189" s="1" t="n">
        <v>43926</v>
      </c>
      <c r="C2189" s="1" t="n">
        <v>45357</v>
      </c>
      <c r="D2189" t="inlineStr">
        <is>
          <t>GÄVLEBORGS LÄN</t>
        </is>
      </c>
      <c r="E2189" t="inlineStr">
        <is>
          <t>NORDANSTIG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17994-2020</t>
        </is>
      </c>
      <c r="B2190" s="1" t="n">
        <v>43926</v>
      </c>
      <c r="C2190" s="1" t="n">
        <v>45357</v>
      </c>
      <c r="D2190" t="inlineStr">
        <is>
          <t>GÄVLEBORGS LÄN</t>
        </is>
      </c>
      <c r="E2190" t="inlineStr">
        <is>
          <t>NORDANSTIG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17993-2020</t>
        </is>
      </c>
      <c r="B2191" s="1" t="n">
        <v>43926</v>
      </c>
      <c r="C2191" s="1" t="n">
        <v>45357</v>
      </c>
      <c r="D2191" t="inlineStr">
        <is>
          <t>GÄVLEBORGS LÄN</t>
        </is>
      </c>
      <c r="E2191" t="inlineStr">
        <is>
          <t>NORDANSTIG</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17995-2020</t>
        </is>
      </c>
      <c r="B2192" s="1" t="n">
        <v>43926</v>
      </c>
      <c r="C2192" s="1" t="n">
        <v>45357</v>
      </c>
      <c r="D2192" t="inlineStr">
        <is>
          <t>GÄVLEBORGS LÄN</t>
        </is>
      </c>
      <c r="E2192" t="inlineStr">
        <is>
          <t>NORDANSTIG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18117-2020</t>
        </is>
      </c>
      <c r="B2193" s="1" t="n">
        <v>43927</v>
      </c>
      <c r="C2193" s="1" t="n">
        <v>45357</v>
      </c>
      <c r="D2193" t="inlineStr">
        <is>
          <t>GÄVLEBORGS LÄN</t>
        </is>
      </c>
      <c r="E2193" t="inlineStr">
        <is>
          <t>NORDANSTIG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18020-2020</t>
        </is>
      </c>
      <c r="B2194" s="1" t="n">
        <v>43927</v>
      </c>
      <c r="C2194" s="1" t="n">
        <v>45357</v>
      </c>
      <c r="D2194" t="inlineStr">
        <is>
          <t>GÄVLEBORGS LÄN</t>
        </is>
      </c>
      <c r="E2194" t="inlineStr">
        <is>
          <t>BOLLNÄS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18035-2020</t>
        </is>
      </c>
      <c r="B2195" s="1" t="n">
        <v>43927</v>
      </c>
      <c r="C2195" s="1" t="n">
        <v>45357</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18301-2020</t>
        </is>
      </c>
      <c r="B2196" s="1" t="n">
        <v>43928</v>
      </c>
      <c r="C2196" s="1" t="n">
        <v>45357</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18491-2020</t>
        </is>
      </c>
      <c r="B2197" s="1" t="n">
        <v>43929</v>
      </c>
      <c r="C2197" s="1" t="n">
        <v>45357</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18535-2020</t>
        </is>
      </c>
      <c r="B2198" s="1" t="n">
        <v>43929</v>
      </c>
      <c r="C2198" s="1" t="n">
        <v>45357</v>
      </c>
      <c r="D2198" t="inlineStr">
        <is>
          <t>GÄVLEBORGS LÄN</t>
        </is>
      </c>
      <c r="E2198" t="inlineStr">
        <is>
          <t>SANDVIKEN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18699-2020</t>
        </is>
      </c>
      <c r="B2199" s="1" t="n">
        <v>43930</v>
      </c>
      <c r="C2199" s="1" t="n">
        <v>45357</v>
      </c>
      <c r="D2199" t="inlineStr">
        <is>
          <t>GÄVLEBORGS LÄN</t>
        </is>
      </c>
      <c r="E2199" t="inlineStr">
        <is>
          <t>LJUSDAL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18637-2020</t>
        </is>
      </c>
      <c r="B2200" s="1" t="n">
        <v>43930</v>
      </c>
      <c r="C2200" s="1" t="n">
        <v>45357</v>
      </c>
      <c r="D2200" t="inlineStr">
        <is>
          <t>GÄVLEBORGS LÄN</t>
        </is>
      </c>
      <c r="E2200" t="inlineStr">
        <is>
          <t>BOLLNÄS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18762-2020</t>
        </is>
      </c>
      <c r="B2201" s="1" t="n">
        <v>43930</v>
      </c>
      <c r="C2201" s="1" t="n">
        <v>45357</v>
      </c>
      <c r="D2201" t="inlineStr">
        <is>
          <t>GÄVLEBORGS LÄN</t>
        </is>
      </c>
      <c r="E2201" t="inlineStr">
        <is>
          <t>NORDANSTIG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18712-2020</t>
        </is>
      </c>
      <c r="B2202" s="1" t="n">
        <v>43930</v>
      </c>
      <c r="C2202" s="1" t="n">
        <v>45357</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18766-2020</t>
        </is>
      </c>
      <c r="B2203" s="1" t="n">
        <v>43930</v>
      </c>
      <c r="C2203" s="1" t="n">
        <v>45357</v>
      </c>
      <c r="D2203" t="inlineStr">
        <is>
          <t>GÄVLEBORGS LÄN</t>
        </is>
      </c>
      <c r="E2203" t="inlineStr">
        <is>
          <t>NORDANSTIG</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18913-2020</t>
        </is>
      </c>
      <c r="B2204" s="1" t="n">
        <v>43935</v>
      </c>
      <c r="C2204" s="1" t="n">
        <v>45357</v>
      </c>
      <c r="D2204" t="inlineStr">
        <is>
          <t>GÄVLEBORGS LÄN</t>
        </is>
      </c>
      <c r="E2204" t="inlineStr">
        <is>
          <t>LJUSDAL</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18935-2020</t>
        </is>
      </c>
      <c r="B2205" s="1" t="n">
        <v>43935</v>
      </c>
      <c r="C2205" s="1" t="n">
        <v>45357</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18914-2020</t>
        </is>
      </c>
      <c r="B2206" s="1" t="n">
        <v>43935</v>
      </c>
      <c r="C2206" s="1" t="n">
        <v>45357</v>
      </c>
      <c r="D2206" t="inlineStr">
        <is>
          <t>GÄVLEBORGS LÄN</t>
        </is>
      </c>
      <c r="E2206" t="inlineStr">
        <is>
          <t>SÖDERHAMN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18924-2020</t>
        </is>
      </c>
      <c r="B2207" s="1" t="n">
        <v>43935</v>
      </c>
      <c r="C2207" s="1" t="n">
        <v>45357</v>
      </c>
      <c r="D2207" t="inlineStr">
        <is>
          <t>GÄVLEBORGS LÄN</t>
        </is>
      </c>
      <c r="E2207" t="inlineStr">
        <is>
          <t>HUDIKSVALL</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18929-2020</t>
        </is>
      </c>
      <c r="B2208" s="1" t="n">
        <v>43935</v>
      </c>
      <c r="C2208" s="1" t="n">
        <v>45357</v>
      </c>
      <c r="D2208" t="inlineStr">
        <is>
          <t>GÄVLEBORGS LÄN</t>
        </is>
      </c>
      <c r="E2208" t="inlineStr">
        <is>
          <t>OVANÅKER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19131-2020</t>
        </is>
      </c>
      <c r="B2209" s="1" t="n">
        <v>43936</v>
      </c>
      <c r="C2209" s="1" t="n">
        <v>45357</v>
      </c>
      <c r="D2209" t="inlineStr">
        <is>
          <t>GÄVLEBORGS LÄN</t>
        </is>
      </c>
      <c r="E2209" t="inlineStr">
        <is>
          <t>OVANÅKER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19054-2020</t>
        </is>
      </c>
      <c r="B2210" s="1" t="n">
        <v>43936</v>
      </c>
      <c r="C2210" s="1" t="n">
        <v>45357</v>
      </c>
      <c r="D2210" t="inlineStr">
        <is>
          <t>GÄVLEBORGS LÄN</t>
        </is>
      </c>
      <c r="E2210" t="inlineStr">
        <is>
          <t>GÄVLE</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19170-2020</t>
        </is>
      </c>
      <c r="B2211" s="1" t="n">
        <v>43937</v>
      </c>
      <c r="C2211" s="1" t="n">
        <v>45357</v>
      </c>
      <c r="D2211" t="inlineStr">
        <is>
          <t>GÄVLEBORGS LÄN</t>
        </is>
      </c>
      <c r="E2211" t="inlineStr">
        <is>
          <t>HUDIKSVALL</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19262-2020</t>
        </is>
      </c>
      <c r="B2212" s="1" t="n">
        <v>43937</v>
      </c>
      <c r="C2212" s="1" t="n">
        <v>45357</v>
      </c>
      <c r="D2212" t="inlineStr">
        <is>
          <t>GÄVLEBORGS LÄN</t>
        </is>
      </c>
      <c r="E2212" t="inlineStr">
        <is>
          <t>OVANÅKER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19293-2020</t>
        </is>
      </c>
      <c r="B2213" s="1" t="n">
        <v>43937</v>
      </c>
      <c r="C2213" s="1" t="n">
        <v>45357</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19269-2020</t>
        </is>
      </c>
      <c r="B2214" s="1" t="n">
        <v>43937</v>
      </c>
      <c r="C2214" s="1" t="n">
        <v>45357</v>
      </c>
      <c r="D2214" t="inlineStr">
        <is>
          <t>GÄVLEBORGS LÄN</t>
        </is>
      </c>
      <c r="E2214" t="inlineStr">
        <is>
          <t>OVANÅKER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19417-2020</t>
        </is>
      </c>
      <c r="B2215" s="1" t="n">
        <v>43938</v>
      </c>
      <c r="C2215" s="1" t="n">
        <v>45357</v>
      </c>
      <c r="D2215" t="inlineStr">
        <is>
          <t>GÄVLEBORGS LÄN</t>
        </is>
      </c>
      <c r="E2215" t="inlineStr">
        <is>
          <t>SÖDERHAMN</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19403-2020</t>
        </is>
      </c>
      <c r="B2216" s="1" t="n">
        <v>43938</v>
      </c>
      <c r="C2216" s="1" t="n">
        <v>45357</v>
      </c>
      <c r="D2216" t="inlineStr">
        <is>
          <t>GÄVLEBORGS LÄN</t>
        </is>
      </c>
      <c r="E2216" t="inlineStr">
        <is>
          <t>SÖDERHAMN</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19788-2020</t>
        </is>
      </c>
      <c r="B2217" s="1" t="n">
        <v>43942</v>
      </c>
      <c r="C2217" s="1" t="n">
        <v>45357</v>
      </c>
      <c r="D2217" t="inlineStr">
        <is>
          <t>GÄVLEBORGS LÄN</t>
        </is>
      </c>
      <c r="E2217" t="inlineStr">
        <is>
          <t>OVANÅKER</t>
        </is>
      </c>
      <c r="F2217" t="inlineStr">
        <is>
          <t>Bergvik skog väst AB</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19847-2020</t>
        </is>
      </c>
      <c r="B2218" s="1" t="n">
        <v>43942</v>
      </c>
      <c r="C2218" s="1" t="n">
        <v>45357</v>
      </c>
      <c r="D2218" t="inlineStr">
        <is>
          <t>GÄVLEBORGS LÄN</t>
        </is>
      </c>
      <c r="E2218" t="inlineStr">
        <is>
          <t>NORDANSTIG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19813-2020</t>
        </is>
      </c>
      <c r="B2219" s="1" t="n">
        <v>43942</v>
      </c>
      <c r="C2219" s="1" t="n">
        <v>45357</v>
      </c>
      <c r="D2219" t="inlineStr">
        <is>
          <t>GÄVLEBORGS LÄN</t>
        </is>
      </c>
      <c r="E2219" t="inlineStr">
        <is>
          <t>HUDIKSVALL</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19873-2020</t>
        </is>
      </c>
      <c r="B2220" s="1" t="n">
        <v>43942</v>
      </c>
      <c r="C2220" s="1" t="n">
        <v>45357</v>
      </c>
      <c r="D2220" t="inlineStr">
        <is>
          <t>GÄVLEBORGS LÄN</t>
        </is>
      </c>
      <c r="E2220" t="inlineStr">
        <is>
          <t>GÄVLE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19797-2020</t>
        </is>
      </c>
      <c r="B2221" s="1" t="n">
        <v>43942</v>
      </c>
      <c r="C2221" s="1" t="n">
        <v>45357</v>
      </c>
      <c r="D2221" t="inlineStr">
        <is>
          <t>GÄVLEBORGS LÄN</t>
        </is>
      </c>
      <c r="E2221" t="inlineStr">
        <is>
          <t>OVANÅKER</t>
        </is>
      </c>
      <c r="F2221" t="inlineStr">
        <is>
          <t>Bergvik skog väst AB</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20043-2020</t>
        </is>
      </c>
      <c r="B2222" s="1" t="n">
        <v>43943</v>
      </c>
      <c r="C2222" s="1" t="n">
        <v>45357</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20065-2020</t>
        </is>
      </c>
      <c r="B2223" s="1" t="n">
        <v>43943</v>
      </c>
      <c r="C2223" s="1" t="n">
        <v>45357</v>
      </c>
      <c r="D2223" t="inlineStr">
        <is>
          <t>GÄVLEBORGS LÄN</t>
        </is>
      </c>
      <c r="E2223" t="inlineStr">
        <is>
          <t>NORDANSTIG</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19919-2020</t>
        </is>
      </c>
      <c r="B2224" s="1" t="n">
        <v>43943</v>
      </c>
      <c r="C2224" s="1" t="n">
        <v>45357</v>
      </c>
      <c r="D2224" t="inlineStr">
        <is>
          <t>GÄVLEBORGS LÄN</t>
        </is>
      </c>
      <c r="E2224" t="inlineStr">
        <is>
          <t>HUDIKSVALL</t>
        </is>
      </c>
      <c r="F2224" t="inlineStr">
        <is>
          <t>Holmen skog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20048-2020</t>
        </is>
      </c>
      <c r="B2225" s="1" t="n">
        <v>43943</v>
      </c>
      <c r="C2225" s="1" t="n">
        <v>45357</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20055-2020</t>
        </is>
      </c>
      <c r="B2226" s="1" t="n">
        <v>43943</v>
      </c>
      <c r="C2226" s="1" t="n">
        <v>45357</v>
      </c>
      <c r="D2226" t="inlineStr">
        <is>
          <t>GÄVLEBORGS LÄN</t>
        </is>
      </c>
      <c r="E2226" t="inlineStr">
        <is>
          <t>HUDIKSVALL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20078-2020</t>
        </is>
      </c>
      <c r="B2227" s="1" t="n">
        <v>43943</v>
      </c>
      <c r="C2227" s="1" t="n">
        <v>45357</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20093-2020</t>
        </is>
      </c>
      <c r="B2228" s="1" t="n">
        <v>43943</v>
      </c>
      <c r="C2228" s="1" t="n">
        <v>45357</v>
      </c>
      <c r="D2228" t="inlineStr">
        <is>
          <t>GÄVLEBORGS LÄN</t>
        </is>
      </c>
      <c r="E2228" t="inlineStr">
        <is>
          <t>LJUSDAL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19920-2020</t>
        </is>
      </c>
      <c r="B2229" s="1" t="n">
        <v>43943</v>
      </c>
      <c r="C2229" s="1" t="n">
        <v>45357</v>
      </c>
      <c r="D2229" t="inlineStr">
        <is>
          <t>GÄVLEBORGS LÄN</t>
        </is>
      </c>
      <c r="E2229" t="inlineStr">
        <is>
          <t>SÖDERHAMN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20076-2020</t>
        </is>
      </c>
      <c r="B2230" s="1" t="n">
        <v>43943</v>
      </c>
      <c r="C2230" s="1" t="n">
        <v>45357</v>
      </c>
      <c r="D2230" t="inlineStr">
        <is>
          <t>GÄVLEBORGS LÄN</t>
        </is>
      </c>
      <c r="E2230" t="inlineStr">
        <is>
          <t>LJUSDAL</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20132-2020</t>
        </is>
      </c>
      <c r="B2231" s="1" t="n">
        <v>43944</v>
      </c>
      <c r="C2231" s="1" t="n">
        <v>45357</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20215-2020</t>
        </is>
      </c>
      <c r="B2232" s="1" t="n">
        <v>43944</v>
      </c>
      <c r="C2232" s="1" t="n">
        <v>45357</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20224-2020</t>
        </is>
      </c>
      <c r="B2233" s="1" t="n">
        <v>43944</v>
      </c>
      <c r="C2233" s="1" t="n">
        <v>45357</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20104-2020</t>
        </is>
      </c>
      <c r="B2234" s="1" t="n">
        <v>43944</v>
      </c>
      <c r="C2234" s="1" t="n">
        <v>45357</v>
      </c>
      <c r="D2234" t="inlineStr">
        <is>
          <t>GÄVLEBORGS LÄN</t>
        </is>
      </c>
      <c r="E2234" t="inlineStr">
        <is>
          <t>HUDIKSVALL</t>
        </is>
      </c>
      <c r="F2234" t="inlineStr">
        <is>
          <t>Holmen skog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20308-2020</t>
        </is>
      </c>
      <c r="B2235" s="1" t="n">
        <v>43945</v>
      </c>
      <c r="C2235" s="1" t="n">
        <v>45357</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20315-2020</t>
        </is>
      </c>
      <c r="B2236" s="1" t="n">
        <v>43945</v>
      </c>
      <c r="C2236" s="1" t="n">
        <v>45357</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20346-2020</t>
        </is>
      </c>
      <c r="B2237" s="1" t="n">
        <v>43945</v>
      </c>
      <c r="C2237" s="1" t="n">
        <v>45357</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20365-2020</t>
        </is>
      </c>
      <c r="B2238" s="1" t="n">
        <v>43945</v>
      </c>
      <c r="C2238" s="1" t="n">
        <v>45357</v>
      </c>
      <c r="D2238" t="inlineStr">
        <is>
          <t>GÄVLEBORGS LÄN</t>
        </is>
      </c>
      <c r="E2238" t="inlineStr">
        <is>
          <t>LJUSDAL</t>
        </is>
      </c>
      <c r="F2238" t="inlineStr">
        <is>
          <t>Allmännings- och besparingsskogar</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20347-2020</t>
        </is>
      </c>
      <c r="B2239" s="1" t="n">
        <v>43945</v>
      </c>
      <c r="C2239" s="1" t="n">
        <v>45357</v>
      </c>
      <c r="D2239" t="inlineStr">
        <is>
          <t>GÄVLEBORGS LÄN</t>
        </is>
      </c>
      <c r="E2239" t="inlineStr">
        <is>
          <t>LJUSDAL</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20409-2020</t>
        </is>
      </c>
      <c r="B2240" s="1" t="n">
        <v>43945</v>
      </c>
      <c r="C2240" s="1" t="n">
        <v>45357</v>
      </c>
      <c r="D2240" t="inlineStr">
        <is>
          <t>GÄVLEBORGS LÄN</t>
        </is>
      </c>
      <c r="E2240" t="inlineStr">
        <is>
          <t>SANDVIKEN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20244-2020</t>
        </is>
      </c>
      <c r="B2241" s="1" t="n">
        <v>43945</v>
      </c>
      <c r="C2241" s="1" t="n">
        <v>45357</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20364-2020</t>
        </is>
      </c>
      <c r="B2242" s="1" t="n">
        <v>43945</v>
      </c>
      <c r="C2242" s="1" t="n">
        <v>45357</v>
      </c>
      <c r="D2242" t="inlineStr">
        <is>
          <t>GÄVLEBORGS LÄN</t>
        </is>
      </c>
      <c r="E2242" t="inlineStr">
        <is>
          <t>NORDANSTIG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20385-2020</t>
        </is>
      </c>
      <c r="B2243" s="1" t="n">
        <v>43945</v>
      </c>
      <c r="C2243" s="1" t="n">
        <v>45357</v>
      </c>
      <c r="D2243" t="inlineStr">
        <is>
          <t>GÄVLEBORGS LÄN</t>
        </is>
      </c>
      <c r="E2243" t="inlineStr">
        <is>
          <t>NORDANSTIG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20256-2020</t>
        </is>
      </c>
      <c r="B2244" s="1" t="n">
        <v>43945</v>
      </c>
      <c r="C2244" s="1" t="n">
        <v>45357</v>
      </c>
      <c r="D2244" t="inlineStr">
        <is>
          <t>GÄVLEBORGS LÄN</t>
        </is>
      </c>
      <c r="E2244" t="inlineStr">
        <is>
          <t>LJUSDAL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20259-2020</t>
        </is>
      </c>
      <c r="B2245" s="1" t="n">
        <v>43945</v>
      </c>
      <c r="C2245" s="1" t="n">
        <v>45357</v>
      </c>
      <c r="D2245" t="inlineStr">
        <is>
          <t>GÄVLEBORGS LÄN</t>
        </is>
      </c>
      <c r="E2245" t="inlineStr">
        <is>
          <t>LJUSDAL</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20499-2020</t>
        </is>
      </c>
      <c r="B2246" s="1" t="n">
        <v>43948</v>
      </c>
      <c r="C2246" s="1" t="n">
        <v>45357</v>
      </c>
      <c r="D2246" t="inlineStr">
        <is>
          <t>GÄVLEBORGS LÄN</t>
        </is>
      </c>
      <c r="E2246" t="inlineStr">
        <is>
          <t>OVANÅKER</t>
        </is>
      </c>
      <c r="F2246" t="inlineStr">
        <is>
          <t>Bergvik skog väst AB</t>
        </is>
      </c>
      <c r="G2246" t="n">
        <v>43.9</v>
      </c>
      <c r="H2246" t="n">
        <v>0</v>
      </c>
      <c r="I2246" t="n">
        <v>0</v>
      </c>
      <c r="J2246" t="n">
        <v>0</v>
      </c>
      <c r="K2246" t="n">
        <v>0</v>
      </c>
      <c r="L2246" t="n">
        <v>0</v>
      </c>
      <c r="M2246" t="n">
        <v>0</v>
      </c>
      <c r="N2246" t="n">
        <v>0</v>
      </c>
      <c r="O2246" t="n">
        <v>0</v>
      </c>
      <c r="P2246" t="n">
        <v>0</v>
      </c>
      <c r="Q2246" t="n">
        <v>0</v>
      </c>
      <c r="R2246" s="2" t="inlineStr"/>
    </row>
    <row r="2247" ht="15" customHeight="1">
      <c r="A2247" t="inlineStr">
        <is>
          <t>A 20475-2020</t>
        </is>
      </c>
      <c r="B2247" s="1" t="n">
        <v>43948</v>
      </c>
      <c r="C2247" s="1" t="n">
        <v>45357</v>
      </c>
      <c r="D2247" t="inlineStr">
        <is>
          <t>GÄVLEBORGS LÄN</t>
        </is>
      </c>
      <c r="E2247" t="inlineStr">
        <is>
          <t>OCKELBO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20570-2020</t>
        </is>
      </c>
      <c r="B2248" s="1" t="n">
        <v>43948</v>
      </c>
      <c r="C2248" s="1" t="n">
        <v>45357</v>
      </c>
      <c r="D2248" t="inlineStr">
        <is>
          <t>GÄVLEBORGS LÄN</t>
        </is>
      </c>
      <c r="E2248" t="inlineStr">
        <is>
          <t>HUDIKSVALL</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20785-2020</t>
        </is>
      </c>
      <c r="B2249" s="1" t="n">
        <v>43949</v>
      </c>
      <c r="C2249" s="1" t="n">
        <v>45357</v>
      </c>
      <c r="D2249" t="inlineStr">
        <is>
          <t>GÄVLEBORGS LÄN</t>
        </is>
      </c>
      <c r="E2249" t="inlineStr">
        <is>
          <t>LJUSDAL</t>
        </is>
      </c>
      <c r="F2249" t="inlineStr">
        <is>
          <t>Sveaskog</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20697-2020</t>
        </is>
      </c>
      <c r="B2250" s="1" t="n">
        <v>43949</v>
      </c>
      <c r="C2250" s="1" t="n">
        <v>45357</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20692-2020</t>
        </is>
      </c>
      <c r="B2251" s="1" t="n">
        <v>43949</v>
      </c>
      <c r="C2251" s="1" t="n">
        <v>45357</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20737-2020</t>
        </is>
      </c>
      <c r="B2252" s="1" t="n">
        <v>43949</v>
      </c>
      <c r="C2252" s="1" t="n">
        <v>45357</v>
      </c>
      <c r="D2252" t="inlineStr">
        <is>
          <t>GÄVLEBORGS LÄN</t>
        </is>
      </c>
      <c r="E2252" t="inlineStr">
        <is>
          <t>HUDIKSVALL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20631-2020</t>
        </is>
      </c>
      <c r="B2253" s="1" t="n">
        <v>43949</v>
      </c>
      <c r="C2253" s="1" t="n">
        <v>45357</v>
      </c>
      <c r="D2253" t="inlineStr">
        <is>
          <t>GÄVLEBORGS LÄN</t>
        </is>
      </c>
      <c r="E2253" t="inlineStr">
        <is>
          <t>OVANÅKER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20850-2020</t>
        </is>
      </c>
      <c r="B2254" s="1" t="n">
        <v>43950</v>
      </c>
      <c r="C2254" s="1" t="n">
        <v>45357</v>
      </c>
      <c r="D2254" t="inlineStr">
        <is>
          <t>GÄVLEBORGS LÄN</t>
        </is>
      </c>
      <c r="E2254" t="inlineStr">
        <is>
          <t>OVANÅKER</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20941-2020</t>
        </is>
      </c>
      <c r="B2255" s="1" t="n">
        <v>43950</v>
      </c>
      <c r="C2255" s="1" t="n">
        <v>45357</v>
      </c>
      <c r="D2255" t="inlineStr">
        <is>
          <t>GÄVLEBORGS LÄN</t>
        </is>
      </c>
      <c r="E2255" t="inlineStr">
        <is>
          <t>HUDIKSVALL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21039-2020</t>
        </is>
      </c>
      <c r="B2256" s="1" t="n">
        <v>43951</v>
      </c>
      <c r="C2256" s="1" t="n">
        <v>45357</v>
      </c>
      <c r="D2256" t="inlineStr">
        <is>
          <t>GÄVLEBORGS LÄN</t>
        </is>
      </c>
      <c r="E2256" t="inlineStr">
        <is>
          <t>HUDIKSVALL</t>
        </is>
      </c>
      <c r="F2256" t="inlineStr">
        <is>
          <t>Holmen skog AB</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21132-2020</t>
        </is>
      </c>
      <c r="B2257" s="1" t="n">
        <v>43951</v>
      </c>
      <c r="C2257" s="1" t="n">
        <v>45357</v>
      </c>
      <c r="D2257" t="inlineStr">
        <is>
          <t>GÄVLEBORGS LÄN</t>
        </is>
      </c>
      <c r="E2257" t="inlineStr">
        <is>
          <t>LJUSDAL</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21198-2020</t>
        </is>
      </c>
      <c r="B2258" s="1" t="n">
        <v>43951</v>
      </c>
      <c r="C2258" s="1" t="n">
        <v>45357</v>
      </c>
      <c r="D2258" t="inlineStr">
        <is>
          <t>GÄVLEBORGS LÄN</t>
        </is>
      </c>
      <c r="E2258" t="inlineStr">
        <is>
          <t>LJUSDAL</t>
        </is>
      </c>
      <c r="F2258" t="inlineStr">
        <is>
          <t>Sveaskog</t>
        </is>
      </c>
      <c r="G2258" t="n">
        <v>38.7</v>
      </c>
      <c r="H2258" t="n">
        <v>0</v>
      </c>
      <c r="I2258" t="n">
        <v>0</v>
      </c>
      <c r="J2258" t="n">
        <v>0</v>
      </c>
      <c r="K2258" t="n">
        <v>0</v>
      </c>
      <c r="L2258" t="n">
        <v>0</v>
      </c>
      <c r="M2258" t="n">
        <v>0</v>
      </c>
      <c r="N2258" t="n">
        <v>0</v>
      </c>
      <c r="O2258" t="n">
        <v>0</v>
      </c>
      <c r="P2258" t="n">
        <v>0</v>
      </c>
      <c r="Q2258" t="n">
        <v>0</v>
      </c>
      <c r="R2258" s="2" t="inlineStr"/>
    </row>
    <row r="2259" ht="15" customHeight="1">
      <c r="A2259" t="inlineStr">
        <is>
          <t>A 21080-2020</t>
        </is>
      </c>
      <c r="B2259" s="1" t="n">
        <v>43951</v>
      </c>
      <c r="C2259" s="1" t="n">
        <v>45357</v>
      </c>
      <c r="D2259" t="inlineStr">
        <is>
          <t>GÄVLEBORGS LÄN</t>
        </is>
      </c>
      <c r="E2259" t="inlineStr">
        <is>
          <t>GÄVLE</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21145-2020</t>
        </is>
      </c>
      <c r="B2260" s="1" t="n">
        <v>43951</v>
      </c>
      <c r="C2260" s="1" t="n">
        <v>45357</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21129-2020</t>
        </is>
      </c>
      <c r="B2261" s="1" t="n">
        <v>43951</v>
      </c>
      <c r="C2261" s="1" t="n">
        <v>45357</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21193-2020</t>
        </is>
      </c>
      <c r="B2262" s="1" t="n">
        <v>43951</v>
      </c>
      <c r="C2262" s="1" t="n">
        <v>45357</v>
      </c>
      <c r="D2262" t="inlineStr">
        <is>
          <t>GÄVLEBORGS LÄN</t>
        </is>
      </c>
      <c r="E2262" t="inlineStr">
        <is>
          <t>HUDIKSVALL</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21060-2020</t>
        </is>
      </c>
      <c r="B2263" s="1" t="n">
        <v>43951</v>
      </c>
      <c r="C2263" s="1" t="n">
        <v>45357</v>
      </c>
      <c r="D2263" t="inlineStr">
        <is>
          <t>GÄVLEBORGS LÄN</t>
        </is>
      </c>
      <c r="E2263" t="inlineStr">
        <is>
          <t>LJUSDAL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21078-2020</t>
        </is>
      </c>
      <c r="B2264" s="1" t="n">
        <v>43951</v>
      </c>
      <c r="C2264" s="1" t="n">
        <v>45357</v>
      </c>
      <c r="D2264" t="inlineStr">
        <is>
          <t>GÄVLEBORGS LÄN</t>
        </is>
      </c>
      <c r="E2264" t="inlineStr">
        <is>
          <t>LJUSDAL</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21188-2020</t>
        </is>
      </c>
      <c r="B2265" s="1" t="n">
        <v>43951</v>
      </c>
      <c r="C2265" s="1" t="n">
        <v>45357</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21182-2020</t>
        </is>
      </c>
      <c r="B2266" s="1" t="n">
        <v>43951</v>
      </c>
      <c r="C2266" s="1" t="n">
        <v>45357</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21137-2020</t>
        </is>
      </c>
      <c r="B2267" s="1" t="n">
        <v>43951</v>
      </c>
      <c r="C2267" s="1" t="n">
        <v>45357</v>
      </c>
      <c r="D2267" t="inlineStr">
        <is>
          <t>GÄVLEBORGS LÄN</t>
        </is>
      </c>
      <c r="E2267" t="inlineStr">
        <is>
          <t>NORDANSTIG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21255-2020</t>
        </is>
      </c>
      <c r="B2268" s="1" t="n">
        <v>43955</v>
      </c>
      <c r="C2268" s="1" t="n">
        <v>45357</v>
      </c>
      <c r="D2268" t="inlineStr">
        <is>
          <t>GÄVLEBORGS LÄN</t>
        </is>
      </c>
      <c r="E2268" t="inlineStr">
        <is>
          <t>OCKELBO</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21349-2020</t>
        </is>
      </c>
      <c r="B2269" s="1" t="n">
        <v>43955</v>
      </c>
      <c r="C2269" s="1" t="n">
        <v>45357</v>
      </c>
      <c r="D2269" t="inlineStr">
        <is>
          <t>GÄVLEBORGS LÄN</t>
        </is>
      </c>
      <c r="E2269" t="inlineStr">
        <is>
          <t>SÖDERHAMN</t>
        </is>
      </c>
      <c r="F2269" t="inlineStr">
        <is>
          <t>Kommuner</t>
        </is>
      </c>
      <c r="G2269" t="n">
        <v>16.2</v>
      </c>
      <c r="H2269" t="n">
        <v>0</v>
      </c>
      <c r="I2269" t="n">
        <v>0</v>
      </c>
      <c r="J2269" t="n">
        <v>0</v>
      </c>
      <c r="K2269" t="n">
        <v>0</v>
      </c>
      <c r="L2269" t="n">
        <v>0</v>
      </c>
      <c r="M2269" t="n">
        <v>0</v>
      </c>
      <c r="N2269" t="n">
        <v>0</v>
      </c>
      <c r="O2269" t="n">
        <v>0</v>
      </c>
      <c r="P2269" t="n">
        <v>0</v>
      </c>
      <c r="Q2269" t="n">
        <v>0</v>
      </c>
      <c r="R2269" s="2" t="inlineStr"/>
    </row>
    <row r="2270" ht="15" customHeight="1">
      <c r="A2270" t="inlineStr">
        <is>
          <t>A 21316-2020</t>
        </is>
      </c>
      <c r="B2270" s="1" t="n">
        <v>43955</v>
      </c>
      <c r="C2270" s="1" t="n">
        <v>45357</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21313-2020</t>
        </is>
      </c>
      <c r="B2271" s="1" t="n">
        <v>43955</v>
      </c>
      <c r="C2271" s="1" t="n">
        <v>45357</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21424-2020</t>
        </is>
      </c>
      <c r="B2272" s="1" t="n">
        <v>43955</v>
      </c>
      <c r="C2272" s="1" t="n">
        <v>45357</v>
      </c>
      <c r="D2272" t="inlineStr">
        <is>
          <t>GÄVLEBORGS LÄN</t>
        </is>
      </c>
      <c r="E2272" t="inlineStr">
        <is>
          <t>NORDANSTIG</t>
        </is>
      </c>
      <c r="G2272" t="n">
        <v>34.4</v>
      </c>
      <c r="H2272" t="n">
        <v>0</v>
      </c>
      <c r="I2272" t="n">
        <v>0</v>
      </c>
      <c r="J2272" t="n">
        <v>0</v>
      </c>
      <c r="K2272" t="n">
        <v>0</v>
      </c>
      <c r="L2272" t="n">
        <v>0</v>
      </c>
      <c r="M2272" t="n">
        <v>0</v>
      </c>
      <c r="N2272" t="n">
        <v>0</v>
      </c>
      <c r="O2272" t="n">
        <v>0</v>
      </c>
      <c r="P2272" t="n">
        <v>0</v>
      </c>
      <c r="Q2272" t="n">
        <v>0</v>
      </c>
      <c r="R2272" s="2" t="inlineStr"/>
    </row>
    <row r="2273" ht="15" customHeight="1">
      <c r="A2273" t="inlineStr">
        <is>
          <t>A 21379-2020</t>
        </is>
      </c>
      <c r="B2273" s="1" t="n">
        <v>43955</v>
      </c>
      <c r="C2273" s="1" t="n">
        <v>45357</v>
      </c>
      <c r="D2273" t="inlineStr">
        <is>
          <t>GÄVLEBORGS LÄN</t>
        </is>
      </c>
      <c r="E2273" t="inlineStr">
        <is>
          <t>GÄVLE</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21422-2020</t>
        </is>
      </c>
      <c r="B2274" s="1" t="n">
        <v>43955</v>
      </c>
      <c r="C2274" s="1" t="n">
        <v>45357</v>
      </c>
      <c r="D2274" t="inlineStr">
        <is>
          <t>GÄVLEBORGS LÄN</t>
        </is>
      </c>
      <c r="E2274" t="inlineStr">
        <is>
          <t>NORDANSTIG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21431-2020</t>
        </is>
      </c>
      <c r="B2275" s="1" t="n">
        <v>43956</v>
      </c>
      <c r="C2275" s="1" t="n">
        <v>45357</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21556-2020</t>
        </is>
      </c>
      <c r="B2276" s="1" t="n">
        <v>43956</v>
      </c>
      <c r="C2276" s="1" t="n">
        <v>45357</v>
      </c>
      <c r="D2276" t="inlineStr">
        <is>
          <t>GÄVLEBORGS LÄN</t>
        </is>
      </c>
      <c r="E2276" t="inlineStr">
        <is>
          <t>NORDANSTIG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21549-2020</t>
        </is>
      </c>
      <c r="B2277" s="1" t="n">
        <v>43956</v>
      </c>
      <c r="C2277" s="1" t="n">
        <v>45357</v>
      </c>
      <c r="D2277" t="inlineStr">
        <is>
          <t>GÄVLEBORGS LÄN</t>
        </is>
      </c>
      <c r="E2277" t="inlineStr">
        <is>
          <t>NORDANSTIG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21647-2020</t>
        </is>
      </c>
      <c r="B2278" s="1" t="n">
        <v>43957</v>
      </c>
      <c r="C2278" s="1" t="n">
        <v>45357</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21639-2020</t>
        </is>
      </c>
      <c r="B2279" s="1" t="n">
        <v>43957</v>
      </c>
      <c r="C2279" s="1" t="n">
        <v>45357</v>
      </c>
      <c r="D2279" t="inlineStr">
        <is>
          <t>GÄVLEBORGS LÄN</t>
        </is>
      </c>
      <c r="E2279" t="inlineStr">
        <is>
          <t>OVANÅKER</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21803-2020</t>
        </is>
      </c>
      <c r="B2280" s="1" t="n">
        <v>43958</v>
      </c>
      <c r="C2280" s="1" t="n">
        <v>45357</v>
      </c>
      <c r="D2280" t="inlineStr">
        <is>
          <t>GÄVLEBORGS LÄN</t>
        </is>
      </c>
      <c r="E2280" t="inlineStr">
        <is>
          <t>HUDIKSVALL</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21898-2020</t>
        </is>
      </c>
      <c r="B2281" s="1" t="n">
        <v>43958</v>
      </c>
      <c r="C2281" s="1" t="n">
        <v>45357</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21899-2020</t>
        </is>
      </c>
      <c r="B2282" s="1" t="n">
        <v>43958</v>
      </c>
      <c r="C2282" s="1" t="n">
        <v>45357</v>
      </c>
      <c r="D2282" t="inlineStr">
        <is>
          <t>GÄVLEBORGS LÄN</t>
        </is>
      </c>
      <c r="E2282" t="inlineStr">
        <is>
          <t>NORDANSTIG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21926-2020</t>
        </is>
      </c>
      <c r="B2283" s="1" t="n">
        <v>43958</v>
      </c>
      <c r="C2283" s="1" t="n">
        <v>45357</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21961-2020</t>
        </is>
      </c>
      <c r="B2284" s="1" t="n">
        <v>43958</v>
      </c>
      <c r="C2284" s="1" t="n">
        <v>45357</v>
      </c>
      <c r="D2284" t="inlineStr">
        <is>
          <t>GÄVLEBORGS LÄN</t>
        </is>
      </c>
      <c r="E2284" t="inlineStr">
        <is>
          <t>HUDIKSVALL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22004-2020</t>
        </is>
      </c>
      <c r="B2285" s="1" t="n">
        <v>43959</v>
      </c>
      <c r="C2285" s="1" t="n">
        <v>45357</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21981-2020</t>
        </is>
      </c>
      <c r="B2286" s="1" t="n">
        <v>43959</v>
      </c>
      <c r="C2286" s="1" t="n">
        <v>45357</v>
      </c>
      <c r="D2286" t="inlineStr">
        <is>
          <t>GÄVLEBORGS LÄN</t>
        </is>
      </c>
      <c r="E2286" t="inlineStr">
        <is>
          <t>GÄVLE</t>
        </is>
      </c>
      <c r="F2286" t="inlineStr">
        <is>
          <t>Bergvik skog öst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22018-2020</t>
        </is>
      </c>
      <c r="B2287" s="1" t="n">
        <v>43959</v>
      </c>
      <c r="C2287" s="1" t="n">
        <v>45357</v>
      </c>
      <c r="D2287" t="inlineStr">
        <is>
          <t>GÄVLEBORGS LÄN</t>
        </is>
      </c>
      <c r="E2287" t="inlineStr">
        <is>
          <t>LJUSDAL</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22002-2020</t>
        </is>
      </c>
      <c r="B2288" s="1" t="n">
        <v>43959</v>
      </c>
      <c r="C2288" s="1" t="n">
        <v>45357</v>
      </c>
      <c r="D2288" t="inlineStr">
        <is>
          <t>GÄVLEBORGS LÄN</t>
        </is>
      </c>
      <c r="E2288" t="inlineStr">
        <is>
          <t>LJUSDAL</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22000-2020</t>
        </is>
      </c>
      <c r="B2289" s="1" t="n">
        <v>43959</v>
      </c>
      <c r="C2289" s="1" t="n">
        <v>45357</v>
      </c>
      <c r="D2289" t="inlineStr">
        <is>
          <t>GÄVLEBORGS LÄN</t>
        </is>
      </c>
      <c r="E2289" t="inlineStr">
        <is>
          <t>SANDVIKEN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22074-2020</t>
        </is>
      </c>
      <c r="B2290" s="1" t="n">
        <v>43959</v>
      </c>
      <c r="C2290" s="1" t="n">
        <v>45357</v>
      </c>
      <c r="D2290" t="inlineStr">
        <is>
          <t>GÄVLEBORGS LÄN</t>
        </is>
      </c>
      <c r="E2290" t="inlineStr">
        <is>
          <t>NORDANSTIG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22006-2020</t>
        </is>
      </c>
      <c r="B2291" s="1" t="n">
        <v>43959</v>
      </c>
      <c r="C2291" s="1" t="n">
        <v>45357</v>
      </c>
      <c r="D2291" t="inlineStr">
        <is>
          <t>GÄVLEBORGS LÄN</t>
        </is>
      </c>
      <c r="E2291" t="inlineStr">
        <is>
          <t>LJUSDAL</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22160-2020</t>
        </is>
      </c>
      <c r="B2292" s="1" t="n">
        <v>43962</v>
      </c>
      <c r="C2292" s="1" t="n">
        <v>45357</v>
      </c>
      <c r="D2292" t="inlineStr">
        <is>
          <t>GÄVLEBORGS LÄN</t>
        </is>
      </c>
      <c r="E2292" t="inlineStr">
        <is>
          <t>LJUSDAL</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22187-2020</t>
        </is>
      </c>
      <c r="B2293" s="1" t="n">
        <v>43962</v>
      </c>
      <c r="C2293" s="1" t="n">
        <v>45357</v>
      </c>
      <c r="D2293" t="inlineStr">
        <is>
          <t>GÄVLEBORGS LÄN</t>
        </is>
      </c>
      <c r="E2293" t="inlineStr">
        <is>
          <t>OVANÅKER</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22403-2020</t>
        </is>
      </c>
      <c r="B2294" s="1" t="n">
        <v>43962</v>
      </c>
      <c r="C2294" s="1" t="n">
        <v>45357</v>
      </c>
      <c r="D2294" t="inlineStr">
        <is>
          <t>GÄVLEBORGS LÄN</t>
        </is>
      </c>
      <c r="E2294" t="inlineStr">
        <is>
          <t>NORDANSTIG</t>
        </is>
      </c>
      <c r="G2294" t="n">
        <v>12.1</v>
      </c>
      <c r="H2294" t="n">
        <v>0</v>
      </c>
      <c r="I2294" t="n">
        <v>0</v>
      </c>
      <c r="J2294" t="n">
        <v>0</v>
      </c>
      <c r="K2294" t="n">
        <v>0</v>
      </c>
      <c r="L2294" t="n">
        <v>0</v>
      </c>
      <c r="M2294" t="n">
        <v>0</v>
      </c>
      <c r="N2294" t="n">
        <v>0</v>
      </c>
      <c r="O2294" t="n">
        <v>0</v>
      </c>
      <c r="P2294" t="n">
        <v>0</v>
      </c>
      <c r="Q2294" t="n">
        <v>0</v>
      </c>
      <c r="R2294" s="2" t="inlineStr"/>
    </row>
    <row r="2295" ht="15" customHeight="1">
      <c r="A2295" t="inlineStr">
        <is>
          <t>A 22268-2020</t>
        </is>
      </c>
      <c r="B2295" s="1" t="n">
        <v>43962</v>
      </c>
      <c r="C2295" s="1" t="n">
        <v>45357</v>
      </c>
      <c r="D2295" t="inlineStr">
        <is>
          <t>GÄVLEBORGS LÄN</t>
        </is>
      </c>
      <c r="E2295" t="inlineStr">
        <is>
          <t>LJUSDAL</t>
        </is>
      </c>
      <c r="F2295" t="inlineStr">
        <is>
          <t>Sveaskog</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22361-2020</t>
        </is>
      </c>
      <c r="B2296" s="1" t="n">
        <v>43962</v>
      </c>
      <c r="C2296" s="1" t="n">
        <v>45357</v>
      </c>
      <c r="D2296" t="inlineStr">
        <is>
          <t>GÄVLEBORGS LÄN</t>
        </is>
      </c>
      <c r="E2296" t="inlineStr">
        <is>
          <t>LJUSDAL</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22348-2020</t>
        </is>
      </c>
      <c r="B2297" s="1" t="n">
        <v>43962</v>
      </c>
      <c r="C2297" s="1" t="n">
        <v>45357</v>
      </c>
      <c r="D2297" t="inlineStr">
        <is>
          <t>GÄVLEBORGS LÄN</t>
        </is>
      </c>
      <c r="E2297" t="inlineStr">
        <is>
          <t>HUDIKSVALL</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22385-2020</t>
        </is>
      </c>
      <c r="B2298" s="1" t="n">
        <v>43962</v>
      </c>
      <c r="C2298" s="1" t="n">
        <v>45357</v>
      </c>
      <c r="D2298" t="inlineStr">
        <is>
          <t>GÄVLEBORGS LÄN</t>
        </is>
      </c>
      <c r="E2298" t="inlineStr">
        <is>
          <t>GÄVLE</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22378-2020</t>
        </is>
      </c>
      <c r="B2299" s="1" t="n">
        <v>43962</v>
      </c>
      <c r="C2299" s="1" t="n">
        <v>45357</v>
      </c>
      <c r="D2299" t="inlineStr">
        <is>
          <t>GÄVLEBORGS LÄN</t>
        </is>
      </c>
      <c r="E2299" t="inlineStr">
        <is>
          <t>LJUSDAL</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22432-2020</t>
        </is>
      </c>
      <c r="B2300" s="1" t="n">
        <v>43963</v>
      </c>
      <c r="C2300" s="1" t="n">
        <v>45357</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22440-2020</t>
        </is>
      </c>
      <c r="B2301" s="1" t="n">
        <v>43963</v>
      </c>
      <c r="C2301" s="1" t="n">
        <v>45357</v>
      </c>
      <c r="D2301" t="inlineStr">
        <is>
          <t>GÄVLEBORGS LÄN</t>
        </is>
      </c>
      <c r="E2301" t="inlineStr">
        <is>
          <t>SANDVIKEN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22430-2020</t>
        </is>
      </c>
      <c r="B2302" s="1" t="n">
        <v>43963</v>
      </c>
      <c r="C2302" s="1" t="n">
        <v>45357</v>
      </c>
      <c r="D2302" t="inlineStr">
        <is>
          <t>GÄVLEBORGS LÄN</t>
        </is>
      </c>
      <c r="E2302" t="inlineStr">
        <is>
          <t>BOLLNÄS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22875-2020</t>
        </is>
      </c>
      <c r="B2303" s="1" t="n">
        <v>43964</v>
      </c>
      <c r="C2303" s="1" t="n">
        <v>45357</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22959-2020</t>
        </is>
      </c>
      <c r="B2304" s="1" t="n">
        <v>43965</v>
      </c>
      <c r="C2304" s="1" t="n">
        <v>45357</v>
      </c>
      <c r="D2304" t="inlineStr">
        <is>
          <t>GÄVLEBORGS LÄN</t>
        </is>
      </c>
      <c r="E2304" t="inlineStr">
        <is>
          <t>LJUSDAL</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22967-2020</t>
        </is>
      </c>
      <c r="B2305" s="1" t="n">
        <v>43965</v>
      </c>
      <c r="C2305" s="1" t="n">
        <v>45357</v>
      </c>
      <c r="D2305" t="inlineStr">
        <is>
          <t>GÄVLEBORGS LÄN</t>
        </is>
      </c>
      <c r="E2305" t="inlineStr">
        <is>
          <t>HUDIKSVALL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23059-2020</t>
        </is>
      </c>
      <c r="B2306" s="1" t="n">
        <v>43965</v>
      </c>
      <c r="C2306" s="1" t="n">
        <v>45357</v>
      </c>
      <c r="D2306" t="inlineStr">
        <is>
          <t>GÄVLEBORGS LÄN</t>
        </is>
      </c>
      <c r="E2306" t="inlineStr">
        <is>
          <t>HUDIKSVALL</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22972-2020</t>
        </is>
      </c>
      <c r="B2307" s="1" t="n">
        <v>43965</v>
      </c>
      <c r="C2307" s="1" t="n">
        <v>45357</v>
      </c>
      <c r="D2307" t="inlineStr">
        <is>
          <t>GÄVLEBORGS LÄN</t>
        </is>
      </c>
      <c r="E2307" t="inlineStr">
        <is>
          <t>HUDIKSVALL</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23008-2020</t>
        </is>
      </c>
      <c r="B2308" s="1" t="n">
        <v>43965</v>
      </c>
      <c r="C2308" s="1" t="n">
        <v>45357</v>
      </c>
      <c r="D2308" t="inlineStr">
        <is>
          <t>GÄVLEBORGS LÄN</t>
        </is>
      </c>
      <c r="E2308" t="inlineStr">
        <is>
          <t>HUDIKSVALL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23060-2020</t>
        </is>
      </c>
      <c r="B2309" s="1" t="n">
        <v>43965</v>
      </c>
      <c r="C2309" s="1" t="n">
        <v>45357</v>
      </c>
      <c r="D2309" t="inlineStr">
        <is>
          <t>GÄVLEBORGS LÄN</t>
        </is>
      </c>
      <c r="E2309" t="inlineStr">
        <is>
          <t>OVANÅKER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23049-2020</t>
        </is>
      </c>
      <c r="B2310" s="1" t="n">
        <v>43965</v>
      </c>
      <c r="C2310" s="1" t="n">
        <v>45357</v>
      </c>
      <c r="D2310" t="inlineStr">
        <is>
          <t>GÄVLEBORGS LÄN</t>
        </is>
      </c>
      <c r="E2310" t="inlineStr">
        <is>
          <t>HUDIKSVALL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23117-2020</t>
        </is>
      </c>
      <c r="B2311" s="1" t="n">
        <v>43965</v>
      </c>
      <c r="C2311" s="1" t="n">
        <v>45357</v>
      </c>
      <c r="D2311" t="inlineStr">
        <is>
          <t>GÄVLEBORGS LÄN</t>
        </is>
      </c>
      <c r="E2311" t="inlineStr">
        <is>
          <t>LJUSDAL</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23057-2020</t>
        </is>
      </c>
      <c r="B2312" s="1" t="n">
        <v>43965</v>
      </c>
      <c r="C2312" s="1" t="n">
        <v>45357</v>
      </c>
      <c r="D2312" t="inlineStr">
        <is>
          <t>GÄVLEBORGS LÄN</t>
        </is>
      </c>
      <c r="E2312" t="inlineStr">
        <is>
          <t>OVANÅKER</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23237-2020</t>
        </is>
      </c>
      <c r="B2313" s="1" t="n">
        <v>43966</v>
      </c>
      <c r="C2313" s="1" t="n">
        <v>45357</v>
      </c>
      <c r="D2313" t="inlineStr">
        <is>
          <t>GÄVLEBORGS LÄN</t>
        </is>
      </c>
      <c r="E2313" t="inlineStr">
        <is>
          <t>NORDANSTIG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23276-2020</t>
        </is>
      </c>
      <c r="B2314" s="1" t="n">
        <v>43966</v>
      </c>
      <c r="C2314" s="1" t="n">
        <v>45357</v>
      </c>
      <c r="D2314" t="inlineStr">
        <is>
          <t>GÄVLEBORGS LÄN</t>
        </is>
      </c>
      <c r="E2314" t="inlineStr">
        <is>
          <t>LJUSDAL</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23171-2020</t>
        </is>
      </c>
      <c r="B2315" s="1" t="n">
        <v>43966</v>
      </c>
      <c r="C2315" s="1" t="n">
        <v>45357</v>
      </c>
      <c r="D2315" t="inlineStr">
        <is>
          <t>GÄVLEBORGS LÄN</t>
        </is>
      </c>
      <c r="E2315" t="inlineStr">
        <is>
          <t>SÖDERHAMN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23280-2020</t>
        </is>
      </c>
      <c r="B2316" s="1" t="n">
        <v>43966</v>
      </c>
      <c r="C2316" s="1" t="n">
        <v>45357</v>
      </c>
      <c r="D2316" t="inlineStr">
        <is>
          <t>GÄVLEBORGS LÄN</t>
        </is>
      </c>
      <c r="E2316" t="inlineStr">
        <is>
          <t>LJUSDAL</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23271-2020</t>
        </is>
      </c>
      <c r="B2317" s="1" t="n">
        <v>43966</v>
      </c>
      <c r="C2317" s="1" t="n">
        <v>45357</v>
      </c>
      <c r="D2317" t="inlineStr">
        <is>
          <t>GÄVLEBORGS LÄN</t>
        </is>
      </c>
      <c r="E2317" t="inlineStr">
        <is>
          <t>LJUSDAL</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23285-2020</t>
        </is>
      </c>
      <c r="B2318" s="1" t="n">
        <v>43966</v>
      </c>
      <c r="C2318" s="1" t="n">
        <v>45357</v>
      </c>
      <c r="D2318" t="inlineStr">
        <is>
          <t>GÄVLEBORGS LÄN</t>
        </is>
      </c>
      <c r="E2318" t="inlineStr">
        <is>
          <t>HUDIKSVALL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23429-2020</t>
        </is>
      </c>
      <c r="B2319" s="1" t="n">
        <v>43969</v>
      </c>
      <c r="C2319" s="1" t="n">
        <v>45357</v>
      </c>
      <c r="D2319" t="inlineStr">
        <is>
          <t>GÄVLEBORGS LÄN</t>
        </is>
      </c>
      <c r="E2319" t="inlineStr">
        <is>
          <t>HUDIKSVALL</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23424-2020</t>
        </is>
      </c>
      <c r="B2320" s="1" t="n">
        <v>43969</v>
      </c>
      <c r="C2320" s="1" t="n">
        <v>45357</v>
      </c>
      <c r="D2320" t="inlineStr">
        <is>
          <t>GÄVLEBORGS LÄN</t>
        </is>
      </c>
      <c r="E2320" t="inlineStr">
        <is>
          <t>LJUSDAL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23527-2020</t>
        </is>
      </c>
      <c r="B2321" s="1" t="n">
        <v>43969</v>
      </c>
      <c r="C2321" s="1" t="n">
        <v>45357</v>
      </c>
      <c r="D2321" t="inlineStr">
        <is>
          <t>GÄVLEBORGS LÄN</t>
        </is>
      </c>
      <c r="E2321" t="inlineStr">
        <is>
          <t>OVANÅKER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23618-2020</t>
        </is>
      </c>
      <c r="B2322" s="1" t="n">
        <v>43969</v>
      </c>
      <c r="C2322" s="1" t="n">
        <v>45357</v>
      </c>
      <c r="D2322" t="inlineStr">
        <is>
          <t>GÄVLEBORGS LÄN</t>
        </is>
      </c>
      <c r="E2322" t="inlineStr">
        <is>
          <t>NORDANSTIG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23682-2020</t>
        </is>
      </c>
      <c r="B2323" s="1" t="n">
        <v>43970</v>
      </c>
      <c r="C2323" s="1" t="n">
        <v>45357</v>
      </c>
      <c r="D2323" t="inlineStr">
        <is>
          <t>GÄVLEBORGS LÄN</t>
        </is>
      </c>
      <c r="E2323" t="inlineStr">
        <is>
          <t>SÖDERHAMN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23926-2020</t>
        </is>
      </c>
      <c r="B2324" s="1" t="n">
        <v>43971</v>
      </c>
      <c r="C2324" s="1" t="n">
        <v>45357</v>
      </c>
      <c r="D2324" t="inlineStr">
        <is>
          <t>GÄVLEBORGS LÄN</t>
        </is>
      </c>
      <c r="E2324" t="inlineStr">
        <is>
          <t>HUDIKSVALL</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23866-2020</t>
        </is>
      </c>
      <c r="B2325" s="1" t="n">
        <v>43971</v>
      </c>
      <c r="C2325" s="1" t="n">
        <v>45357</v>
      </c>
      <c r="D2325" t="inlineStr">
        <is>
          <t>GÄVLEBORGS LÄN</t>
        </is>
      </c>
      <c r="E2325" t="inlineStr">
        <is>
          <t>LJUSDAL</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23990-2020</t>
        </is>
      </c>
      <c r="B2326" s="1" t="n">
        <v>43971</v>
      </c>
      <c r="C2326" s="1" t="n">
        <v>45357</v>
      </c>
      <c r="D2326" t="inlineStr">
        <is>
          <t>GÄVLEBORGS LÄN</t>
        </is>
      </c>
      <c r="E2326" t="inlineStr">
        <is>
          <t>HUDIKSVALL</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23966-2020</t>
        </is>
      </c>
      <c r="B2327" s="1" t="n">
        <v>43971</v>
      </c>
      <c r="C2327" s="1" t="n">
        <v>45357</v>
      </c>
      <c r="D2327" t="inlineStr">
        <is>
          <t>GÄVLEBORGS LÄN</t>
        </is>
      </c>
      <c r="E2327" t="inlineStr">
        <is>
          <t>LJUSDAL</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23981-2020</t>
        </is>
      </c>
      <c r="B2328" s="1" t="n">
        <v>43971</v>
      </c>
      <c r="C2328" s="1" t="n">
        <v>45357</v>
      </c>
      <c r="D2328" t="inlineStr">
        <is>
          <t>GÄVLEBORGS LÄN</t>
        </is>
      </c>
      <c r="E2328" t="inlineStr">
        <is>
          <t>LJUSDAL</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24130-2020</t>
        </is>
      </c>
      <c r="B2329" s="1" t="n">
        <v>43973</v>
      </c>
      <c r="C2329" s="1" t="n">
        <v>45357</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24125-2020</t>
        </is>
      </c>
      <c r="B2330" s="1" t="n">
        <v>43973</v>
      </c>
      <c r="C2330" s="1" t="n">
        <v>45357</v>
      </c>
      <c r="D2330" t="inlineStr">
        <is>
          <t>GÄVLEBORGS LÄN</t>
        </is>
      </c>
      <c r="E2330" t="inlineStr">
        <is>
          <t>NORDANSTIG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24102-2020</t>
        </is>
      </c>
      <c r="B2331" s="1" t="n">
        <v>43973</v>
      </c>
      <c r="C2331" s="1" t="n">
        <v>45357</v>
      </c>
      <c r="D2331" t="inlineStr">
        <is>
          <t>GÄVLEBORGS LÄN</t>
        </is>
      </c>
      <c r="E2331" t="inlineStr">
        <is>
          <t>NORDANSTIG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24126-2020</t>
        </is>
      </c>
      <c r="B2332" s="1" t="n">
        <v>43973</v>
      </c>
      <c r="C2332" s="1" t="n">
        <v>45357</v>
      </c>
      <c r="D2332" t="inlineStr">
        <is>
          <t>GÄVLEBORGS LÄN</t>
        </is>
      </c>
      <c r="E2332" t="inlineStr">
        <is>
          <t>NORDANSTIG</t>
        </is>
      </c>
      <c r="F2332" t="inlineStr">
        <is>
          <t>Holmen skog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24238-2020</t>
        </is>
      </c>
      <c r="B2333" s="1" t="n">
        <v>43976</v>
      </c>
      <c r="C2333" s="1" t="n">
        <v>45357</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24294-2020</t>
        </is>
      </c>
      <c r="B2334" s="1" t="n">
        <v>43976</v>
      </c>
      <c r="C2334" s="1" t="n">
        <v>45357</v>
      </c>
      <c r="D2334" t="inlineStr">
        <is>
          <t>GÄVLEBORGS LÄN</t>
        </is>
      </c>
      <c r="E2334" t="inlineStr">
        <is>
          <t>NORDANSTIG</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24230-2020</t>
        </is>
      </c>
      <c r="B2335" s="1" t="n">
        <v>43976</v>
      </c>
      <c r="C2335" s="1" t="n">
        <v>45357</v>
      </c>
      <c r="D2335" t="inlineStr">
        <is>
          <t>GÄVLEBORGS LÄN</t>
        </is>
      </c>
      <c r="E2335" t="inlineStr">
        <is>
          <t>NORDANSTIG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24437-2020</t>
        </is>
      </c>
      <c r="B2336" s="1" t="n">
        <v>43977</v>
      </c>
      <c r="C2336" s="1" t="n">
        <v>45357</v>
      </c>
      <c r="D2336" t="inlineStr">
        <is>
          <t>GÄVLEBORGS LÄN</t>
        </is>
      </c>
      <c r="E2336" t="inlineStr">
        <is>
          <t>OCKELBO</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24603-2020</t>
        </is>
      </c>
      <c r="B2337" s="1" t="n">
        <v>43977</v>
      </c>
      <c r="C2337" s="1" t="n">
        <v>45357</v>
      </c>
      <c r="D2337" t="inlineStr">
        <is>
          <t>GÄVLEBORGS LÄN</t>
        </is>
      </c>
      <c r="E2337" t="inlineStr">
        <is>
          <t>NORDANSTIG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24621-2020</t>
        </is>
      </c>
      <c r="B2338" s="1" t="n">
        <v>43977</v>
      </c>
      <c r="C2338" s="1" t="n">
        <v>45357</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24721-2020</t>
        </is>
      </c>
      <c r="B2339" s="1" t="n">
        <v>43978</v>
      </c>
      <c r="C2339" s="1" t="n">
        <v>45357</v>
      </c>
      <c r="D2339" t="inlineStr">
        <is>
          <t>GÄVLEBORGS LÄN</t>
        </is>
      </c>
      <c r="E2339" t="inlineStr">
        <is>
          <t>NORDANSTIG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24824-2020</t>
        </is>
      </c>
      <c r="B2340" s="1" t="n">
        <v>43978</v>
      </c>
      <c r="C2340" s="1" t="n">
        <v>45357</v>
      </c>
      <c r="D2340" t="inlineStr">
        <is>
          <t>GÄVLEBORGS LÄN</t>
        </is>
      </c>
      <c r="E2340" t="inlineStr">
        <is>
          <t>LJUSDAL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24780-2020</t>
        </is>
      </c>
      <c r="B2341" s="1" t="n">
        <v>43978</v>
      </c>
      <c r="C2341" s="1" t="n">
        <v>45357</v>
      </c>
      <c r="D2341" t="inlineStr">
        <is>
          <t>GÄVLEBORGS LÄN</t>
        </is>
      </c>
      <c r="E2341" t="inlineStr">
        <is>
          <t>GÄVLE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25060-2020</t>
        </is>
      </c>
      <c r="B2342" s="1" t="n">
        <v>43979</v>
      </c>
      <c r="C2342" s="1" t="n">
        <v>45357</v>
      </c>
      <c r="D2342" t="inlineStr">
        <is>
          <t>GÄVLEBORGS LÄN</t>
        </is>
      </c>
      <c r="E2342" t="inlineStr">
        <is>
          <t>LJUSDAL</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25009-2020</t>
        </is>
      </c>
      <c r="B2343" s="1" t="n">
        <v>43979</v>
      </c>
      <c r="C2343" s="1" t="n">
        <v>45357</v>
      </c>
      <c r="D2343" t="inlineStr">
        <is>
          <t>GÄVLEBORGS LÄN</t>
        </is>
      </c>
      <c r="E2343" t="inlineStr">
        <is>
          <t>GÄVLE</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25024-2020</t>
        </is>
      </c>
      <c r="B2344" s="1" t="n">
        <v>43979</v>
      </c>
      <c r="C2344" s="1" t="n">
        <v>45357</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25032-2020</t>
        </is>
      </c>
      <c r="B2345" s="1" t="n">
        <v>43979</v>
      </c>
      <c r="C2345" s="1" t="n">
        <v>45357</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24901-2020</t>
        </is>
      </c>
      <c r="B2346" s="1" t="n">
        <v>43979</v>
      </c>
      <c r="C2346" s="1" t="n">
        <v>45357</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24899-2020</t>
        </is>
      </c>
      <c r="B2347" s="1" t="n">
        <v>43979</v>
      </c>
      <c r="C2347" s="1" t="n">
        <v>45357</v>
      </c>
      <c r="D2347" t="inlineStr">
        <is>
          <t>GÄVLEBORGS LÄN</t>
        </is>
      </c>
      <c r="E2347" t="inlineStr">
        <is>
          <t>LJUSDAL</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24909-2020</t>
        </is>
      </c>
      <c r="B2348" s="1" t="n">
        <v>43979</v>
      </c>
      <c r="C2348" s="1" t="n">
        <v>45357</v>
      </c>
      <c r="D2348" t="inlineStr">
        <is>
          <t>GÄVLEBORGS LÄN</t>
        </is>
      </c>
      <c r="E2348" t="inlineStr">
        <is>
          <t>HUDIKSVALL</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25014-2020</t>
        </is>
      </c>
      <c r="B2349" s="1" t="n">
        <v>43979</v>
      </c>
      <c r="C2349" s="1" t="n">
        <v>45357</v>
      </c>
      <c r="D2349" t="inlineStr">
        <is>
          <t>GÄVLEBORGS LÄN</t>
        </is>
      </c>
      <c r="E2349" t="inlineStr">
        <is>
          <t>LJUSDAL</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25018-2020</t>
        </is>
      </c>
      <c r="B2350" s="1" t="n">
        <v>43979</v>
      </c>
      <c r="C2350" s="1" t="n">
        <v>45357</v>
      </c>
      <c r="D2350" t="inlineStr">
        <is>
          <t>GÄVLEBORGS LÄN</t>
        </is>
      </c>
      <c r="E2350" t="inlineStr">
        <is>
          <t>LJUSDAL</t>
        </is>
      </c>
      <c r="F2350" t="inlineStr">
        <is>
          <t>Sveaskog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25015-2020</t>
        </is>
      </c>
      <c r="B2351" s="1" t="n">
        <v>43979</v>
      </c>
      <c r="C2351" s="1" t="n">
        <v>45357</v>
      </c>
      <c r="D2351" t="inlineStr">
        <is>
          <t>GÄVLEBORGS LÄN</t>
        </is>
      </c>
      <c r="E2351" t="inlineStr">
        <is>
          <t>LJUSDAL</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25220-2020</t>
        </is>
      </c>
      <c r="B2352" s="1" t="n">
        <v>43980</v>
      </c>
      <c r="C2352" s="1" t="n">
        <v>45357</v>
      </c>
      <c r="D2352" t="inlineStr">
        <is>
          <t>GÄVLEBORGS LÄN</t>
        </is>
      </c>
      <c r="E2352" t="inlineStr">
        <is>
          <t>GÄVLE</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25270-2020</t>
        </is>
      </c>
      <c r="B2353" s="1" t="n">
        <v>43980</v>
      </c>
      <c r="C2353" s="1" t="n">
        <v>45357</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c r="U2353">
        <f>HYPERLINK("https://klasma.github.io/Logging_2184/knärot/A 25270-2020 karta knärot.png", "A 25270-2020")</f>
        <v/>
      </c>
      <c r="V2353">
        <f>HYPERLINK("https://klasma.github.io/Logging_2184/klagomål/A 25270-2020 FSC-klagomål.docx", "A 25270-2020")</f>
        <v/>
      </c>
      <c r="W2353">
        <f>HYPERLINK("https://klasma.github.io/Logging_2184/klagomålsmail/A 25270-2020 FSC-klagomål mail.docx", "A 25270-2020")</f>
        <v/>
      </c>
      <c r="X2353">
        <f>HYPERLINK("https://klasma.github.io/Logging_2184/tillsyn/A 25270-2020 tillsynsbegäran.docx", "A 25270-2020")</f>
        <v/>
      </c>
      <c r="Y2353">
        <f>HYPERLINK("https://klasma.github.io/Logging_2184/tillsynsmail/A 25270-2020 tillsynsbegäran mail.docx", "A 25270-2020")</f>
        <v/>
      </c>
    </row>
    <row r="2354" ht="15" customHeight="1">
      <c r="A2354" t="inlineStr">
        <is>
          <t>A 25242-2020</t>
        </is>
      </c>
      <c r="B2354" s="1" t="n">
        <v>43980</v>
      </c>
      <c r="C2354" s="1" t="n">
        <v>45357</v>
      </c>
      <c r="D2354" t="inlineStr">
        <is>
          <t>GÄVLEBORGS LÄN</t>
        </is>
      </c>
      <c r="E2354" t="inlineStr">
        <is>
          <t>SANDVIKEN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25219-2020</t>
        </is>
      </c>
      <c r="B2355" s="1" t="n">
        <v>43980</v>
      </c>
      <c r="C2355" s="1" t="n">
        <v>45357</v>
      </c>
      <c r="D2355" t="inlineStr">
        <is>
          <t>GÄVLEBORGS LÄN</t>
        </is>
      </c>
      <c r="E2355" t="inlineStr">
        <is>
          <t>HUDIKSVALL</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25275-2020</t>
        </is>
      </c>
      <c r="B2356" s="1" t="n">
        <v>43980</v>
      </c>
      <c r="C2356" s="1" t="n">
        <v>45357</v>
      </c>
      <c r="D2356" t="inlineStr">
        <is>
          <t>GÄVLEBORGS LÄN</t>
        </is>
      </c>
      <c r="E2356" t="inlineStr">
        <is>
          <t>HUDIKSVALL</t>
        </is>
      </c>
      <c r="F2356" t="inlineStr">
        <is>
          <t>Holmen skog AB</t>
        </is>
      </c>
      <c r="G2356" t="n">
        <v>18.6</v>
      </c>
      <c r="H2356" t="n">
        <v>0</v>
      </c>
      <c r="I2356" t="n">
        <v>0</v>
      </c>
      <c r="J2356" t="n">
        <v>0</v>
      </c>
      <c r="K2356" t="n">
        <v>0</v>
      </c>
      <c r="L2356" t="n">
        <v>0</v>
      </c>
      <c r="M2356" t="n">
        <v>0</v>
      </c>
      <c r="N2356" t="n">
        <v>0</v>
      </c>
      <c r="O2356" t="n">
        <v>0</v>
      </c>
      <c r="P2356" t="n">
        <v>0</v>
      </c>
      <c r="Q2356" t="n">
        <v>0</v>
      </c>
      <c r="R2356" s="2" t="inlineStr"/>
    </row>
    <row r="2357" ht="15" customHeight="1">
      <c r="A2357" t="inlineStr">
        <is>
          <t>A 25303-2020</t>
        </is>
      </c>
      <c r="B2357" s="1" t="n">
        <v>43980</v>
      </c>
      <c r="C2357" s="1" t="n">
        <v>45357</v>
      </c>
      <c r="D2357" t="inlineStr">
        <is>
          <t>GÄVLEBORGS LÄN</t>
        </is>
      </c>
      <c r="E2357" t="inlineStr">
        <is>
          <t>NORDANSTIG</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25532-2020</t>
        </is>
      </c>
      <c r="B2358" s="1" t="n">
        <v>43983</v>
      </c>
      <c r="C2358" s="1" t="n">
        <v>45357</v>
      </c>
      <c r="D2358" t="inlineStr">
        <is>
          <t>GÄVLEBORGS LÄN</t>
        </is>
      </c>
      <c r="E2358" t="inlineStr">
        <is>
          <t>GÄVLE</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25548-2020</t>
        </is>
      </c>
      <c r="B2359" s="1" t="n">
        <v>43983</v>
      </c>
      <c r="C2359" s="1" t="n">
        <v>45357</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25652-2020</t>
        </is>
      </c>
      <c r="B2360" s="1" t="n">
        <v>43983</v>
      </c>
      <c r="C2360" s="1" t="n">
        <v>45357</v>
      </c>
      <c r="D2360" t="inlineStr">
        <is>
          <t>GÄVLEBORGS LÄN</t>
        </is>
      </c>
      <c r="E2360" t="inlineStr">
        <is>
          <t>NORDANSTIG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25671-2020</t>
        </is>
      </c>
      <c r="B2361" s="1" t="n">
        <v>43983</v>
      </c>
      <c r="C2361" s="1" t="n">
        <v>45357</v>
      </c>
      <c r="D2361" t="inlineStr">
        <is>
          <t>GÄVLEBORGS LÄN</t>
        </is>
      </c>
      <c r="E2361" t="inlineStr">
        <is>
          <t>NORDANSTIG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25733-2020</t>
        </is>
      </c>
      <c r="B2362" s="1" t="n">
        <v>43984</v>
      </c>
      <c r="C2362" s="1" t="n">
        <v>45357</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25697-2020</t>
        </is>
      </c>
      <c r="B2363" s="1" t="n">
        <v>43984</v>
      </c>
      <c r="C2363" s="1" t="n">
        <v>45357</v>
      </c>
      <c r="D2363" t="inlineStr">
        <is>
          <t>GÄVLEBORGS LÄN</t>
        </is>
      </c>
      <c r="E2363" t="inlineStr">
        <is>
          <t>HUDIKSVALL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25896-2020</t>
        </is>
      </c>
      <c r="B2364" s="1" t="n">
        <v>43984</v>
      </c>
      <c r="C2364" s="1" t="n">
        <v>45357</v>
      </c>
      <c r="D2364" t="inlineStr">
        <is>
          <t>GÄVLEBORGS LÄN</t>
        </is>
      </c>
      <c r="E2364" t="inlineStr">
        <is>
          <t>SÖDERHAMN</t>
        </is>
      </c>
      <c r="F2364" t="inlineStr">
        <is>
          <t>Bergvik skog väst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25925-2020</t>
        </is>
      </c>
      <c r="B2365" s="1" t="n">
        <v>43984</v>
      </c>
      <c r="C2365" s="1" t="n">
        <v>45357</v>
      </c>
      <c r="D2365" t="inlineStr">
        <is>
          <t>GÄVLEBORGS LÄN</t>
        </is>
      </c>
      <c r="E2365" t="inlineStr">
        <is>
          <t>NORDANSTIG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25969-2020</t>
        </is>
      </c>
      <c r="B2366" s="1" t="n">
        <v>43985</v>
      </c>
      <c r="C2366" s="1" t="n">
        <v>45357</v>
      </c>
      <c r="D2366" t="inlineStr">
        <is>
          <t>GÄVLEBORGS LÄN</t>
        </is>
      </c>
      <c r="E2366" t="inlineStr">
        <is>
          <t>OVANÅKER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26150-2020</t>
        </is>
      </c>
      <c r="B2367" s="1" t="n">
        <v>43985</v>
      </c>
      <c r="C2367" s="1" t="n">
        <v>45357</v>
      </c>
      <c r="D2367" t="inlineStr">
        <is>
          <t>GÄVLEBORGS LÄN</t>
        </is>
      </c>
      <c r="E2367" t="inlineStr">
        <is>
          <t>NORDANSTIG</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26001-2020</t>
        </is>
      </c>
      <c r="B2368" s="1" t="n">
        <v>43985</v>
      </c>
      <c r="C2368" s="1" t="n">
        <v>45357</v>
      </c>
      <c r="D2368" t="inlineStr">
        <is>
          <t>GÄVLEBORGS LÄN</t>
        </is>
      </c>
      <c r="E2368" t="inlineStr">
        <is>
          <t>HUDIKSVALL</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26285-2020</t>
        </is>
      </c>
      <c r="B2369" s="1" t="n">
        <v>43986</v>
      </c>
      <c r="C2369" s="1" t="n">
        <v>45357</v>
      </c>
      <c r="D2369" t="inlineStr">
        <is>
          <t>GÄVLEBORGS LÄN</t>
        </is>
      </c>
      <c r="E2369" t="inlineStr">
        <is>
          <t>NORDANSTIG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26446-2020</t>
        </is>
      </c>
      <c r="B2370" s="1" t="n">
        <v>43987</v>
      </c>
      <c r="C2370" s="1" t="n">
        <v>45357</v>
      </c>
      <c r="D2370" t="inlineStr">
        <is>
          <t>GÄVLEBORGS LÄN</t>
        </is>
      </c>
      <c r="E2370" t="inlineStr">
        <is>
          <t>BOLLNÄS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26506-2020</t>
        </is>
      </c>
      <c r="B2371" s="1" t="n">
        <v>43987</v>
      </c>
      <c r="C2371" s="1" t="n">
        <v>45357</v>
      </c>
      <c r="D2371" t="inlineStr">
        <is>
          <t>GÄVLEBORGS LÄN</t>
        </is>
      </c>
      <c r="E2371" t="inlineStr">
        <is>
          <t>OVANÅKER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26583-2020</t>
        </is>
      </c>
      <c r="B2372" s="1" t="n">
        <v>43987</v>
      </c>
      <c r="C2372" s="1" t="n">
        <v>45357</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26712-2020</t>
        </is>
      </c>
      <c r="B2373" s="1" t="n">
        <v>43990</v>
      </c>
      <c r="C2373" s="1" t="n">
        <v>45357</v>
      </c>
      <c r="D2373" t="inlineStr">
        <is>
          <t>GÄVLEBORGS LÄN</t>
        </is>
      </c>
      <c r="E2373" t="inlineStr">
        <is>
          <t>LJUSDAL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26763-2020</t>
        </is>
      </c>
      <c r="B2374" s="1" t="n">
        <v>43990</v>
      </c>
      <c r="C2374" s="1" t="n">
        <v>45357</v>
      </c>
      <c r="D2374" t="inlineStr">
        <is>
          <t>GÄVLEBORGS LÄN</t>
        </is>
      </c>
      <c r="E2374" t="inlineStr">
        <is>
          <t>GÄVLE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26790-2020</t>
        </is>
      </c>
      <c r="B2375" s="1" t="n">
        <v>43990</v>
      </c>
      <c r="C2375" s="1" t="n">
        <v>45357</v>
      </c>
      <c r="D2375" t="inlineStr">
        <is>
          <t>GÄVLEBORGS LÄN</t>
        </is>
      </c>
      <c r="E2375" t="inlineStr">
        <is>
          <t>GÄVLE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26781-2020</t>
        </is>
      </c>
      <c r="B2376" s="1" t="n">
        <v>43990</v>
      </c>
      <c r="C2376" s="1" t="n">
        <v>45357</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26950-2020</t>
        </is>
      </c>
      <c r="B2377" s="1" t="n">
        <v>43990</v>
      </c>
      <c r="C2377" s="1" t="n">
        <v>45357</v>
      </c>
      <c r="D2377" t="inlineStr">
        <is>
          <t>GÄVLEBORGS LÄN</t>
        </is>
      </c>
      <c r="E2377" t="inlineStr">
        <is>
          <t>LJUSDAL</t>
        </is>
      </c>
      <c r="F2377" t="inlineStr">
        <is>
          <t>Bergvik skog väst AB</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27175-2020</t>
        </is>
      </c>
      <c r="B2378" s="1" t="n">
        <v>43991</v>
      </c>
      <c r="C2378" s="1" t="n">
        <v>45357</v>
      </c>
      <c r="D2378" t="inlineStr">
        <is>
          <t>GÄVLEBORGS LÄN</t>
        </is>
      </c>
      <c r="E2378" t="inlineStr">
        <is>
          <t>NORDANSTIG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27561-2020</t>
        </is>
      </c>
      <c r="B2379" s="1" t="n">
        <v>43991</v>
      </c>
      <c r="C2379" s="1" t="n">
        <v>45357</v>
      </c>
      <c r="D2379" t="inlineStr">
        <is>
          <t>GÄVLEBORGS LÄN</t>
        </is>
      </c>
      <c r="E2379" t="inlineStr">
        <is>
          <t>BOLLNÄS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27079-2020</t>
        </is>
      </c>
      <c r="B2380" s="1" t="n">
        <v>43991</v>
      </c>
      <c r="C2380" s="1" t="n">
        <v>45357</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27146-2020</t>
        </is>
      </c>
      <c r="B2381" s="1" t="n">
        <v>43991</v>
      </c>
      <c r="C2381" s="1" t="n">
        <v>45357</v>
      </c>
      <c r="D2381" t="inlineStr">
        <is>
          <t>GÄVLEBORGS LÄN</t>
        </is>
      </c>
      <c r="E2381" t="inlineStr">
        <is>
          <t>SANDVIKEN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27176-2020</t>
        </is>
      </c>
      <c r="B2382" s="1" t="n">
        <v>43991</v>
      </c>
      <c r="C2382" s="1" t="n">
        <v>45357</v>
      </c>
      <c r="D2382" t="inlineStr">
        <is>
          <t>GÄVLEBORGS LÄN</t>
        </is>
      </c>
      <c r="E2382" t="inlineStr">
        <is>
          <t>NORDANSTIG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27100-2020</t>
        </is>
      </c>
      <c r="B2383" s="1" t="n">
        <v>43991</v>
      </c>
      <c r="C2383" s="1" t="n">
        <v>45357</v>
      </c>
      <c r="D2383" t="inlineStr">
        <is>
          <t>GÄVLEBORGS LÄN</t>
        </is>
      </c>
      <c r="E2383" t="inlineStr">
        <is>
          <t>SÖDERHAMN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27034-2020</t>
        </is>
      </c>
      <c r="B2384" s="1" t="n">
        <v>43991</v>
      </c>
      <c r="C2384" s="1" t="n">
        <v>45357</v>
      </c>
      <c r="D2384" t="inlineStr">
        <is>
          <t>GÄVLEBORGS LÄN</t>
        </is>
      </c>
      <c r="E2384" t="inlineStr">
        <is>
          <t>OCKELBO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27217-2020</t>
        </is>
      </c>
      <c r="B2385" s="1" t="n">
        <v>43992</v>
      </c>
      <c r="C2385" s="1" t="n">
        <v>45357</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27237-2020</t>
        </is>
      </c>
      <c r="B2386" s="1" t="n">
        <v>43992</v>
      </c>
      <c r="C2386" s="1" t="n">
        <v>45357</v>
      </c>
      <c r="D2386" t="inlineStr">
        <is>
          <t>GÄVLEBORGS LÄN</t>
        </is>
      </c>
      <c r="E2386" t="inlineStr">
        <is>
          <t>NORDANSTIG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27269-2020</t>
        </is>
      </c>
      <c r="B2387" s="1" t="n">
        <v>43992</v>
      </c>
      <c r="C2387" s="1" t="n">
        <v>45357</v>
      </c>
      <c r="D2387" t="inlineStr">
        <is>
          <t>GÄVLEBORGS LÄN</t>
        </is>
      </c>
      <c r="E2387" t="inlineStr">
        <is>
          <t>OVANÅKER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27444-2020</t>
        </is>
      </c>
      <c r="B2388" s="1" t="n">
        <v>43993</v>
      </c>
      <c r="C2388" s="1" t="n">
        <v>45357</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27526-2020</t>
        </is>
      </c>
      <c r="B2389" s="1" t="n">
        <v>43993</v>
      </c>
      <c r="C2389" s="1" t="n">
        <v>45357</v>
      </c>
      <c r="D2389" t="inlineStr">
        <is>
          <t>GÄVLEBORGS LÄN</t>
        </is>
      </c>
      <c r="E2389" t="inlineStr">
        <is>
          <t>BOLLNÄS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27440-2020</t>
        </is>
      </c>
      <c r="B2390" s="1" t="n">
        <v>43993</v>
      </c>
      <c r="C2390" s="1" t="n">
        <v>45357</v>
      </c>
      <c r="D2390" t="inlineStr">
        <is>
          <t>GÄVLEBORGS LÄN</t>
        </is>
      </c>
      <c r="E2390" t="inlineStr">
        <is>
          <t>BOLLNÄS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27563-2020</t>
        </is>
      </c>
      <c r="B2391" s="1" t="n">
        <v>43993</v>
      </c>
      <c r="C2391" s="1" t="n">
        <v>45357</v>
      </c>
      <c r="D2391" t="inlineStr">
        <is>
          <t>GÄVLEBORGS LÄN</t>
        </is>
      </c>
      <c r="E2391" t="inlineStr">
        <is>
          <t>HUDIKSVALL</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27430-2020</t>
        </is>
      </c>
      <c r="B2392" s="1" t="n">
        <v>43993</v>
      </c>
      <c r="C2392" s="1" t="n">
        <v>45357</v>
      </c>
      <c r="D2392" t="inlineStr">
        <is>
          <t>GÄVLEBORGS LÄN</t>
        </is>
      </c>
      <c r="E2392" t="inlineStr">
        <is>
          <t>LJUSDAL</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28021-2020</t>
        </is>
      </c>
      <c r="B2393" s="1" t="n">
        <v>43993</v>
      </c>
      <c r="C2393" s="1" t="n">
        <v>45357</v>
      </c>
      <c r="D2393" t="inlineStr">
        <is>
          <t>GÄVLEBORGS LÄN</t>
        </is>
      </c>
      <c r="E2393" t="inlineStr">
        <is>
          <t>HUDIKSVALL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27769-2020</t>
        </is>
      </c>
      <c r="B2394" s="1" t="n">
        <v>43994</v>
      </c>
      <c r="C2394" s="1" t="n">
        <v>45357</v>
      </c>
      <c r="D2394" t="inlineStr">
        <is>
          <t>GÄVLEBORGS LÄN</t>
        </is>
      </c>
      <c r="E2394" t="inlineStr">
        <is>
          <t>NORDANSTIG</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27793-2020</t>
        </is>
      </c>
      <c r="B2395" s="1" t="n">
        <v>43994</v>
      </c>
      <c r="C2395" s="1" t="n">
        <v>45357</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27783-2020</t>
        </is>
      </c>
      <c r="B2396" s="1" t="n">
        <v>43994</v>
      </c>
      <c r="C2396" s="1" t="n">
        <v>45357</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27855-2020</t>
        </is>
      </c>
      <c r="B2397" s="1" t="n">
        <v>43994</v>
      </c>
      <c r="C2397" s="1" t="n">
        <v>45357</v>
      </c>
      <c r="D2397" t="inlineStr">
        <is>
          <t>GÄVLEBORGS LÄN</t>
        </is>
      </c>
      <c r="E2397" t="inlineStr">
        <is>
          <t>OVANÅKER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27728-2020</t>
        </is>
      </c>
      <c r="B2398" s="1" t="n">
        <v>43994</v>
      </c>
      <c r="C2398" s="1" t="n">
        <v>45357</v>
      </c>
      <c r="D2398" t="inlineStr">
        <is>
          <t>GÄVLEBORGS LÄN</t>
        </is>
      </c>
      <c r="E2398" t="inlineStr">
        <is>
          <t>SANDVIKEN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28173-2020</t>
        </is>
      </c>
      <c r="B2399" s="1" t="n">
        <v>43997</v>
      </c>
      <c r="C2399" s="1" t="n">
        <v>45357</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28282-2020</t>
        </is>
      </c>
      <c r="B2400" s="1" t="n">
        <v>43998</v>
      </c>
      <c r="C2400" s="1" t="n">
        <v>45357</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28435-2020</t>
        </is>
      </c>
      <c r="B2401" s="1" t="n">
        <v>43998</v>
      </c>
      <c r="C2401" s="1" t="n">
        <v>45357</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28681-2020</t>
        </is>
      </c>
      <c r="B2402" s="1" t="n">
        <v>43999</v>
      </c>
      <c r="C2402" s="1" t="n">
        <v>45357</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28525-2020</t>
        </is>
      </c>
      <c r="B2403" s="1" t="n">
        <v>43999</v>
      </c>
      <c r="C2403" s="1" t="n">
        <v>45357</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28564-2020</t>
        </is>
      </c>
      <c r="B2404" s="1" t="n">
        <v>43999</v>
      </c>
      <c r="C2404" s="1" t="n">
        <v>45357</v>
      </c>
      <c r="D2404" t="inlineStr">
        <is>
          <t>GÄVLEBORGS LÄN</t>
        </is>
      </c>
      <c r="E2404" t="inlineStr">
        <is>
          <t>SANDVIKEN</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33535-2020</t>
        </is>
      </c>
      <c r="B2405" s="1" t="n">
        <v>43999</v>
      </c>
      <c r="C2405" s="1" t="n">
        <v>45357</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28723-2020</t>
        </is>
      </c>
      <c r="B2406" s="1" t="n">
        <v>43999</v>
      </c>
      <c r="C2406" s="1" t="n">
        <v>45357</v>
      </c>
      <c r="D2406" t="inlineStr">
        <is>
          <t>GÄVLEBORGS LÄN</t>
        </is>
      </c>
      <c r="E2406" t="inlineStr">
        <is>
          <t>OVANÅKER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33543-2020</t>
        </is>
      </c>
      <c r="B2407" s="1" t="n">
        <v>43999</v>
      </c>
      <c r="C2407" s="1" t="n">
        <v>45357</v>
      </c>
      <c r="D2407" t="inlineStr">
        <is>
          <t>GÄVLEBORGS LÄN</t>
        </is>
      </c>
      <c r="E2407" t="inlineStr">
        <is>
          <t>HUDIKSVALL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28823-2020</t>
        </is>
      </c>
      <c r="B2408" s="1" t="n">
        <v>44000</v>
      </c>
      <c r="C2408" s="1" t="n">
        <v>45357</v>
      </c>
      <c r="D2408" t="inlineStr">
        <is>
          <t>GÄVLEBORGS LÄN</t>
        </is>
      </c>
      <c r="E2408" t="inlineStr">
        <is>
          <t>BOLLNÄS</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28889-2020</t>
        </is>
      </c>
      <c r="B2409" s="1" t="n">
        <v>44000</v>
      </c>
      <c r="C2409" s="1" t="n">
        <v>45357</v>
      </c>
      <c r="D2409" t="inlineStr">
        <is>
          <t>GÄVLEBORGS LÄN</t>
        </is>
      </c>
      <c r="E2409" t="inlineStr">
        <is>
          <t>LJUSDAL</t>
        </is>
      </c>
      <c r="F2409" t="inlineStr">
        <is>
          <t>Holmen skog AB</t>
        </is>
      </c>
      <c r="G2409" t="n">
        <v>39.1</v>
      </c>
      <c r="H2409" t="n">
        <v>0</v>
      </c>
      <c r="I2409" t="n">
        <v>0</v>
      </c>
      <c r="J2409" t="n">
        <v>0</v>
      </c>
      <c r="K2409" t="n">
        <v>0</v>
      </c>
      <c r="L2409" t="n">
        <v>0</v>
      </c>
      <c r="M2409" t="n">
        <v>0</v>
      </c>
      <c r="N2409" t="n">
        <v>0</v>
      </c>
      <c r="O2409" t="n">
        <v>0</v>
      </c>
      <c r="P2409" t="n">
        <v>0</v>
      </c>
      <c r="Q2409" t="n">
        <v>0</v>
      </c>
      <c r="R2409" s="2" t="inlineStr"/>
    </row>
    <row r="2410" ht="15" customHeight="1">
      <c r="A2410" t="inlineStr">
        <is>
          <t>A 28806-2020</t>
        </is>
      </c>
      <c r="B2410" s="1" t="n">
        <v>44000</v>
      </c>
      <c r="C2410" s="1" t="n">
        <v>45357</v>
      </c>
      <c r="D2410" t="inlineStr">
        <is>
          <t>GÄVLEBORGS LÄN</t>
        </is>
      </c>
      <c r="E2410" t="inlineStr">
        <is>
          <t>GÄVLE</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28825-2020</t>
        </is>
      </c>
      <c r="B2411" s="1" t="n">
        <v>44000</v>
      </c>
      <c r="C2411" s="1" t="n">
        <v>45357</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28932-2020</t>
        </is>
      </c>
      <c r="B2412" s="1" t="n">
        <v>44000</v>
      </c>
      <c r="C2412" s="1" t="n">
        <v>45357</v>
      </c>
      <c r="D2412" t="inlineStr">
        <is>
          <t>GÄVLEBORGS LÄN</t>
        </is>
      </c>
      <c r="E2412" t="inlineStr">
        <is>
          <t>LJUSDAL</t>
        </is>
      </c>
      <c r="F2412" t="inlineStr">
        <is>
          <t>Kyrkan</t>
        </is>
      </c>
      <c r="G2412" t="n">
        <v>36.2</v>
      </c>
      <c r="H2412" t="n">
        <v>0</v>
      </c>
      <c r="I2412" t="n">
        <v>0</v>
      </c>
      <c r="J2412" t="n">
        <v>0</v>
      </c>
      <c r="K2412" t="n">
        <v>0</v>
      </c>
      <c r="L2412" t="n">
        <v>0</v>
      </c>
      <c r="M2412" t="n">
        <v>0</v>
      </c>
      <c r="N2412" t="n">
        <v>0</v>
      </c>
      <c r="O2412" t="n">
        <v>0</v>
      </c>
      <c r="P2412" t="n">
        <v>0</v>
      </c>
      <c r="Q2412" t="n">
        <v>0</v>
      </c>
      <c r="R2412" s="2" t="inlineStr"/>
    </row>
    <row r="2413" ht="15" customHeight="1">
      <c r="A2413" t="inlineStr">
        <is>
          <t>A 29575-2020</t>
        </is>
      </c>
      <c r="B2413" s="1" t="n">
        <v>44000</v>
      </c>
      <c r="C2413" s="1" t="n">
        <v>45357</v>
      </c>
      <c r="D2413" t="inlineStr">
        <is>
          <t>GÄVLEBORGS LÄN</t>
        </is>
      </c>
      <c r="E2413" t="inlineStr">
        <is>
          <t>SÖDERHAMN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29321-2020</t>
        </is>
      </c>
      <c r="B2414" s="1" t="n">
        <v>44000</v>
      </c>
      <c r="C2414" s="1" t="n">
        <v>45357</v>
      </c>
      <c r="D2414" t="inlineStr">
        <is>
          <t>GÄVLEBORGS LÄN</t>
        </is>
      </c>
      <c r="E2414" t="inlineStr">
        <is>
          <t>HOFORS</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29094-2020</t>
        </is>
      </c>
      <c r="B2415" s="1" t="n">
        <v>44003</v>
      </c>
      <c r="C2415" s="1" t="n">
        <v>45357</v>
      </c>
      <c r="D2415" t="inlineStr">
        <is>
          <t>GÄVLEBORGS LÄN</t>
        </is>
      </c>
      <c r="E2415" t="inlineStr">
        <is>
          <t>HUDIKSVALL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29102-2020</t>
        </is>
      </c>
      <c r="B2416" s="1" t="n">
        <v>44003</v>
      </c>
      <c r="C2416" s="1" t="n">
        <v>45357</v>
      </c>
      <c r="D2416" t="inlineStr">
        <is>
          <t>GÄVLEBORGS LÄN</t>
        </is>
      </c>
      <c r="E2416" t="inlineStr">
        <is>
          <t>HUDIKSVALL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29125-2020</t>
        </is>
      </c>
      <c r="B2417" s="1" t="n">
        <v>44004</v>
      </c>
      <c r="C2417" s="1" t="n">
        <v>45357</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29146-2020</t>
        </is>
      </c>
      <c r="B2418" s="1" t="n">
        <v>44004</v>
      </c>
      <c r="C2418" s="1" t="n">
        <v>45357</v>
      </c>
      <c r="D2418" t="inlineStr">
        <is>
          <t>GÄVLEBORGS LÄN</t>
        </is>
      </c>
      <c r="E2418" t="inlineStr">
        <is>
          <t>NORDANSTIG</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29195-2020</t>
        </is>
      </c>
      <c r="B2419" s="1" t="n">
        <v>44004</v>
      </c>
      <c r="C2419" s="1" t="n">
        <v>45357</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29124-2020</t>
        </is>
      </c>
      <c r="B2420" s="1" t="n">
        <v>44004</v>
      </c>
      <c r="C2420" s="1" t="n">
        <v>45357</v>
      </c>
      <c r="D2420" t="inlineStr">
        <is>
          <t>GÄVLEBORGS LÄN</t>
        </is>
      </c>
      <c r="E2420" t="inlineStr">
        <is>
          <t>NORDANSTIG</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29284-2020</t>
        </is>
      </c>
      <c r="B2421" s="1" t="n">
        <v>44004</v>
      </c>
      <c r="C2421" s="1" t="n">
        <v>45357</v>
      </c>
      <c r="D2421" t="inlineStr">
        <is>
          <t>GÄVLEBORGS LÄN</t>
        </is>
      </c>
      <c r="E2421" t="inlineStr">
        <is>
          <t>NORDANSTIG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29541-2020</t>
        </is>
      </c>
      <c r="B2422" s="1" t="n">
        <v>44005</v>
      </c>
      <c r="C2422" s="1" t="n">
        <v>45357</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29536-2020</t>
        </is>
      </c>
      <c r="B2423" s="1" t="n">
        <v>44005</v>
      </c>
      <c r="C2423" s="1" t="n">
        <v>45357</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29749-2020</t>
        </is>
      </c>
      <c r="B2424" s="1" t="n">
        <v>44005</v>
      </c>
      <c r="C2424" s="1" t="n">
        <v>45357</v>
      </c>
      <c r="D2424" t="inlineStr">
        <is>
          <t>GÄVLEBORGS LÄN</t>
        </is>
      </c>
      <c r="E2424" t="inlineStr">
        <is>
          <t>HUDIKSVALL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29653-2020</t>
        </is>
      </c>
      <c r="B2425" s="1" t="n">
        <v>44005</v>
      </c>
      <c r="C2425" s="1" t="n">
        <v>45357</v>
      </c>
      <c r="D2425" t="inlineStr">
        <is>
          <t>GÄVLEBORGS LÄN</t>
        </is>
      </c>
      <c r="E2425" t="inlineStr">
        <is>
          <t>NORDANSTIG</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29665-2020</t>
        </is>
      </c>
      <c r="B2426" s="1" t="n">
        <v>44005</v>
      </c>
      <c r="C2426" s="1" t="n">
        <v>45357</v>
      </c>
      <c r="D2426" t="inlineStr">
        <is>
          <t>GÄVLEBORGS LÄN</t>
        </is>
      </c>
      <c r="E2426" t="inlineStr">
        <is>
          <t>SANDVIKEN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29538-2020</t>
        </is>
      </c>
      <c r="B2427" s="1" t="n">
        <v>44005</v>
      </c>
      <c r="C2427" s="1" t="n">
        <v>45357</v>
      </c>
      <c r="D2427" t="inlineStr">
        <is>
          <t>GÄVLEBORGS LÄN</t>
        </is>
      </c>
      <c r="E2427" t="inlineStr">
        <is>
          <t>OVANÅKER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29564-2020</t>
        </is>
      </c>
      <c r="B2428" s="1" t="n">
        <v>44005</v>
      </c>
      <c r="C2428" s="1" t="n">
        <v>45357</v>
      </c>
      <c r="D2428" t="inlineStr">
        <is>
          <t>GÄVLEBORGS LÄN</t>
        </is>
      </c>
      <c r="E2428" t="inlineStr">
        <is>
          <t>GÄVLE</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29688-2020</t>
        </is>
      </c>
      <c r="B2429" s="1" t="n">
        <v>44005</v>
      </c>
      <c r="C2429" s="1" t="n">
        <v>45357</v>
      </c>
      <c r="D2429" t="inlineStr">
        <is>
          <t>GÄVLEBORGS LÄN</t>
        </is>
      </c>
      <c r="E2429" t="inlineStr">
        <is>
          <t>LJUSDAL</t>
        </is>
      </c>
      <c r="F2429" t="inlineStr">
        <is>
          <t>Sveaskog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29692-2020</t>
        </is>
      </c>
      <c r="B2430" s="1" t="n">
        <v>44005</v>
      </c>
      <c r="C2430" s="1" t="n">
        <v>45357</v>
      </c>
      <c r="D2430" t="inlineStr">
        <is>
          <t>GÄVLEBORGS LÄN</t>
        </is>
      </c>
      <c r="E2430" t="inlineStr">
        <is>
          <t>LJUSDAL</t>
        </is>
      </c>
      <c r="F2430" t="inlineStr">
        <is>
          <t>Sveaskog</t>
        </is>
      </c>
      <c r="G2430" t="n">
        <v>21.9</v>
      </c>
      <c r="H2430" t="n">
        <v>0</v>
      </c>
      <c r="I2430" t="n">
        <v>0</v>
      </c>
      <c r="J2430" t="n">
        <v>0</v>
      </c>
      <c r="K2430" t="n">
        <v>0</v>
      </c>
      <c r="L2430" t="n">
        <v>0</v>
      </c>
      <c r="M2430" t="n">
        <v>0</v>
      </c>
      <c r="N2430" t="n">
        <v>0</v>
      </c>
      <c r="O2430" t="n">
        <v>0</v>
      </c>
      <c r="P2430" t="n">
        <v>0</v>
      </c>
      <c r="Q2430" t="n">
        <v>0</v>
      </c>
      <c r="R2430" s="2" t="inlineStr"/>
    </row>
    <row r="2431" ht="15" customHeight="1">
      <c r="A2431" t="inlineStr">
        <is>
          <t>A 29836-2020</t>
        </is>
      </c>
      <c r="B2431" s="1" t="n">
        <v>44006</v>
      </c>
      <c r="C2431" s="1" t="n">
        <v>45357</v>
      </c>
      <c r="D2431" t="inlineStr">
        <is>
          <t>GÄVLEBORGS LÄN</t>
        </is>
      </c>
      <c r="E2431" t="inlineStr">
        <is>
          <t>BOLLNÄS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29886-2020</t>
        </is>
      </c>
      <c r="B2432" s="1" t="n">
        <v>44006</v>
      </c>
      <c r="C2432" s="1" t="n">
        <v>45357</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29810-2020</t>
        </is>
      </c>
      <c r="B2433" s="1" t="n">
        <v>44006</v>
      </c>
      <c r="C2433" s="1" t="n">
        <v>45357</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29940-2020</t>
        </is>
      </c>
      <c r="B2434" s="1" t="n">
        <v>44006</v>
      </c>
      <c r="C2434" s="1" t="n">
        <v>45357</v>
      </c>
      <c r="D2434" t="inlineStr">
        <is>
          <t>GÄVLEBORGS LÄN</t>
        </is>
      </c>
      <c r="E2434" t="inlineStr">
        <is>
          <t>GÄVLE</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30185-2020</t>
        </is>
      </c>
      <c r="B2435" s="1" t="n">
        <v>44007</v>
      </c>
      <c r="C2435" s="1" t="n">
        <v>45357</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30191-2020</t>
        </is>
      </c>
      <c r="B2436" s="1" t="n">
        <v>44007</v>
      </c>
      <c r="C2436" s="1" t="n">
        <v>45357</v>
      </c>
      <c r="D2436" t="inlineStr">
        <is>
          <t>GÄVLEBORGS LÄN</t>
        </is>
      </c>
      <c r="E2436" t="inlineStr">
        <is>
          <t>NORDANSTIG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30127-2020</t>
        </is>
      </c>
      <c r="B2437" s="1" t="n">
        <v>44007</v>
      </c>
      <c r="C2437" s="1" t="n">
        <v>45357</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30134-2020</t>
        </is>
      </c>
      <c r="B2438" s="1" t="n">
        <v>44007</v>
      </c>
      <c r="C2438" s="1" t="n">
        <v>45357</v>
      </c>
      <c r="D2438" t="inlineStr">
        <is>
          <t>GÄVLEBORGS LÄN</t>
        </is>
      </c>
      <c r="E2438" t="inlineStr">
        <is>
          <t>SANDVIKEN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30242-2020</t>
        </is>
      </c>
      <c r="B2439" s="1" t="n">
        <v>44007</v>
      </c>
      <c r="C2439" s="1" t="n">
        <v>45357</v>
      </c>
      <c r="D2439" t="inlineStr">
        <is>
          <t>GÄVLEBORGS LÄN</t>
        </is>
      </c>
      <c r="E2439" t="inlineStr">
        <is>
          <t>SANDVIKEN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30281-2020</t>
        </is>
      </c>
      <c r="B2440" s="1" t="n">
        <v>44007</v>
      </c>
      <c r="C2440" s="1" t="n">
        <v>45357</v>
      </c>
      <c r="D2440" t="inlineStr">
        <is>
          <t>GÄVLEBORGS LÄN</t>
        </is>
      </c>
      <c r="E2440" t="inlineStr">
        <is>
          <t>SÖDERHAMN</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30290-2020</t>
        </is>
      </c>
      <c r="B2441" s="1" t="n">
        <v>44007</v>
      </c>
      <c r="C2441" s="1" t="n">
        <v>45357</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30452-2020</t>
        </is>
      </c>
      <c r="B2442" s="1" t="n">
        <v>44007</v>
      </c>
      <c r="C2442" s="1" t="n">
        <v>45357</v>
      </c>
      <c r="D2442" t="inlineStr">
        <is>
          <t>GÄVLEBORGS LÄN</t>
        </is>
      </c>
      <c r="E2442" t="inlineStr">
        <is>
          <t>SANDVIKEN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30448-2020</t>
        </is>
      </c>
      <c r="B2443" s="1" t="n">
        <v>44007</v>
      </c>
      <c r="C2443" s="1" t="n">
        <v>45357</v>
      </c>
      <c r="D2443" t="inlineStr">
        <is>
          <t>GÄVLEBORGS LÄN</t>
        </is>
      </c>
      <c r="E2443" t="inlineStr">
        <is>
          <t>NORDANSTIG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30450-2020</t>
        </is>
      </c>
      <c r="B2444" s="1" t="n">
        <v>44007</v>
      </c>
      <c r="C2444" s="1" t="n">
        <v>45357</v>
      </c>
      <c r="D2444" t="inlineStr">
        <is>
          <t>GÄVLEBORGS LÄN</t>
        </is>
      </c>
      <c r="E2444" t="inlineStr">
        <is>
          <t>NORDANSTIG</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30359-2020</t>
        </is>
      </c>
      <c r="B2445" s="1" t="n">
        <v>44007</v>
      </c>
      <c r="C2445" s="1" t="n">
        <v>45357</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30225-2020</t>
        </is>
      </c>
      <c r="B2446" s="1" t="n">
        <v>44007</v>
      </c>
      <c r="C2446" s="1" t="n">
        <v>45357</v>
      </c>
      <c r="D2446" t="inlineStr">
        <is>
          <t>GÄVLEBORGS LÄN</t>
        </is>
      </c>
      <c r="E2446" t="inlineStr">
        <is>
          <t>SANDVIKEN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30449-2020</t>
        </is>
      </c>
      <c r="B2447" s="1" t="n">
        <v>44007</v>
      </c>
      <c r="C2447" s="1" t="n">
        <v>45357</v>
      </c>
      <c r="D2447" t="inlineStr">
        <is>
          <t>GÄVLEBORGS LÄN</t>
        </is>
      </c>
      <c r="E2447" t="inlineStr">
        <is>
          <t>NORDANSTIG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30456-2020</t>
        </is>
      </c>
      <c r="B2448" s="1" t="n">
        <v>44007</v>
      </c>
      <c r="C2448" s="1" t="n">
        <v>45357</v>
      </c>
      <c r="D2448" t="inlineStr">
        <is>
          <t>GÄVLEBORGS LÄN</t>
        </is>
      </c>
      <c r="E2448" t="inlineStr">
        <is>
          <t>LJUSDAL</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30558-2020</t>
        </is>
      </c>
      <c r="B2449" s="1" t="n">
        <v>44008</v>
      </c>
      <c r="C2449" s="1" t="n">
        <v>45357</v>
      </c>
      <c r="D2449" t="inlineStr">
        <is>
          <t>GÄVLEBORGS LÄN</t>
        </is>
      </c>
      <c r="E2449" t="inlineStr">
        <is>
          <t>SÖDERHAMN</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30569-2020</t>
        </is>
      </c>
      <c r="B2450" s="1" t="n">
        <v>44008</v>
      </c>
      <c r="C2450" s="1" t="n">
        <v>45357</v>
      </c>
      <c r="D2450" t="inlineStr">
        <is>
          <t>GÄVLEBORGS LÄN</t>
        </is>
      </c>
      <c r="E2450" t="inlineStr">
        <is>
          <t>SÖDERHAMN</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30587-2020</t>
        </is>
      </c>
      <c r="B2451" s="1" t="n">
        <v>44008</v>
      </c>
      <c r="C2451" s="1" t="n">
        <v>45357</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30584-2020</t>
        </is>
      </c>
      <c r="B2452" s="1" t="n">
        <v>44008</v>
      </c>
      <c r="C2452" s="1" t="n">
        <v>45357</v>
      </c>
      <c r="D2452" t="inlineStr">
        <is>
          <t>GÄVLEBORGS LÄN</t>
        </is>
      </c>
      <c r="E2452" t="inlineStr">
        <is>
          <t>SÖDERHAMN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30658-2020</t>
        </is>
      </c>
      <c r="B2453" s="1" t="n">
        <v>44008</v>
      </c>
      <c r="C2453" s="1" t="n">
        <v>45357</v>
      </c>
      <c r="D2453" t="inlineStr">
        <is>
          <t>GÄVLEBORGS LÄN</t>
        </is>
      </c>
      <c r="E2453" t="inlineStr">
        <is>
          <t>GÄVLE</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30516-2020</t>
        </is>
      </c>
      <c r="B2454" s="1" t="n">
        <v>44008</v>
      </c>
      <c r="C2454" s="1" t="n">
        <v>45357</v>
      </c>
      <c r="D2454" t="inlineStr">
        <is>
          <t>GÄVLEBORGS LÄN</t>
        </is>
      </c>
      <c r="E2454" t="inlineStr">
        <is>
          <t>SÖDERHAMN</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30678-2020</t>
        </is>
      </c>
      <c r="B2455" s="1" t="n">
        <v>44008</v>
      </c>
      <c r="C2455" s="1" t="n">
        <v>45357</v>
      </c>
      <c r="D2455" t="inlineStr">
        <is>
          <t>GÄVLEBORGS LÄN</t>
        </is>
      </c>
      <c r="E2455" t="inlineStr">
        <is>
          <t>SÖDERHAMN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30738-2020</t>
        </is>
      </c>
      <c r="B2456" s="1" t="n">
        <v>44008</v>
      </c>
      <c r="C2456" s="1" t="n">
        <v>45357</v>
      </c>
      <c r="D2456" t="inlineStr">
        <is>
          <t>GÄVLEBORGS LÄN</t>
        </is>
      </c>
      <c r="E2456" t="inlineStr">
        <is>
          <t>LJUSDAL</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30556-2020</t>
        </is>
      </c>
      <c r="B2457" s="1" t="n">
        <v>44008</v>
      </c>
      <c r="C2457" s="1" t="n">
        <v>45357</v>
      </c>
      <c r="D2457" t="inlineStr">
        <is>
          <t>GÄVLEBORGS LÄN</t>
        </is>
      </c>
      <c r="E2457" t="inlineStr">
        <is>
          <t>SÖDERHAMN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30737-2020</t>
        </is>
      </c>
      <c r="B2458" s="1" t="n">
        <v>44008</v>
      </c>
      <c r="C2458" s="1" t="n">
        <v>45357</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30851-2020</t>
        </is>
      </c>
      <c r="B2459" s="1" t="n">
        <v>44011</v>
      </c>
      <c r="C2459" s="1" t="n">
        <v>45357</v>
      </c>
      <c r="D2459" t="inlineStr">
        <is>
          <t>GÄVLEBORGS LÄN</t>
        </is>
      </c>
      <c r="E2459" t="inlineStr">
        <is>
          <t>GÄVLE</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30817-2020</t>
        </is>
      </c>
      <c r="B2460" s="1" t="n">
        <v>44011</v>
      </c>
      <c r="C2460" s="1" t="n">
        <v>45357</v>
      </c>
      <c r="D2460" t="inlineStr">
        <is>
          <t>GÄVLEBORGS LÄN</t>
        </is>
      </c>
      <c r="E2460" t="inlineStr">
        <is>
          <t>NORDANSTIG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30927-2020</t>
        </is>
      </c>
      <c r="B2461" s="1" t="n">
        <v>44011</v>
      </c>
      <c r="C2461" s="1" t="n">
        <v>45357</v>
      </c>
      <c r="D2461" t="inlineStr">
        <is>
          <t>GÄVLEBORGS LÄN</t>
        </is>
      </c>
      <c r="E2461" t="inlineStr">
        <is>
          <t>NORDANSTIG</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30899-2020</t>
        </is>
      </c>
      <c r="B2462" s="1" t="n">
        <v>44011</v>
      </c>
      <c r="C2462" s="1" t="n">
        <v>45357</v>
      </c>
      <c r="D2462" t="inlineStr">
        <is>
          <t>GÄVLEBORGS LÄN</t>
        </is>
      </c>
      <c r="E2462" t="inlineStr">
        <is>
          <t>SÖDERHAMN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30908-2020</t>
        </is>
      </c>
      <c r="B2463" s="1" t="n">
        <v>44011</v>
      </c>
      <c r="C2463" s="1" t="n">
        <v>45357</v>
      </c>
      <c r="D2463" t="inlineStr">
        <is>
          <t>GÄVLEBORGS LÄN</t>
        </is>
      </c>
      <c r="E2463" t="inlineStr">
        <is>
          <t>HUDIKSVALL</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31110-2020</t>
        </is>
      </c>
      <c r="B2464" s="1" t="n">
        <v>44012</v>
      </c>
      <c r="C2464" s="1" t="n">
        <v>45357</v>
      </c>
      <c r="D2464" t="inlineStr">
        <is>
          <t>GÄVLEBORGS LÄN</t>
        </is>
      </c>
      <c r="E2464" t="inlineStr">
        <is>
          <t>OCKELBO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31183-2020</t>
        </is>
      </c>
      <c r="B2465" s="1" t="n">
        <v>44012</v>
      </c>
      <c r="C2465" s="1" t="n">
        <v>45357</v>
      </c>
      <c r="D2465" t="inlineStr">
        <is>
          <t>GÄVLEBORGS LÄN</t>
        </is>
      </c>
      <c r="E2465" t="inlineStr">
        <is>
          <t>NORDANSTIG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31193-2020</t>
        </is>
      </c>
      <c r="B2466" s="1" t="n">
        <v>44012</v>
      </c>
      <c r="C2466" s="1" t="n">
        <v>45357</v>
      </c>
      <c r="D2466" t="inlineStr">
        <is>
          <t>GÄVLEBORGS LÄN</t>
        </is>
      </c>
      <c r="E2466" t="inlineStr">
        <is>
          <t>NORDANSTIG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31202-2020</t>
        </is>
      </c>
      <c r="B2467" s="1" t="n">
        <v>44012</v>
      </c>
      <c r="C2467" s="1" t="n">
        <v>45357</v>
      </c>
      <c r="D2467" t="inlineStr">
        <is>
          <t>GÄVLEBORGS LÄN</t>
        </is>
      </c>
      <c r="E2467" t="inlineStr">
        <is>
          <t>NORDANSTIG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31231-2020</t>
        </is>
      </c>
      <c r="B2468" s="1" t="n">
        <v>44012</v>
      </c>
      <c r="C2468" s="1" t="n">
        <v>45357</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31287-2020</t>
        </is>
      </c>
      <c r="B2469" s="1" t="n">
        <v>44012</v>
      </c>
      <c r="C2469" s="1" t="n">
        <v>45357</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31214-2020</t>
        </is>
      </c>
      <c r="B2470" s="1" t="n">
        <v>44012</v>
      </c>
      <c r="C2470" s="1" t="n">
        <v>45357</v>
      </c>
      <c r="D2470" t="inlineStr">
        <is>
          <t>GÄVLEBORGS LÄN</t>
        </is>
      </c>
      <c r="E2470" t="inlineStr">
        <is>
          <t>OVANÅKER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31408-2020</t>
        </is>
      </c>
      <c r="B2471" s="1" t="n">
        <v>44013</v>
      </c>
      <c r="C2471" s="1" t="n">
        <v>45357</v>
      </c>
      <c r="D2471" t="inlineStr">
        <is>
          <t>GÄVLEBORGS LÄN</t>
        </is>
      </c>
      <c r="E2471" t="inlineStr">
        <is>
          <t>NORDANSTIG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31402-2020</t>
        </is>
      </c>
      <c r="B2472" s="1" t="n">
        <v>44013</v>
      </c>
      <c r="C2472" s="1" t="n">
        <v>45357</v>
      </c>
      <c r="D2472" t="inlineStr">
        <is>
          <t>GÄVLEBORGS LÄN</t>
        </is>
      </c>
      <c r="E2472" t="inlineStr">
        <is>
          <t>NORDANSTIG</t>
        </is>
      </c>
      <c r="F2472" t="inlineStr">
        <is>
          <t>Holmen skog AB</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31491-2020</t>
        </is>
      </c>
      <c r="B2473" s="1" t="n">
        <v>44013</v>
      </c>
      <c r="C2473" s="1" t="n">
        <v>45357</v>
      </c>
      <c r="D2473" t="inlineStr">
        <is>
          <t>GÄVLEBORGS LÄN</t>
        </is>
      </c>
      <c r="E2473" t="inlineStr">
        <is>
          <t>NORDANSTIG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31599-2020</t>
        </is>
      </c>
      <c r="B2474" s="1" t="n">
        <v>44013</v>
      </c>
      <c r="C2474" s="1" t="n">
        <v>45357</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31716-2020</t>
        </is>
      </c>
      <c r="B2475" s="1" t="n">
        <v>44014</v>
      </c>
      <c r="C2475" s="1" t="n">
        <v>45357</v>
      </c>
      <c r="D2475" t="inlineStr">
        <is>
          <t>GÄVLEBORGS LÄN</t>
        </is>
      </c>
      <c r="E2475" t="inlineStr">
        <is>
          <t>HUDIKSVALL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31747-2020</t>
        </is>
      </c>
      <c r="B2476" s="1" t="n">
        <v>44014</v>
      </c>
      <c r="C2476" s="1" t="n">
        <v>45357</v>
      </c>
      <c r="D2476" t="inlineStr">
        <is>
          <t>GÄVLEBORGS LÄN</t>
        </is>
      </c>
      <c r="E2476" t="inlineStr">
        <is>
          <t>GÄVLE</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31810-2020</t>
        </is>
      </c>
      <c r="B2477" s="1" t="n">
        <v>44014</v>
      </c>
      <c r="C2477" s="1" t="n">
        <v>45357</v>
      </c>
      <c r="D2477" t="inlineStr">
        <is>
          <t>GÄVLEBORGS LÄN</t>
        </is>
      </c>
      <c r="E2477" t="inlineStr">
        <is>
          <t>OVANÅKER</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31824-2020</t>
        </is>
      </c>
      <c r="B2478" s="1" t="n">
        <v>44014</v>
      </c>
      <c r="C2478" s="1" t="n">
        <v>45357</v>
      </c>
      <c r="D2478" t="inlineStr">
        <is>
          <t>GÄVLEBORGS LÄN</t>
        </is>
      </c>
      <c r="E2478" t="inlineStr">
        <is>
          <t>LJUSDAL</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31860-2020</t>
        </is>
      </c>
      <c r="B2479" s="1" t="n">
        <v>44014</v>
      </c>
      <c r="C2479" s="1" t="n">
        <v>45357</v>
      </c>
      <c r="D2479" t="inlineStr">
        <is>
          <t>GÄVLEBORGS LÄN</t>
        </is>
      </c>
      <c r="E2479" t="inlineStr">
        <is>
          <t>OVANÅKER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31890-2020</t>
        </is>
      </c>
      <c r="B2480" s="1" t="n">
        <v>44014</v>
      </c>
      <c r="C2480" s="1" t="n">
        <v>45357</v>
      </c>
      <c r="D2480" t="inlineStr">
        <is>
          <t>GÄVLEBORGS LÄN</t>
        </is>
      </c>
      <c r="E2480" t="inlineStr">
        <is>
          <t>BOLLNÄS</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31817-2020</t>
        </is>
      </c>
      <c r="B2481" s="1" t="n">
        <v>44014</v>
      </c>
      <c r="C2481" s="1" t="n">
        <v>45357</v>
      </c>
      <c r="D2481" t="inlineStr">
        <is>
          <t>GÄVLEBORGS LÄN</t>
        </is>
      </c>
      <c r="E2481" t="inlineStr">
        <is>
          <t>BOLLNÄS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31827-2020</t>
        </is>
      </c>
      <c r="B2482" s="1" t="n">
        <v>44014</v>
      </c>
      <c r="C2482" s="1" t="n">
        <v>45357</v>
      </c>
      <c r="D2482" t="inlineStr">
        <is>
          <t>GÄVLEBORGS LÄN</t>
        </is>
      </c>
      <c r="E2482" t="inlineStr">
        <is>
          <t>BOLLNÄS</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31823-2020</t>
        </is>
      </c>
      <c r="B2483" s="1" t="n">
        <v>44014</v>
      </c>
      <c r="C2483" s="1" t="n">
        <v>45357</v>
      </c>
      <c r="D2483" t="inlineStr">
        <is>
          <t>GÄVLEBORGS LÄN</t>
        </is>
      </c>
      <c r="E2483" t="inlineStr">
        <is>
          <t>LJUSDAL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31855-2020</t>
        </is>
      </c>
      <c r="B2484" s="1" t="n">
        <v>44014</v>
      </c>
      <c r="C2484" s="1" t="n">
        <v>45357</v>
      </c>
      <c r="D2484" t="inlineStr">
        <is>
          <t>GÄVLEBORGS LÄN</t>
        </is>
      </c>
      <c r="E2484" t="inlineStr">
        <is>
          <t>LJUSDAL</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31830-2020</t>
        </is>
      </c>
      <c r="B2485" s="1" t="n">
        <v>44014</v>
      </c>
      <c r="C2485" s="1" t="n">
        <v>45357</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32007-2020</t>
        </is>
      </c>
      <c r="B2486" s="1" t="n">
        <v>44014</v>
      </c>
      <c r="C2486" s="1" t="n">
        <v>45357</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31794-2020</t>
        </is>
      </c>
      <c r="B2487" s="1" t="n">
        <v>44014</v>
      </c>
      <c r="C2487" s="1" t="n">
        <v>45357</v>
      </c>
      <c r="D2487" t="inlineStr">
        <is>
          <t>GÄVLEBORGS LÄN</t>
        </is>
      </c>
      <c r="E2487" t="inlineStr">
        <is>
          <t>HOFORS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32234-2020</t>
        </is>
      </c>
      <c r="B2488" s="1" t="n">
        <v>44015</v>
      </c>
      <c r="C2488" s="1" t="n">
        <v>45357</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32293-2020</t>
        </is>
      </c>
      <c r="B2489" s="1" t="n">
        <v>44015</v>
      </c>
      <c r="C2489" s="1" t="n">
        <v>45357</v>
      </c>
      <c r="D2489" t="inlineStr">
        <is>
          <t>GÄVLEBORGS LÄN</t>
        </is>
      </c>
      <c r="E2489" t="inlineStr">
        <is>
          <t>BOLLNÄS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32223-2020</t>
        </is>
      </c>
      <c r="B2490" s="1" t="n">
        <v>44015</v>
      </c>
      <c r="C2490" s="1" t="n">
        <v>45357</v>
      </c>
      <c r="D2490" t="inlineStr">
        <is>
          <t>GÄVLEBORGS LÄN</t>
        </is>
      </c>
      <c r="E2490" t="inlineStr">
        <is>
          <t>GÄVLE</t>
        </is>
      </c>
      <c r="F2490" t="inlineStr">
        <is>
          <t>Bergvik skog öst AB</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32231-2020</t>
        </is>
      </c>
      <c r="B2491" s="1" t="n">
        <v>44015</v>
      </c>
      <c r="C2491" s="1" t="n">
        <v>45357</v>
      </c>
      <c r="D2491" t="inlineStr">
        <is>
          <t>GÄVLEBORGS LÄN</t>
        </is>
      </c>
      <c r="E2491" t="inlineStr">
        <is>
          <t>GÄVLE</t>
        </is>
      </c>
      <c r="F2491" t="inlineStr">
        <is>
          <t>Bergvik skog öst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32247-2020</t>
        </is>
      </c>
      <c r="B2492" s="1" t="n">
        <v>44015</v>
      </c>
      <c r="C2492" s="1" t="n">
        <v>45357</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32342-2020</t>
        </is>
      </c>
      <c r="B2493" s="1" t="n">
        <v>44016</v>
      </c>
      <c r="C2493" s="1" t="n">
        <v>45357</v>
      </c>
      <c r="D2493" t="inlineStr">
        <is>
          <t>GÄVLEBORGS LÄN</t>
        </is>
      </c>
      <c r="E2493" t="inlineStr">
        <is>
          <t>HOFORS</t>
        </is>
      </c>
      <c r="F2493" t="inlineStr">
        <is>
          <t>Sveaskog</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32527-2020</t>
        </is>
      </c>
      <c r="B2494" s="1" t="n">
        <v>44018</v>
      </c>
      <c r="C2494" s="1" t="n">
        <v>45357</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32507-2020</t>
        </is>
      </c>
      <c r="B2495" s="1" t="n">
        <v>44018</v>
      </c>
      <c r="C2495" s="1" t="n">
        <v>45357</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32722-2020</t>
        </is>
      </c>
      <c r="B2496" s="1" t="n">
        <v>44019</v>
      </c>
      <c r="C2496" s="1" t="n">
        <v>45357</v>
      </c>
      <c r="D2496" t="inlineStr">
        <is>
          <t>GÄVLEBORGS LÄN</t>
        </is>
      </c>
      <c r="E2496" t="inlineStr">
        <is>
          <t>HUDIKSVALL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32969-2020</t>
        </is>
      </c>
      <c r="B2497" s="1" t="n">
        <v>44020</v>
      </c>
      <c r="C2497" s="1" t="n">
        <v>45357</v>
      </c>
      <c r="D2497" t="inlineStr">
        <is>
          <t>GÄVLEBORGS LÄN</t>
        </is>
      </c>
      <c r="E2497" t="inlineStr">
        <is>
          <t>OCKELBO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32796-2020</t>
        </is>
      </c>
      <c r="B2498" s="1" t="n">
        <v>44020</v>
      </c>
      <c r="C2498" s="1" t="n">
        <v>45357</v>
      </c>
      <c r="D2498" t="inlineStr">
        <is>
          <t>GÄVLEBORGS LÄN</t>
        </is>
      </c>
      <c r="E2498" t="inlineStr">
        <is>
          <t>SANDVIKEN</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32895-2020</t>
        </is>
      </c>
      <c r="B2499" s="1" t="n">
        <v>44020</v>
      </c>
      <c r="C2499" s="1" t="n">
        <v>45357</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32795-2020</t>
        </is>
      </c>
      <c r="B2500" s="1" t="n">
        <v>44020</v>
      </c>
      <c r="C2500" s="1" t="n">
        <v>45357</v>
      </c>
      <c r="D2500" t="inlineStr">
        <is>
          <t>GÄVLEBORGS LÄN</t>
        </is>
      </c>
      <c r="E2500" t="inlineStr">
        <is>
          <t>SANDVIKEN</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33285-2020</t>
        </is>
      </c>
      <c r="B2501" s="1" t="n">
        <v>44020</v>
      </c>
      <c r="C2501" s="1" t="n">
        <v>45357</v>
      </c>
      <c r="D2501" t="inlineStr">
        <is>
          <t>GÄVLEBORGS LÄN</t>
        </is>
      </c>
      <c r="E2501" t="inlineStr">
        <is>
          <t>HUDIKSVALL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33281-2020</t>
        </is>
      </c>
      <c r="B2502" s="1" t="n">
        <v>44020</v>
      </c>
      <c r="C2502" s="1" t="n">
        <v>45357</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33127-2020</t>
        </is>
      </c>
      <c r="B2503" s="1" t="n">
        <v>44021</v>
      </c>
      <c r="C2503" s="1" t="n">
        <v>45357</v>
      </c>
      <c r="D2503" t="inlineStr">
        <is>
          <t>GÄVLEBORGS LÄN</t>
        </is>
      </c>
      <c r="E2503" t="inlineStr">
        <is>
          <t>OVANÅKER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33414-2020</t>
        </is>
      </c>
      <c r="B2504" s="1" t="n">
        <v>44022</v>
      </c>
      <c r="C2504" s="1" t="n">
        <v>45357</v>
      </c>
      <c r="D2504" t="inlineStr">
        <is>
          <t>GÄVLEBORGS LÄN</t>
        </is>
      </c>
      <c r="E2504" t="inlineStr">
        <is>
          <t>SANDVIKEN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33328-2020</t>
        </is>
      </c>
      <c r="B2505" s="1" t="n">
        <v>44022</v>
      </c>
      <c r="C2505" s="1" t="n">
        <v>45357</v>
      </c>
      <c r="D2505" t="inlineStr">
        <is>
          <t>GÄVLEBORGS LÄN</t>
        </is>
      </c>
      <c r="E2505" t="inlineStr">
        <is>
          <t>LJUSDAL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33351-2020</t>
        </is>
      </c>
      <c r="B2506" s="1" t="n">
        <v>44022</v>
      </c>
      <c r="C2506" s="1" t="n">
        <v>45357</v>
      </c>
      <c r="D2506" t="inlineStr">
        <is>
          <t>GÄVLEBORGS LÄN</t>
        </is>
      </c>
      <c r="E2506" t="inlineStr">
        <is>
          <t>GÄVLE</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33437-2020</t>
        </is>
      </c>
      <c r="B2507" s="1" t="n">
        <v>44022</v>
      </c>
      <c r="C2507" s="1" t="n">
        <v>45357</v>
      </c>
      <c r="D2507" t="inlineStr">
        <is>
          <t>GÄVLEBORGS LÄN</t>
        </is>
      </c>
      <c r="E2507" t="inlineStr">
        <is>
          <t>HUDIKSVALL</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33338-2020</t>
        </is>
      </c>
      <c r="B2508" s="1" t="n">
        <v>44022</v>
      </c>
      <c r="C2508" s="1" t="n">
        <v>45357</v>
      </c>
      <c r="D2508" t="inlineStr">
        <is>
          <t>GÄVLEBORGS LÄN</t>
        </is>
      </c>
      <c r="E2508" t="inlineStr">
        <is>
          <t>LJUSDAL</t>
        </is>
      </c>
      <c r="F2508" t="inlineStr">
        <is>
          <t>Sveaskog</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33566-2020</t>
        </is>
      </c>
      <c r="B2509" s="1" t="n">
        <v>44025</v>
      </c>
      <c r="C2509" s="1" t="n">
        <v>45357</v>
      </c>
      <c r="D2509" t="inlineStr">
        <is>
          <t>GÄVLEBORGS LÄN</t>
        </is>
      </c>
      <c r="E2509" t="inlineStr">
        <is>
          <t>HUDIKSVALL</t>
        </is>
      </c>
      <c r="F2509" t="inlineStr">
        <is>
          <t>Holmen skog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33889-2020</t>
        </is>
      </c>
      <c r="B2510" s="1" t="n">
        <v>44025</v>
      </c>
      <c r="C2510" s="1" t="n">
        <v>45357</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33834-2020</t>
        </is>
      </c>
      <c r="B2511" s="1" t="n">
        <v>44025</v>
      </c>
      <c r="C2511" s="1" t="n">
        <v>45357</v>
      </c>
      <c r="D2511" t="inlineStr">
        <is>
          <t>GÄVLEBORGS LÄN</t>
        </is>
      </c>
      <c r="E2511" t="inlineStr">
        <is>
          <t>HUDIKSVALL</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33876-2020</t>
        </is>
      </c>
      <c r="B2512" s="1" t="n">
        <v>44025</v>
      </c>
      <c r="C2512" s="1" t="n">
        <v>45357</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33893-2020</t>
        </is>
      </c>
      <c r="B2513" s="1" t="n">
        <v>44025</v>
      </c>
      <c r="C2513" s="1" t="n">
        <v>45357</v>
      </c>
      <c r="D2513" t="inlineStr">
        <is>
          <t>GÄVLEBORGS LÄN</t>
        </is>
      </c>
      <c r="E2513" t="inlineStr">
        <is>
          <t>GÄVLE</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33647-2020</t>
        </is>
      </c>
      <c r="B2514" s="1" t="n">
        <v>44026</v>
      </c>
      <c r="C2514" s="1" t="n">
        <v>45357</v>
      </c>
      <c r="D2514" t="inlineStr">
        <is>
          <t>GÄVLEBORGS LÄN</t>
        </is>
      </c>
      <c r="E2514" t="inlineStr">
        <is>
          <t>LJUSDAL</t>
        </is>
      </c>
      <c r="F2514" t="inlineStr">
        <is>
          <t>Sveaskog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33707-2020</t>
        </is>
      </c>
      <c r="B2515" s="1" t="n">
        <v>44026</v>
      </c>
      <c r="C2515" s="1" t="n">
        <v>45357</v>
      </c>
      <c r="D2515" t="inlineStr">
        <is>
          <t>GÄVLEBORGS LÄN</t>
        </is>
      </c>
      <c r="E2515" t="inlineStr">
        <is>
          <t>HUDIKSVALL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33708-2020</t>
        </is>
      </c>
      <c r="B2516" s="1" t="n">
        <v>44026</v>
      </c>
      <c r="C2516" s="1" t="n">
        <v>45357</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33755-2020</t>
        </is>
      </c>
      <c r="B2517" s="1" t="n">
        <v>44026</v>
      </c>
      <c r="C2517" s="1" t="n">
        <v>45357</v>
      </c>
      <c r="D2517" t="inlineStr">
        <is>
          <t>GÄVLEBORGS LÄN</t>
        </is>
      </c>
      <c r="E2517" t="inlineStr">
        <is>
          <t>GÄVLE</t>
        </is>
      </c>
      <c r="F2517" t="inlineStr">
        <is>
          <t>Kommuner</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33762-2020</t>
        </is>
      </c>
      <c r="B2518" s="1" t="n">
        <v>44026</v>
      </c>
      <c r="C2518" s="1" t="n">
        <v>45357</v>
      </c>
      <c r="D2518" t="inlineStr">
        <is>
          <t>GÄVLEBORGS LÄN</t>
        </is>
      </c>
      <c r="E2518" t="inlineStr">
        <is>
          <t>SÖDERHAMN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33769-2020</t>
        </is>
      </c>
      <c r="B2519" s="1" t="n">
        <v>44026</v>
      </c>
      <c r="C2519" s="1" t="n">
        <v>45357</v>
      </c>
      <c r="D2519" t="inlineStr">
        <is>
          <t>GÄVLEBORGS LÄN</t>
        </is>
      </c>
      <c r="E2519" t="inlineStr">
        <is>
          <t>SÖDERHAMN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33765-2020</t>
        </is>
      </c>
      <c r="B2520" s="1" t="n">
        <v>44026</v>
      </c>
      <c r="C2520" s="1" t="n">
        <v>45357</v>
      </c>
      <c r="D2520" t="inlineStr">
        <is>
          <t>GÄVLEBORGS LÄN</t>
        </is>
      </c>
      <c r="E2520" t="inlineStr">
        <is>
          <t>SÖDERHAMN</t>
        </is>
      </c>
      <c r="G2520" t="n">
        <v>15.4</v>
      </c>
      <c r="H2520" t="n">
        <v>0</v>
      </c>
      <c r="I2520" t="n">
        <v>0</v>
      </c>
      <c r="J2520" t="n">
        <v>0</v>
      </c>
      <c r="K2520" t="n">
        <v>0</v>
      </c>
      <c r="L2520" t="n">
        <v>0</v>
      </c>
      <c r="M2520" t="n">
        <v>0</v>
      </c>
      <c r="N2520" t="n">
        <v>0</v>
      </c>
      <c r="O2520" t="n">
        <v>0</v>
      </c>
      <c r="P2520" t="n">
        <v>0</v>
      </c>
      <c r="Q2520" t="n">
        <v>0</v>
      </c>
      <c r="R2520" s="2" t="inlineStr"/>
    </row>
    <row r="2521" ht="15" customHeight="1">
      <c r="A2521" t="inlineStr">
        <is>
          <t>A 33863-2020</t>
        </is>
      </c>
      <c r="B2521" s="1" t="n">
        <v>44027</v>
      </c>
      <c r="C2521" s="1" t="n">
        <v>45357</v>
      </c>
      <c r="D2521" t="inlineStr">
        <is>
          <t>GÄVLEBORGS LÄN</t>
        </is>
      </c>
      <c r="E2521" t="inlineStr">
        <is>
          <t>SANDVIKEN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33895-2020</t>
        </is>
      </c>
      <c r="B2522" s="1" t="n">
        <v>44027</v>
      </c>
      <c r="C2522" s="1" t="n">
        <v>45357</v>
      </c>
      <c r="D2522" t="inlineStr">
        <is>
          <t>GÄVLEBORGS LÄN</t>
        </is>
      </c>
      <c r="E2522" t="inlineStr">
        <is>
          <t>LJUSDAL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34034-2020</t>
        </is>
      </c>
      <c r="B2523" s="1" t="n">
        <v>44028</v>
      </c>
      <c r="C2523" s="1" t="n">
        <v>45357</v>
      </c>
      <c r="D2523" t="inlineStr">
        <is>
          <t>GÄVLEBORGS LÄN</t>
        </is>
      </c>
      <c r="E2523" t="inlineStr">
        <is>
          <t>LJUSDAL</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34036-2020</t>
        </is>
      </c>
      <c r="B2524" s="1" t="n">
        <v>44028</v>
      </c>
      <c r="C2524" s="1" t="n">
        <v>45357</v>
      </c>
      <c r="D2524" t="inlineStr">
        <is>
          <t>GÄVLEBORGS LÄN</t>
        </is>
      </c>
      <c r="E2524" t="inlineStr">
        <is>
          <t>NORDANSTIG</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34031-2020</t>
        </is>
      </c>
      <c r="B2525" s="1" t="n">
        <v>44028</v>
      </c>
      <c r="C2525" s="1" t="n">
        <v>45357</v>
      </c>
      <c r="D2525" t="inlineStr">
        <is>
          <t>GÄVLEBORGS LÄN</t>
        </is>
      </c>
      <c r="E2525" t="inlineStr">
        <is>
          <t>HUDIKSVALL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34156-2020</t>
        </is>
      </c>
      <c r="B2526" s="1" t="n">
        <v>44029</v>
      </c>
      <c r="C2526" s="1" t="n">
        <v>45357</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34193-2020</t>
        </is>
      </c>
      <c r="B2527" s="1" t="n">
        <v>44029</v>
      </c>
      <c r="C2527" s="1" t="n">
        <v>45357</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34496-2020</t>
        </is>
      </c>
      <c r="B2528" s="1" t="n">
        <v>44029</v>
      </c>
      <c r="C2528" s="1" t="n">
        <v>45357</v>
      </c>
      <c r="D2528" t="inlineStr">
        <is>
          <t>GÄVLEBORGS LÄN</t>
        </is>
      </c>
      <c r="E2528" t="inlineStr">
        <is>
          <t>SANDVIKEN</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34308-2020</t>
        </is>
      </c>
      <c r="B2529" s="1" t="n">
        <v>44031</v>
      </c>
      <c r="C2529" s="1" t="n">
        <v>45357</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34317-2020</t>
        </is>
      </c>
      <c r="B2530" s="1" t="n">
        <v>44032</v>
      </c>
      <c r="C2530" s="1" t="n">
        <v>45357</v>
      </c>
      <c r="D2530" t="inlineStr">
        <is>
          <t>GÄVLEBORGS LÄN</t>
        </is>
      </c>
      <c r="E2530" t="inlineStr">
        <is>
          <t>LJUSDAL</t>
        </is>
      </c>
      <c r="F2530" t="inlineStr">
        <is>
          <t>Sveaskog</t>
        </is>
      </c>
      <c r="G2530" t="n">
        <v>38.4</v>
      </c>
      <c r="H2530" t="n">
        <v>0</v>
      </c>
      <c r="I2530" t="n">
        <v>0</v>
      </c>
      <c r="J2530" t="n">
        <v>0</v>
      </c>
      <c r="K2530" t="n">
        <v>0</v>
      </c>
      <c r="L2530" t="n">
        <v>0</v>
      </c>
      <c r="M2530" t="n">
        <v>0</v>
      </c>
      <c r="N2530" t="n">
        <v>0</v>
      </c>
      <c r="O2530" t="n">
        <v>0</v>
      </c>
      <c r="P2530" t="n">
        <v>0</v>
      </c>
      <c r="Q2530" t="n">
        <v>0</v>
      </c>
      <c r="R2530" s="2" t="inlineStr"/>
    </row>
    <row r="2531" ht="15" customHeight="1">
      <c r="A2531" t="inlineStr">
        <is>
          <t>A 34316-2020</t>
        </is>
      </c>
      <c r="B2531" s="1" t="n">
        <v>44032</v>
      </c>
      <c r="C2531" s="1" t="n">
        <v>45357</v>
      </c>
      <c r="D2531" t="inlineStr">
        <is>
          <t>GÄVLEBORGS LÄN</t>
        </is>
      </c>
      <c r="E2531" t="inlineStr">
        <is>
          <t>LJUSDAL</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34462-2020</t>
        </is>
      </c>
      <c r="B2532" s="1" t="n">
        <v>44032</v>
      </c>
      <c r="C2532" s="1" t="n">
        <v>45357</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34523-2020</t>
        </is>
      </c>
      <c r="B2533" s="1" t="n">
        <v>44033</v>
      </c>
      <c r="C2533" s="1" t="n">
        <v>45357</v>
      </c>
      <c r="D2533" t="inlineStr">
        <is>
          <t>GÄVLEBORGS LÄN</t>
        </is>
      </c>
      <c r="E2533" t="inlineStr">
        <is>
          <t>LJUSDAL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34519-2020</t>
        </is>
      </c>
      <c r="B2534" s="1" t="n">
        <v>44033</v>
      </c>
      <c r="C2534" s="1" t="n">
        <v>45357</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34627-2020</t>
        </is>
      </c>
      <c r="B2535" s="1" t="n">
        <v>44034</v>
      </c>
      <c r="C2535" s="1" t="n">
        <v>45357</v>
      </c>
      <c r="D2535" t="inlineStr">
        <is>
          <t>GÄVLEBORGS LÄN</t>
        </is>
      </c>
      <c r="E2535" t="inlineStr">
        <is>
          <t>NORDANSTIG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34625-2020</t>
        </is>
      </c>
      <c r="B2536" s="1" t="n">
        <v>44034</v>
      </c>
      <c r="C2536" s="1" t="n">
        <v>45357</v>
      </c>
      <c r="D2536" t="inlineStr">
        <is>
          <t>GÄVLEBORGS LÄN</t>
        </is>
      </c>
      <c r="E2536" t="inlineStr">
        <is>
          <t>NORDANSTIG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34704-2020</t>
        </is>
      </c>
      <c r="B2537" s="1" t="n">
        <v>44035</v>
      </c>
      <c r="C2537" s="1" t="n">
        <v>45357</v>
      </c>
      <c r="D2537" t="inlineStr">
        <is>
          <t>GÄVLEBORGS LÄN</t>
        </is>
      </c>
      <c r="E2537" t="inlineStr">
        <is>
          <t>HUDIKSVALL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34722-2020</t>
        </is>
      </c>
      <c r="B2538" s="1" t="n">
        <v>44035</v>
      </c>
      <c r="C2538" s="1" t="n">
        <v>45357</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34683-2020</t>
        </is>
      </c>
      <c r="B2539" s="1" t="n">
        <v>44035</v>
      </c>
      <c r="C2539" s="1" t="n">
        <v>45357</v>
      </c>
      <c r="D2539" t="inlineStr">
        <is>
          <t>GÄVLEBORGS LÄN</t>
        </is>
      </c>
      <c r="E2539" t="inlineStr">
        <is>
          <t>BOLLNÄS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34740-2020</t>
        </is>
      </c>
      <c r="B2540" s="1" t="n">
        <v>44035</v>
      </c>
      <c r="C2540" s="1" t="n">
        <v>45357</v>
      </c>
      <c r="D2540" t="inlineStr">
        <is>
          <t>GÄVLEBORGS LÄN</t>
        </is>
      </c>
      <c r="E2540" t="inlineStr">
        <is>
          <t>BOLLNÄS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34750-2020</t>
        </is>
      </c>
      <c r="B2541" s="1" t="n">
        <v>44035</v>
      </c>
      <c r="C2541" s="1" t="n">
        <v>45357</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34822-2020</t>
        </is>
      </c>
      <c r="B2542" s="1" t="n">
        <v>44036</v>
      </c>
      <c r="C2542" s="1" t="n">
        <v>45357</v>
      </c>
      <c r="D2542" t="inlineStr">
        <is>
          <t>GÄVLEBORGS LÄN</t>
        </is>
      </c>
      <c r="E2542" t="inlineStr">
        <is>
          <t>SÖDERHAMN</t>
        </is>
      </c>
      <c r="F2542" t="inlineStr">
        <is>
          <t>Bergvik skog väst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34817-2020</t>
        </is>
      </c>
      <c r="B2543" s="1" t="n">
        <v>44036</v>
      </c>
      <c r="C2543" s="1" t="n">
        <v>45357</v>
      </c>
      <c r="D2543" t="inlineStr">
        <is>
          <t>GÄVLEBORGS LÄN</t>
        </is>
      </c>
      <c r="E2543" t="inlineStr">
        <is>
          <t>OCKELBO</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34845-2020</t>
        </is>
      </c>
      <c r="B2544" s="1" t="n">
        <v>44036</v>
      </c>
      <c r="C2544" s="1" t="n">
        <v>45357</v>
      </c>
      <c r="D2544" t="inlineStr">
        <is>
          <t>GÄVLEBORGS LÄN</t>
        </is>
      </c>
      <c r="E2544" t="inlineStr">
        <is>
          <t>OCKELBO</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35205-2020</t>
        </is>
      </c>
      <c r="B2545" s="1" t="n">
        <v>44040</v>
      </c>
      <c r="C2545" s="1" t="n">
        <v>45357</v>
      </c>
      <c r="D2545" t="inlineStr">
        <is>
          <t>GÄVLEBORGS LÄN</t>
        </is>
      </c>
      <c r="E2545" t="inlineStr">
        <is>
          <t>SANDVIKEN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35295-2020</t>
        </is>
      </c>
      <c r="B2546" s="1" t="n">
        <v>44041</v>
      </c>
      <c r="C2546" s="1" t="n">
        <v>45357</v>
      </c>
      <c r="D2546" t="inlineStr">
        <is>
          <t>GÄVLEBORGS LÄN</t>
        </is>
      </c>
      <c r="E2546" t="inlineStr">
        <is>
          <t>OVANÅKER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35251-2020</t>
        </is>
      </c>
      <c r="B2547" s="1" t="n">
        <v>44041</v>
      </c>
      <c r="C2547" s="1" t="n">
        <v>45357</v>
      </c>
      <c r="D2547" t="inlineStr">
        <is>
          <t>GÄVLEBORGS LÄN</t>
        </is>
      </c>
      <c r="E2547" t="inlineStr">
        <is>
          <t>SÖDERHAMN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35277-2020</t>
        </is>
      </c>
      <c r="B2548" s="1" t="n">
        <v>44041</v>
      </c>
      <c r="C2548" s="1" t="n">
        <v>45357</v>
      </c>
      <c r="D2548" t="inlineStr">
        <is>
          <t>GÄVLEBORGS LÄN</t>
        </is>
      </c>
      <c r="E2548" t="inlineStr">
        <is>
          <t>LJUSDAL</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35297-2020</t>
        </is>
      </c>
      <c r="B2549" s="1" t="n">
        <v>44041</v>
      </c>
      <c r="C2549" s="1" t="n">
        <v>45357</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35227-2020</t>
        </is>
      </c>
      <c r="B2550" s="1" t="n">
        <v>44041</v>
      </c>
      <c r="C2550" s="1" t="n">
        <v>45357</v>
      </c>
      <c r="D2550" t="inlineStr">
        <is>
          <t>GÄVLEBORGS LÄN</t>
        </is>
      </c>
      <c r="E2550" t="inlineStr">
        <is>
          <t>SÖDERHAMN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35335-2020</t>
        </is>
      </c>
      <c r="B2551" s="1" t="n">
        <v>44041</v>
      </c>
      <c r="C2551" s="1" t="n">
        <v>45357</v>
      </c>
      <c r="D2551" t="inlineStr">
        <is>
          <t>GÄVLEBORGS LÄN</t>
        </is>
      </c>
      <c r="E2551" t="inlineStr">
        <is>
          <t>SANDVIKEN</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35333-2020</t>
        </is>
      </c>
      <c r="B2552" s="1" t="n">
        <v>44041</v>
      </c>
      <c r="C2552" s="1" t="n">
        <v>45357</v>
      </c>
      <c r="D2552" t="inlineStr">
        <is>
          <t>GÄVLEBORGS LÄN</t>
        </is>
      </c>
      <c r="E2552" t="inlineStr">
        <is>
          <t>SANDVIKEN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35332-2020</t>
        </is>
      </c>
      <c r="B2553" s="1" t="n">
        <v>44041</v>
      </c>
      <c r="C2553" s="1" t="n">
        <v>45357</v>
      </c>
      <c r="D2553" t="inlineStr">
        <is>
          <t>GÄVLEBORGS LÄN</t>
        </is>
      </c>
      <c r="E2553" t="inlineStr">
        <is>
          <t>SANDVIKEN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35293-2020</t>
        </is>
      </c>
      <c r="B2554" s="1" t="n">
        <v>44041</v>
      </c>
      <c r="C2554" s="1" t="n">
        <v>45357</v>
      </c>
      <c r="D2554" t="inlineStr">
        <is>
          <t>GÄVLEBORGS LÄN</t>
        </is>
      </c>
      <c r="E2554" t="inlineStr">
        <is>
          <t>LJUSDAL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35337-2020</t>
        </is>
      </c>
      <c r="B2555" s="1" t="n">
        <v>44041</v>
      </c>
      <c r="C2555" s="1" t="n">
        <v>45357</v>
      </c>
      <c r="D2555" t="inlineStr">
        <is>
          <t>GÄVLEBORGS LÄN</t>
        </is>
      </c>
      <c r="E2555" t="inlineStr">
        <is>
          <t>SANDVIKEN</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35270-2020</t>
        </is>
      </c>
      <c r="B2556" s="1" t="n">
        <v>44041</v>
      </c>
      <c r="C2556" s="1" t="n">
        <v>45357</v>
      </c>
      <c r="D2556" t="inlineStr">
        <is>
          <t>GÄVLEBORGS LÄN</t>
        </is>
      </c>
      <c r="E2556" t="inlineStr">
        <is>
          <t>OVANÅKER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35405-2020</t>
        </is>
      </c>
      <c r="B2557" s="1" t="n">
        <v>44042</v>
      </c>
      <c r="C2557" s="1" t="n">
        <v>45357</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35486-2020</t>
        </is>
      </c>
      <c r="B2558" s="1" t="n">
        <v>44042</v>
      </c>
      <c r="C2558" s="1" t="n">
        <v>45357</v>
      </c>
      <c r="D2558" t="inlineStr">
        <is>
          <t>GÄVLEBORGS LÄN</t>
        </is>
      </c>
      <c r="E2558" t="inlineStr">
        <is>
          <t>SANDVIKEN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35404-2020</t>
        </is>
      </c>
      <c r="B2559" s="1" t="n">
        <v>44042</v>
      </c>
      <c r="C2559" s="1" t="n">
        <v>45357</v>
      </c>
      <c r="D2559" t="inlineStr">
        <is>
          <t>GÄVLEBORGS LÄN</t>
        </is>
      </c>
      <c r="E2559" t="inlineStr">
        <is>
          <t>LJUSDAL</t>
        </is>
      </c>
      <c r="F2559" t="inlineStr">
        <is>
          <t>Sveaskog</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35533-2020</t>
        </is>
      </c>
      <c r="B2560" s="1" t="n">
        <v>44043</v>
      </c>
      <c r="C2560" s="1" t="n">
        <v>45357</v>
      </c>
      <c r="D2560" t="inlineStr">
        <is>
          <t>GÄVLEBORGS LÄN</t>
        </is>
      </c>
      <c r="E2560" t="inlineStr">
        <is>
          <t>GÄVLE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35875-2020</t>
        </is>
      </c>
      <c r="B2561" s="1" t="n">
        <v>44047</v>
      </c>
      <c r="C2561" s="1" t="n">
        <v>45357</v>
      </c>
      <c r="D2561" t="inlineStr">
        <is>
          <t>GÄVLEBORGS LÄN</t>
        </is>
      </c>
      <c r="E2561" t="inlineStr">
        <is>
          <t>OCKELBO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35853-2020</t>
        </is>
      </c>
      <c r="B2562" s="1" t="n">
        <v>44047</v>
      </c>
      <c r="C2562" s="1" t="n">
        <v>45357</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36111-2020</t>
        </is>
      </c>
      <c r="B2563" s="1" t="n">
        <v>44048</v>
      </c>
      <c r="C2563" s="1" t="n">
        <v>45357</v>
      </c>
      <c r="D2563" t="inlineStr">
        <is>
          <t>GÄVLEBORGS LÄN</t>
        </is>
      </c>
      <c r="E2563" t="inlineStr">
        <is>
          <t>HOFORS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36209-2020</t>
        </is>
      </c>
      <c r="B2564" s="1" t="n">
        <v>44048</v>
      </c>
      <c r="C2564" s="1" t="n">
        <v>45357</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36181-2020</t>
        </is>
      </c>
      <c r="B2565" s="1" t="n">
        <v>44048</v>
      </c>
      <c r="C2565" s="1" t="n">
        <v>45357</v>
      </c>
      <c r="D2565" t="inlineStr">
        <is>
          <t>GÄVLEBORGS LÄN</t>
        </is>
      </c>
      <c r="E2565" t="inlineStr">
        <is>
          <t>HUDIKSVALL</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36307-2020</t>
        </is>
      </c>
      <c r="B2566" s="1" t="n">
        <v>44049</v>
      </c>
      <c r="C2566" s="1" t="n">
        <v>45357</v>
      </c>
      <c r="D2566" t="inlineStr">
        <is>
          <t>GÄVLEBORGS LÄN</t>
        </is>
      </c>
      <c r="E2566" t="inlineStr">
        <is>
          <t>OCKELBO</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36358-2020</t>
        </is>
      </c>
      <c r="B2567" s="1" t="n">
        <v>44049</v>
      </c>
      <c r="C2567" s="1" t="n">
        <v>45357</v>
      </c>
      <c r="D2567" t="inlineStr">
        <is>
          <t>GÄVLEBORGS LÄN</t>
        </is>
      </c>
      <c r="E2567" t="inlineStr">
        <is>
          <t>OCKELBO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36429-2020</t>
        </is>
      </c>
      <c r="B2568" s="1" t="n">
        <v>44049</v>
      </c>
      <c r="C2568" s="1" t="n">
        <v>45357</v>
      </c>
      <c r="D2568" t="inlineStr">
        <is>
          <t>GÄVLEBORGS LÄN</t>
        </is>
      </c>
      <c r="E2568" t="inlineStr">
        <is>
          <t>LJUSDAL</t>
        </is>
      </c>
      <c r="F2568" t="inlineStr">
        <is>
          <t>Naturvårdsverket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36467-2020</t>
        </is>
      </c>
      <c r="B2569" s="1" t="n">
        <v>44049</v>
      </c>
      <c r="C2569" s="1" t="n">
        <v>45357</v>
      </c>
      <c r="D2569" t="inlineStr">
        <is>
          <t>GÄVLEBORGS LÄN</t>
        </is>
      </c>
      <c r="E2569" t="inlineStr">
        <is>
          <t>HOFORS</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36500-2020</t>
        </is>
      </c>
      <c r="B2570" s="1" t="n">
        <v>44050</v>
      </c>
      <c r="C2570" s="1" t="n">
        <v>45357</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36576-2020</t>
        </is>
      </c>
      <c r="B2571" s="1" t="n">
        <v>44050</v>
      </c>
      <c r="C2571" s="1" t="n">
        <v>45357</v>
      </c>
      <c r="D2571" t="inlineStr">
        <is>
          <t>GÄVLEBORGS LÄN</t>
        </is>
      </c>
      <c r="E2571" t="inlineStr">
        <is>
          <t>SANDVIKEN</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36485-2020</t>
        </is>
      </c>
      <c r="B2572" s="1" t="n">
        <v>44050</v>
      </c>
      <c r="C2572" s="1" t="n">
        <v>45357</v>
      </c>
      <c r="D2572" t="inlineStr">
        <is>
          <t>GÄVLEBORGS LÄN</t>
        </is>
      </c>
      <c r="E2572" t="inlineStr">
        <is>
          <t>HUDIKSVALL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36636-2020</t>
        </is>
      </c>
      <c r="B2573" s="1" t="n">
        <v>44050</v>
      </c>
      <c r="C2573" s="1" t="n">
        <v>45357</v>
      </c>
      <c r="D2573" t="inlineStr">
        <is>
          <t>GÄVLEBORGS LÄN</t>
        </is>
      </c>
      <c r="E2573" t="inlineStr">
        <is>
          <t>NORDANSTIG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36693-2020</t>
        </is>
      </c>
      <c r="B2574" s="1" t="n">
        <v>44053</v>
      </c>
      <c r="C2574" s="1" t="n">
        <v>45357</v>
      </c>
      <c r="D2574" t="inlineStr">
        <is>
          <t>GÄVLEBORGS LÄN</t>
        </is>
      </c>
      <c r="E2574" t="inlineStr">
        <is>
          <t>LJUSDAL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36896-2020</t>
        </is>
      </c>
      <c r="B2575" s="1" t="n">
        <v>44053</v>
      </c>
      <c r="C2575" s="1" t="n">
        <v>45357</v>
      </c>
      <c r="D2575" t="inlineStr">
        <is>
          <t>GÄVLEBORGS LÄN</t>
        </is>
      </c>
      <c r="E2575" t="inlineStr">
        <is>
          <t>OVANÅKER</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36709-2020</t>
        </is>
      </c>
      <c r="B2576" s="1" t="n">
        <v>44053</v>
      </c>
      <c r="C2576" s="1" t="n">
        <v>45357</v>
      </c>
      <c r="D2576" t="inlineStr">
        <is>
          <t>GÄVLEBORGS LÄN</t>
        </is>
      </c>
      <c r="E2576" t="inlineStr">
        <is>
          <t>SÖDERHAMN</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36899-2020</t>
        </is>
      </c>
      <c r="B2577" s="1" t="n">
        <v>44053</v>
      </c>
      <c r="C2577" s="1" t="n">
        <v>45357</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36903-2020</t>
        </is>
      </c>
      <c r="B2578" s="1" t="n">
        <v>44053</v>
      </c>
      <c r="C2578" s="1" t="n">
        <v>45357</v>
      </c>
      <c r="D2578" t="inlineStr">
        <is>
          <t>GÄVLEBORGS LÄN</t>
        </is>
      </c>
      <c r="E2578" t="inlineStr">
        <is>
          <t>OVANÅKER</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36914-2020</t>
        </is>
      </c>
      <c r="B2579" s="1" t="n">
        <v>44053</v>
      </c>
      <c r="C2579" s="1" t="n">
        <v>45357</v>
      </c>
      <c r="D2579" t="inlineStr">
        <is>
          <t>GÄVLEBORGS LÄN</t>
        </is>
      </c>
      <c r="E2579" t="inlineStr">
        <is>
          <t>OCKELBO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36988-2020</t>
        </is>
      </c>
      <c r="B2580" s="1" t="n">
        <v>44054</v>
      </c>
      <c r="C2580" s="1" t="n">
        <v>45357</v>
      </c>
      <c r="D2580" t="inlineStr">
        <is>
          <t>GÄVLEBORGS LÄN</t>
        </is>
      </c>
      <c r="E2580" t="inlineStr">
        <is>
          <t>OVANÅKER</t>
        </is>
      </c>
      <c r="F2580" t="inlineStr">
        <is>
          <t>Bergvik skog väst AB</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37034-2020</t>
        </is>
      </c>
      <c r="B2581" s="1" t="n">
        <v>44054</v>
      </c>
      <c r="C2581" s="1" t="n">
        <v>45357</v>
      </c>
      <c r="D2581" t="inlineStr">
        <is>
          <t>GÄVLEBORGS LÄN</t>
        </is>
      </c>
      <c r="E2581" t="inlineStr">
        <is>
          <t>NORDANSTIG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36991-2020</t>
        </is>
      </c>
      <c r="B2582" s="1" t="n">
        <v>44054</v>
      </c>
      <c r="C2582" s="1" t="n">
        <v>45357</v>
      </c>
      <c r="D2582" t="inlineStr">
        <is>
          <t>GÄVLEBORGS LÄN</t>
        </is>
      </c>
      <c r="E2582" t="inlineStr">
        <is>
          <t>OVANÅKER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37110-2020</t>
        </is>
      </c>
      <c r="B2583" s="1" t="n">
        <v>44054</v>
      </c>
      <c r="C2583" s="1" t="n">
        <v>45357</v>
      </c>
      <c r="D2583" t="inlineStr">
        <is>
          <t>GÄVLEBORGS LÄN</t>
        </is>
      </c>
      <c r="E2583" t="inlineStr">
        <is>
          <t>SANDVIKEN</t>
        </is>
      </c>
      <c r="F2583" t="inlineStr">
        <is>
          <t>Bergvik skog öst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37159-2020</t>
        </is>
      </c>
      <c r="B2584" s="1" t="n">
        <v>44054</v>
      </c>
      <c r="C2584" s="1" t="n">
        <v>45357</v>
      </c>
      <c r="D2584" t="inlineStr">
        <is>
          <t>GÄVLEBORGS LÄN</t>
        </is>
      </c>
      <c r="E2584" t="inlineStr">
        <is>
          <t>NORDANSTIG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36986-2020</t>
        </is>
      </c>
      <c r="B2585" s="1" t="n">
        <v>44054</v>
      </c>
      <c r="C2585" s="1" t="n">
        <v>45357</v>
      </c>
      <c r="D2585" t="inlineStr">
        <is>
          <t>GÄVLEBORGS LÄN</t>
        </is>
      </c>
      <c r="E2585" t="inlineStr">
        <is>
          <t>OVANÅKER</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36990-2020</t>
        </is>
      </c>
      <c r="B2586" s="1" t="n">
        <v>44054</v>
      </c>
      <c r="C2586" s="1" t="n">
        <v>45357</v>
      </c>
      <c r="D2586" t="inlineStr">
        <is>
          <t>GÄVLEBORGS LÄN</t>
        </is>
      </c>
      <c r="E2586" t="inlineStr">
        <is>
          <t>OVANÅKER</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37453-2020</t>
        </is>
      </c>
      <c r="B2587" s="1" t="n">
        <v>44055</v>
      </c>
      <c r="C2587" s="1" t="n">
        <v>45357</v>
      </c>
      <c r="D2587" t="inlineStr">
        <is>
          <t>GÄVLEBORGS LÄN</t>
        </is>
      </c>
      <c r="E2587" t="inlineStr">
        <is>
          <t>NORDANSTIG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37449-2020</t>
        </is>
      </c>
      <c r="B2588" s="1" t="n">
        <v>44055</v>
      </c>
      <c r="C2588" s="1" t="n">
        <v>45357</v>
      </c>
      <c r="D2588" t="inlineStr">
        <is>
          <t>GÄVLEBORGS LÄN</t>
        </is>
      </c>
      <c r="E2588" t="inlineStr">
        <is>
          <t>NORDANSTIG</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37394-2020</t>
        </is>
      </c>
      <c r="B2589" s="1" t="n">
        <v>44055</v>
      </c>
      <c r="C2589" s="1" t="n">
        <v>45357</v>
      </c>
      <c r="D2589" t="inlineStr">
        <is>
          <t>GÄVLEBORGS LÄN</t>
        </is>
      </c>
      <c r="E2589" t="inlineStr">
        <is>
          <t>HUDIKSVALL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37411-2020</t>
        </is>
      </c>
      <c r="B2590" s="1" t="n">
        <v>44055</v>
      </c>
      <c r="C2590" s="1" t="n">
        <v>45357</v>
      </c>
      <c r="D2590" t="inlineStr">
        <is>
          <t>GÄVLEBORGS LÄN</t>
        </is>
      </c>
      <c r="E2590" t="inlineStr">
        <is>
          <t>BOLLNÄS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37532-2020</t>
        </is>
      </c>
      <c r="B2591" s="1" t="n">
        <v>44056</v>
      </c>
      <c r="C2591" s="1" t="n">
        <v>45357</v>
      </c>
      <c r="D2591" t="inlineStr">
        <is>
          <t>GÄVLEBORGS LÄN</t>
        </is>
      </c>
      <c r="E2591" t="inlineStr">
        <is>
          <t>LJUSDAL</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37604-2020</t>
        </is>
      </c>
      <c r="B2592" s="1" t="n">
        <v>44056</v>
      </c>
      <c r="C2592" s="1" t="n">
        <v>45357</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37721-2020</t>
        </is>
      </c>
      <c r="B2593" s="1" t="n">
        <v>44056</v>
      </c>
      <c r="C2593" s="1" t="n">
        <v>45357</v>
      </c>
      <c r="D2593" t="inlineStr">
        <is>
          <t>GÄVLEBORGS LÄN</t>
        </is>
      </c>
      <c r="E2593" t="inlineStr">
        <is>
          <t>GÄVLE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37546-2020</t>
        </is>
      </c>
      <c r="B2594" s="1" t="n">
        <v>44056</v>
      </c>
      <c r="C2594" s="1" t="n">
        <v>45357</v>
      </c>
      <c r="D2594" t="inlineStr">
        <is>
          <t>GÄVLEBORGS LÄN</t>
        </is>
      </c>
      <c r="E2594" t="inlineStr">
        <is>
          <t>SÖDERHAMN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37684-2020</t>
        </is>
      </c>
      <c r="B2595" s="1" t="n">
        <v>44056</v>
      </c>
      <c r="C2595" s="1" t="n">
        <v>45357</v>
      </c>
      <c r="D2595" t="inlineStr">
        <is>
          <t>GÄVLEBORGS LÄN</t>
        </is>
      </c>
      <c r="E2595" t="inlineStr">
        <is>
          <t>SÖDERHAMN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37717-2020</t>
        </is>
      </c>
      <c r="B2596" s="1" t="n">
        <v>44056</v>
      </c>
      <c r="C2596" s="1" t="n">
        <v>45357</v>
      </c>
      <c r="D2596" t="inlineStr">
        <is>
          <t>GÄVLEBORGS LÄN</t>
        </is>
      </c>
      <c r="E2596" t="inlineStr">
        <is>
          <t>GÄVLE</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37712-2020</t>
        </is>
      </c>
      <c r="B2597" s="1" t="n">
        <v>44056</v>
      </c>
      <c r="C2597" s="1" t="n">
        <v>45357</v>
      </c>
      <c r="D2597" t="inlineStr">
        <is>
          <t>GÄVLEBORGS LÄN</t>
        </is>
      </c>
      <c r="E2597" t="inlineStr">
        <is>
          <t>HUDIKSVALL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37895-2020</t>
        </is>
      </c>
      <c r="B2598" s="1" t="n">
        <v>44057</v>
      </c>
      <c r="C2598" s="1" t="n">
        <v>45357</v>
      </c>
      <c r="D2598" t="inlineStr">
        <is>
          <t>GÄVLEBORGS LÄN</t>
        </is>
      </c>
      <c r="E2598" t="inlineStr">
        <is>
          <t>LJUSDAL</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37851-2020</t>
        </is>
      </c>
      <c r="B2599" s="1" t="n">
        <v>44057</v>
      </c>
      <c r="C2599" s="1" t="n">
        <v>45357</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37863-2020</t>
        </is>
      </c>
      <c r="B2600" s="1" t="n">
        <v>44057</v>
      </c>
      <c r="C2600" s="1" t="n">
        <v>45357</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38011-2020</t>
        </is>
      </c>
      <c r="B2601" s="1" t="n">
        <v>44057</v>
      </c>
      <c r="C2601" s="1" t="n">
        <v>45357</v>
      </c>
      <c r="D2601" t="inlineStr">
        <is>
          <t>GÄVLEBORGS LÄN</t>
        </is>
      </c>
      <c r="E2601" t="inlineStr">
        <is>
          <t>BOLLNÄS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38260-2020</t>
        </is>
      </c>
      <c r="B2602" s="1" t="n">
        <v>44060</v>
      </c>
      <c r="C2602" s="1" t="n">
        <v>45357</v>
      </c>
      <c r="D2602" t="inlineStr">
        <is>
          <t>GÄVLEBORGS LÄN</t>
        </is>
      </c>
      <c r="E2602" t="inlineStr">
        <is>
          <t>SÖDERHAMN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38300-2020</t>
        </is>
      </c>
      <c r="B2603" s="1" t="n">
        <v>44060</v>
      </c>
      <c r="C2603" s="1" t="n">
        <v>45357</v>
      </c>
      <c r="D2603" t="inlineStr">
        <is>
          <t>GÄVLEBORGS LÄN</t>
        </is>
      </c>
      <c r="E2603" t="inlineStr">
        <is>
          <t>GÄVLE</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38305-2020</t>
        </is>
      </c>
      <c r="B2604" s="1" t="n">
        <v>44060</v>
      </c>
      <c r="C2604" s="1" t="n">
        <v>45357</v>
      </c>
      <c r="D2604" t="inlineStr">
        <is>
          <t>GÄVLEBORGS LÄN</t>
        </is>
      </c>
      <c r="E2604" t="inlineStr">
        <is>
          <t>GÄVLE</t>
        </is>
      </c>
      <c r="F2604" t="inlineStr">
        <is>
          <t>Bergvik skog öst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38185-2020</t>
        </is>
      </c>
      <c r="B2605" s="1" t="n">
        <v>44060</v>
      </c>
      <c r="C2605" s="1" t="n">
        <v>45357</v>
      </c>
      <c r="D2605" t="inlineStr">
        <is>
          <t>GÄVLEBORGS LÄN</t>
        </is>
      </c>
      <c r="E2605" t="inlineStr">
        <is>
          <t>LJUSDAL</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38441-2020</t>
        </is>
      </c>
      <c r="B2606" s="1" t="n">
        <v>44060</v>
      </c>
      <c r="C2606" s="1" t="n">
        <v>45357</v>
      </c>
      <c r="D2606" t="inlineStr">
        <is>
          <t>GÄVLEBORGS LÄN</t>
        </is>
      </c>
      <c r="E2606" t="inlineStr">
        <is>
          <t>HUDIKSVALL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38597-2020</t>
        </is>
      </c>
      <c r="B2607" s="1" t="n">
        <v>44061</v>
      </c>
      <c r="C2607" s="1" t="n">
        <v>45357</v>
      </c>
      <c r="D2607" t="inlineStr">
        <is>
          <t>GÄVLEBORGS LÄN</t>
        </is>
      </c>
      <c r="E2607" t="inlineStr">
        <is>
          <t>LJUSDAL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38599-2020</t>
        </is>
      </c>
      <c r="B2608" s="1" t="n">
        <v>44061</v>
      </c>
      <c r="C2608" s="1" t="n">
        <v>45357</v>
      </c>
      <c r="D2608" t="inlineStr">
        <is>
          <t>GÄVLEBORGS LÄN</t>
        </is>
      </c>
      <c r="E2608" t="inlineStr">
        <is>
          <t>LJUSDAL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38633-2020</t>
        </is>
      </c>
      <c r="B2609" s="1" t="n">
        <v>44061</v>
      </c>
      <c r="C2609" s="1" t="n">
        <v>45357</v>
      </c>
      <c r="D2609" t="inlineStr">
        <is>
          <t>GÄVLEBORGS LÄN</t>
        </is>
      </c>
      <c r="E2609" t="inlineStr">
        <is>
          <t>NORDANSTIG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38676-2020</t>
        </is>
      </c>
      <c r="B2610" s="1" t="n">
        <v>44061</v>
      </c>
      <c r="C2610" s="1" t="n">
        <v>45357</v>
      </c>
      <c r="D2610" t="inlineStr">
        <is>
          <t>GÄVLEBORGS LÄN</t>
        </is>
      </c>
      <c r="E2610" t="inlineStr">
        <is>
          <t>OVANÅKER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38685-2020</t>
        </is>
      </c>
      <c r="B2611" s="1" t="n">
        <v>44061</v>
      </c>
      <c r="C2611" s="1" t="n">
        <v>45357</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38680-2020</t>
        </is>
      </c>
      <c r="B2612" s="1" t="n">
        <v>44061</v>
      </c>
      <c r="C2612" s="1" t="n">
        <v>45357</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38743-2020</t>
        </is>
      </c>
      <c r="B2613" s="1" t="n">
        <v>44061</v>
      </c>
      <c r="C2613" s="1" t="n">
        <v>45357</v>
      </c>
      <c r="D2613" t="inlineStr">
        <is>
          <t>GÄVLEBORGS LÄN</t>
        </is>
      </c>
      <c r="E2613" t="inlineStr">
        <is>
          <t>SANDVIKEN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38773-2020</t>
        </is>
      </c>
      <c r="B2614" s="1" t="n">
        <v>44061</v>
      </c>
      <c r="C2614" s="1" t="n">
        <v>45357</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38810-2020</t>
        </is>
      </c>
      <c r="B2615" s="1" t="n">
        <v>44062</v>
      </c>
      <c r="C2615" s="1" t="n">
        <v>45357</v>
      </c>
      <c r="D2615" t="inlineStr">
        <is>
          <t>GÄVLEBORGS LÄN</t>
        </is>
      </c>
      <c r="E2615" t="inlineStr">
        <is>
          <t>LJUSDAL</t>
        </is>
      </c>
      <c r="F2615" t="inlineStr">
        <is>
          <t>Holmen skog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38884-2020</t>
        </is>
      </c>
      <c r="B2616" s="1" t="n">
        <v>44062</v>
      </c>
      <c r="C2616" s="1" t="n">
        <v>45357</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38926-2020</t>
        </is>
      </c>
      <c r="B2617" s="1" t="n">
        <v>44062</v>
      </c>
      <c r="C2617" s="1" t="n">
        <v>45357</v>
      </c>
      <c r="D2617" t="inlineStr">
        <is>
          <t>GÄVLEBORGS LÄN</t>
        </is>
      </c>
      <c r="E2617" t="inlineStr">
        <is>
          <t>GÄVLE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38977-2020</t>
        </is>
      </c>
      <c r="B2618" s="1" t="n">
        <v>44062</v>
      </c>
      <c r="C2618" s="1" t="n">
        <v>45357</v>
      </c>
      <c r="D2618" t="inlineStr">
        <is>
          <t>GÄVLEBORGS LÄN</t>
        </is>
      </c>
      <c r="E2618" t="inlineStr">
        <is>
          <t>HUDIKSVALL</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38870-2020</t>
        </is>
      </c>
      <c r="B2619" s="1" t="n">
        <v>44062</v>
      </c>
      <c r="C2619" s="1" t="n">
        <v>45357</v>
      </c>
      <c r="D2619" t="inlineStr">
        <is>
          <t>GÄVLEBORGS LÄN</t>
        </is>
      </c>
      <c r="E2619" t="inlineStr">
        <is>
          <t>BOLLNÄS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39120-2020</t>
        </is>
      </c>
      <c r="B2620" s="1" t="n">
        <v>44063</v>
      </c>
      <c r="C2620" s="1" t="n">
        <v>45357</v>
      </c>
      <c r="D2620" t="inlineStr">
        <is>
          <t>GÄVLEBORGS LÄN</t>
        </is>
      </c>
      <c r="E2620" t="inlineStr">
        <is>
          <t>OVANÅKER</t>
        </is>
      </c>
      <c r="G2620" t="n">
        <v>25.3</v>
      </c>
      <c r="H2620" t="n">
        <v>0</v>
      </c>
      <c r="I2620" t="n">
        <v>0</v>
      </c>
      <c r="J2620" t="n">
        <v>0</v>
      </c>
      <c r="K2620" t="n">
        <v>0</v>
      </c>
      <c r="L2620" t="n">
        <v>0</v>
      </c>
      <c r="M2620" t="n">
        <v>0</v>
      </c>
      <c r="N2620" t="n">
        <v>0</v>
      </c>
      <c r="O2620" t="n">
        <v>0</v>
      </c>
      <c r="P2620" t="n">
        <v>0</v>
      </c>
      <c r="Q2620" t="n">
        <v>0</v>
      </c>
      <c r="R2620" s="2" t="inlineStr"/>
    </row>
    <row r="2621" ht="15" customHeight="1">
      <c r="A2621" t="inlineStr">
        <is>
          <t>A 39113-2020</t>
        </is>
      </c>
      <c r="B2621" s="1" t="n">
        <v>44063</v>
      </c>
      <c r="C2621" s="1" t="n">
        <v>45357</v>
      </c>
      <c r="D2621" t="inlineStr">
        <is>
          <t>GÄVLEBORGS LÄN</t>
        </is>
      </c>
      <c r="E2621" t="inlineStr">
        <is>
          <t>HUDIKSVALL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39128-2020</t>
        </is>
      </c>
      <c r="B2622" s="1" t="n">
        <v>44063</v>
      </c>
      <c r="C2622" s="1" t="n">
        <v>45357</v>
      </c>
      <c r="D2622" t="inlineStr">
        <is>
          <t>GÄVLEBORGS LÄN</t>
        </is>
      </c>
      <c r="E2622" t="inlineStr">
        <is>
          <t>OVANÅKER</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39210-2020</t>
        </is>
      </c>
      <c r="B2623" s="1" t="n">
        <v>44063</v>
      </c>
      <c r="C2623" s="1" t="n">
        <v>45357</v>
      </c>
      <c r="D2623" t="inlineStr">
        <is>
          <t>GÄVLEBORGS LÄN</t>
        </is>
      </c>
      <c r="E2623" t="inlineStr">
        <is>
          <t>SÖDERHAMN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39420-2020</t>
        </is>
      </c>
      <c r="B2624" s="1" t="n">
        <v>44064</v>
      </c>
      <c r="C2624" s="1" t="n">
        <v>45357</v>
      </c>
      <c r="D2624" t="inlineStr">
        <is>
          <t>GÄVLEBORGS LÄN</t>
        </is>
      </c>
      <c r="E2624" t="inlineStr">
        <is>
          <t>HUDIKSVALL</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39490-2020</t>
        </is>
      </c>
      <c r="B2625" s="1" t="n">
        <v>44064</v>
      </c>
      <c r="C2625" s="1" t="n">
        <v>45357</v>
      </c>
      <c r="D2625" t="inlineStr">
        <is>
          <t>GÄVLEBORGS LÄN</t>
        </is>
      </c>
      <c r="E2625" t="inlineStr">
        <is>
          <t>LJUSDAL</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39498-2020</t>
        </is>
      </c>
      <c r="B2626" s="1" t="n">
        <v>44064</v>
      </c>
      <c r="C2626" s="1" t="n">
        <v>45357</v>
      </c>
      <c r="D2626" t="inlineStr">
        <is>
          <t>GÄVLEBORGS LÄN</t>
        </is>
      </c>
      <c r="E2626" t="inlineStr">
        <is>
          <t>LJUSDAL</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39469-2020</t>
        </is>
      </c>
      <c r="B2627" s="1" t="n">
        <v>44064</v>
      </c>
      <c r="C2627" s="1" t="n">
        <v>45357</v>
      </c>
      <c r="D2627" t="inlineStr">
        <is>
          <t>GÄVLEBORGS LÄN</t>
        </is>
      </c>
      <c r="E2627" t="inlineStr">
        <is>
          <t>SANDVIKEN</t>
        </is>
      </c>
      <c r="F2627" t="inlineStr">
        <is>
          <t>Bergvik skog öst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39524-2020</t>
        </is>
      </c>
      <c r="B2628" s="1" t="n">
        <v>44064</v>
      </c>
      <c r="C2628" s="1" t="n">
        <v>45357</v>
      </c>
      <c r="D2628" t="inlineStr">
        <is>
          <t>GÄVLEBORGS LÄN</t>
        </is>
      </c>
      <c r="E2628" t="inlineStr">
        <is>
          <t>NORDANSTIG</t>
        </is>
      </c>
      <c r="F2628" t="inlineStr">
        <is>
          <t>Holmen skog AB</t>
        </is>
      </c>
      <c r="G2628" t="n">
        <v>4.3</v>
      </c>
      <c r="H2628" t="n">
        <v>0</v>
      </c>
      <c r="I2628" t="n">
        <v>0</v>
      </c>
      <c r="J2628" t="n">
        <v>0</v>
      </c>
      <c r="K2628" t="n">
        <v>0</v>
      </c>
      <c r="L2628" t="n">
        <v>0</v>
      </c>
      <c r="M2628" t="n">
        <v>0</v>
      </c>
      <c r="N2628" t="n">
        <v>0</v>
      </c>
      <c r="O2628" t="n">
        <v>0</v>
      </c>
      <c r="P2628" t="n">
        <v>0</v>
      </c>
      <c r="Q2628" t="n">
        <v>0</v>
      </c>
      <c r="R2628" s="2" t="inlineStr"/>
      <c r="U2628">
        <f>HYPERLINK("https://klasma.github.io/Logging_2132/knärot/A 39524-2020 karta knärot.png", "A 39524-2020")</f>
        <v/>
      </c>
      <c r="V2628">
        <f>HYPERLINK("https://klasma.github.io/Logging_2132/klagomål/A 39524-2020 FSC-klagomål.docx", "A 39524-2020")</f>
        <v/>
      </c>
      <c r="W2628">
        <f>HYPERLINK("https://klasma.github.io/Logging_2132/klagomålsmail/A 39524-2020 FSC-klagomål mail.docx", "A 39524-2020")</f>
        <v/>
      </c>
      <c r="X2628">
        <f>HYPERLINK("https://klasma.github.io/Logging_2132/tillsyn/A 39524-2020 tillsynsbegäran.docx", "A 39524-2020")</f>
        <v/>
      </c>
      <c r="Y2628">
        <f>HYPERLINK("https://klasma.github.io/Logging_2132/tillsynsmail/A 39524-2020 tillsynsbegäran mail.docx", "A 39524-2020")</f>
        <v/>
      </c>
    </row>
    <row r="2629" ht="15" customHeight="1">
      <c r="A2629" t="inlineStr">
        <is>
          <t>A 39371-2020</t>
        </is>
      </c>
      <c r="B2629" s="1" t="n">
        <v>44064</v>
      </c>
      <c r="C2629" s="1" t="n">
        <v>45357</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39418-2020</t>
        </is>
      </c>
      <c r="B2630" s="1" t="n">
        <v>44064</v>
      </c>
      <c r="C2630" s="1" t="n">
        <v>45357</v>
      </c>
      <c r="D2630" t="inlineStr">
        <is>
          <t>GÄVLEBORGS LÄN</t>
        </is>
      </c>
      <c r="E2630" t="inlineStr">
        <is>
          <t>HUDIKSVALL</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39489-2020</t>
        </is>
      </c>
      <c r="B2631" s="1" t="n">
        <v>44064</v>
      </c>
      <c r="C2631" s="1" t="n">
        <v>45357</v>
      </c>
      <c r="D2631" t="inlineStr">
        <is>
          <t>GÄVLEBORGS LÄN</t>
        </is>
      </c>
      <c r="E2631" t="inlineStr">
        <is>
          <t>LJUSDAL</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39497-2020</t>
        </is>
      </c>
      <c r="B2632" s="1" t="n">
        <v>44064</v>
      </c>
      <c r="C2632" s="1" t="n">
        <v>45357</v>
      </c>
      <c r="D2632" t="inlineStr">
        <is>
          <t>GÄVLEBORGS LÄN</t>
        </is>
      </c>
      <c r="E2632" t="inlineStr">
        <is>
          <t>LJUSDAL</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39543-2020</t>
        </is>
      </c>
      <c r="B2633" s="1" t="n">
        <v>44064</v>
      </c>
      <c r="C2633" s="1" t="n">
        <v>45357</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39808-2020</t>
        </is>
      </c>
      <c r="B2634" s="1" t="n">
        <v>44067</v>
      </c>
      <c r="C2634" s="1" t="n">
        <v>45357</v>
      </c>
      <c r="D2634" t="inlineStr">
        <is>
          <t>GÄVLEBORGS LÄN</t>
        </is>
      </c>
      <c r="E2634" t="inlineStr">
        <is>
          <t>SANDVIKEN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39881-2020</t>
        </is>
      </c>
      <c r="B2635" s="1" t="n">
        <v>44067</v>
      </c>
      <c r="C2635" s="1" t="n">
        <v>45357</v>
      </c>
      <c r="D2635" t="inlineStr">
        <is>
          <t>GÄVLEBORGS LÄN</t>
        </is>
      </c>
      <c r="E2635" t="inlineStr">
        <is>
          <t>LJUSDAL</t>
        </is>
      </c>
      <c r="F2635" t="inlineStr">
        <is>
          <t>Allmännings- och besparingsskogar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39934-2020</t>
        </is>
      </c>
      <c r="B2636" s="1" t="n">
        <v>44067</v>
      </c>
      <c r="C2636" s="1" t="n">
        <v>45357</v>
      </c>
      <c r="D2636" t="inlineStr">
        <is>
          <t>GÄVLEBORGS LÄN</t>
        </is>
      </c>
      <c r="E2636" t="inlineStr">
        <is>
          <t>OVANÅKER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39747-2020</t>
        </is>
      </c>
      <c r="B2637" s="1" t="n">
        <v>44067</v>
      </c>
      <c r="C2637" s="1" t="n">
        <v>45357</v>
      </c>
      <c r="D2637" t="inlineStr">
        <is>
          <t>GÄVLEBORGS LÄN</t>
        </is>
      </c>
      <c r="E2637" t="inlineStr">
        <is>
          <t>HUDIKSVALL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39798-2020</t>
        </is>
      </c>
      <c r="B2638" s="1" t="n">
        <v>44067</v>
      </c>
      <c r="C2638" s="1" t="n">
        <v>45357</v>
      </c>
      <c r="D2638" t="inlineStr">
        <is>
          <t>GÄVLEBORGS LÄN</t>
        </is>
      </c>
      <c r="E2638" t="inlineStr">
        <is>
          <t>GÄVLE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39749-2020</t>
        </is>
      </c>
      <c r="B2639" s="1" t="n">
        <v>44067</v>
      </c>
      <c r="C2639" s="1" t="n">
        <v>45357</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40027-2020</t>
        </is>
      </c>
      <c r="B2640" s="1" t="n">
        <v>44067</v>
      </c>
      <c r="C2640" s="1" t="n">
        <v>45357</v>
      </c>
      <c r="D2640" t="inlineStr">
        <is>
          <t>GÄVLEBORGS LÄN</t>
        </is>
      </c>
      <c r="E2640" t="inlineStr">
        <is>
          <t>SANDVIKEN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39973-2020</t>
        </is>
      </c>
      <c r="B2641" s="1" t="n">
        <v>44067</v>
      </c>
      <c r="C2641" s="1" t="n">
        <v>45357</v>
      </c>
      <c r="D2641" t="inlineStr">
        <is>
          <t>GÄVLEBORGS LÄN</t>
        </is>
      </c>
      <c r="E2641" t="inlineStr">
        <is>
          <t>HUDIKSVALL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40005-2020</t>
        </is>
      </c>
      <c r="B2642" s="1" t="n">
        <v>44067</v>
      </c>
      <c r="C2642" s="1" t="n">
        <v>45357</v>
      </c>
      <c r="D2642" t="inlineStr">
        <is>
          <t>GÄVLEBORGS LÄN</t>
        </is>
      </c>
      <c r="E2642" t="inlineStr">
        <is>
          <t>OVANÅKER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40034-2020</t>
        </is>
      </c>
      <c r="B2643" s="1" t="n">
        <v>44067</v>
      </c>
      <c r="C2643" s="1" t="n">
        <v>45357</v>
      </c>
      <c r="D2643" t="inlineStr">
        <is>
          <t>GÄVLEBORGS LÄN</t>
        </is>
      </c>
      <c r="E2643" t="inlineStr">
        <is>
          <t>SANDVIKEN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40087-2020</t>
        </is>
      </c>
      <c r="B2644" s="1" t="n">
        <v>44068</v>
      </c>
      <c r="C2644" s="1" t="n">
        <v>45357</v>
      </c>
      <c r="D2644" t="inlineStr">
        <is>
          <t>GÄVLEBORGS LÄN</t>
        </is>
      </c>
      <c r="E2644" t="inlineStr">
        <is>
          <t>GÄVLE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40345-2020</t>
        </is>
      </c>
      <c r="B2645" s="1" t="n">
        <v>44068</v>
      </c>
      <c r="C2645" s="1" t="n">
        <v>45357</v>
      </c>
      <c r="D2645" t="inlineStr">
        <is>
          <t>GÄVLEBORGS LÄN</t>
        </is>
      </c>
      <c r="E2645" t="inlineStr">
        <is>
          <t>LJUSDAL</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40340-2020</t>
        </is>
      </c>
      <c r="B2646" s="1" t="n">
        <v>44068</v>
      </c>
      <c r="C2646" s="1" t="n">
        <v>45357</v>
      </c>
      <c r="D2646" t="inlineStr">
        <is>
          <t>GÄVLEBORGS LÄN</t>
        </is>
      </c>
      <c r="E2646" t="inlineStr">
        <is>
          <t>GÄVLE</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40195-2020</t>
        </is>
      </c>
      <c r="B2647" s="1" t="n">
        <v>44068</v>
      </c>
      <c r="C2647" s="1" t="n">
        <v>45357</v>
      </c>
      <c r="D2647" t="inlineStr">
        <is>
          <t>GÄVLEBORGS LÄN</t>
        </is>
      </c>
      <c r="E2647" t="inlineStr">
        <is>
          <t>OCKELBO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40573-2020</t>
        </is>
      </c>
      <c r="B2648" s="1" t="n">
        <v>44069</v>
      </c>
      <c r="C2648" s="1" t="n">
        <v>45357</v>
      </c>
      <c r="D2648" t="inlineStr">
        <is>
          <t>GÄVLEBORGS LÄN</t>
        </is>
      </c>
      <c r="E2648" t="inlineStr">
        <is>
          <t>BOLLNÄS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40599-2020</t>
        </is>
      </c>
      <c r="B2649" s="1" t="n">
        <v>44069</v>
      </c>
      <c r="C2649" s="1" t="n">
        <v>45357</v>
      </c>
      <c r="D2649" t="inlineStr">
        <is>
          <t>GÄVLEBORGS LÄN</t>
        </is>
      </c>
      <c r="E2649" t="inlineStr">
        <is>
          <t>LJUSDAL</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40614-2020</t>
        </is>
      </c>
      <c r="B2650" s="1" t="n">
        <v>44069</v>
      </c>
      <c r="C2650" s="1" t="n">
        <v>45357</v>
      </c>
      <c r="D2650" t="inlineStr">
        <is>
          <t>GÄVLEBORGS LÄN</t>
        </is>
      </c>
      <c r="E2650" t="inlineStr">
        <is>
          <t>LJUSDAL</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40422-2020</t>
        </is>
      </c>
      <c r="B2651" s="1" t="n">
        <v>44069</v>
      </c>
      <c r="C2651" s="1" t="n">
        <v>45357</v>
      </c>
      <c r="D2651" t="inlineStr">
        <is>
          <t>GÄVLEBORGS LÄN</t>
        </is>
      </c>
      <c r="E2651" t="inlineStr">
        <is>
          <t>LJUSDAL</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40610-2020</t>
        </is>
      </c>
      <c r="B2652" s="1" t="n">
        <v>44069</v>
      </c>
      <c r="C2652" s="1" t="n">
        <v>45357</v>
      </c>
      <c r="D2652" t="inlineStr">
        <is>
          <t>GÄVLEBORGS LÄN</t>
        </is>
      </c>
      <c r="E2652" t="inlineStr">
        <is>
          <t>LJUSDAL</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40626-2020</t>
        </is>
      </c>
      <c r="B2653" s="1" t="n">
        <v>44069</v>
      </c>
      <c r="C2653" s="1" t="n">
        <v>45357</v>
      </c>
      <c r="D2653" t="inlineStr">
        <is>
          <t>GÄVLEBORGS LÄN</t>
        </is>
      </c>
      <c r="E2653" t="inlineStr">
        <is>
          <t>GÄVLE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40631-2020</t>
        </is>
      </c>
      <c r="B2654" s="1" t="n">
        <v>44069</v>
      </c>
      <c r="C2654" s="1" t="n">
        <v>45357</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40996-2020</t>
        </is>
      </c>
      <c r="B2655" s="1" t="n">
        <v>44070</v>
      </c>
      <c r="C2655" s="1" t="n">
        <v>45357</v>
      </c>
      <c r="D2655" t="inlineStr">
        <is>
          <t>GÄVLEBORGS LÄN</t>
        </is>
      </c>
      <c r="E2655" t="inlineStr">
        <is>
          <t>HUDIKSVALL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40801-2020</t>
        </is>
      </c>
      <c r="B2656" s="1" t="n">
        <v>44070</v>
      </c>
      <c r="C2656" s="1" t="n">
        <v>45357</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40773-2020</t>
        </is>
      </c>
      <c r="B2657" s="1" t="n">
        <v>44070</v>
      </c>
      <c r="C2657" s="1" t="n">
        <v>45357</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40929-2020</t>
        </is>
      </c>
      <c r="B2658" s="1" t="n">
        <v>44070</v>
      </c>
      <c r="C2658" s="1" t="n">
        <v>45357</v>
      </c>
      <c r="D2658" t="inlineStr">
        <is>
          <t>GÄVLEBORGS LÄN</t>
        </is>
      </c>
      <c r="E2658" t="inlineStr">
        <is>
          <t>BOLLNÄS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41133-2020</t>
        </is>
      </c>
      <c r="B2659" s="1" t="n">
        <v>44071</v>
      </c>
      <c r="C2659" s="1" t="n">
        <v>45357</v>
      </c>
      <c r="D2659" t="inlineStr">
        <is>
          <t>GÄVLEBORGS LÄN</t>
        </is>
      </c>
      <c r="E2659" t="inlineStr">
        <is>
          <t>HUDIKSVALL</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41182-2020</t>
        </is>
      </c>
      <c r="B2660" s="1" t="n">
        <v>44071</v>
      </c>
      <c r="C2660" s="1" t="n">
        <v>45357</v>
      </c>
      <c r="D2660" t="inlineStr">
        <is>
          <t>GÄVLEBORGS LÄN</t>
        </is>
      </c>
      <c r="E2660" t="inlineStr">
        <is>
          <t>HUDIKSVALL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41083-2020</t>
        </is>
      </c>
      <c r="B2661" s="1" t="n">
        <v>44071</v>
      </c>
      <c r="C2661" s="1" t="n">
        <v>45357</v>
      </c>
      <c r="D2661" t="inlineStr">
        <is>
          <t>GÄVLEBORGS LÄN</t>
        </is>
      </c>
      <c r="E2661" t="inlineStr">
        <is>
          <t>HUDIKSVALL</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41155-2020</t>
        </is>
      </c>
      <c r="B2662" s="1" t="n">
        <v>44071</v>
      </c>
      <c r="C2662" s="1" t="n">
        <v>45357</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41184-2020</t>
        </is>
      </c>
      <c r="B2663" s="1" t="n">
        <v>44071</v>
      </c>
      <c r="C2663" s="1" t="n">
        <v>45357</v>
      </c>
      <c r="D2663" t="inlineStr">
        <is>
          <t>GÄVLEBORGS LÄN</t>
        </is>
      </c>
      <c r="E2663" t="inlineStr">
        <is>
          <t>OVANÅKER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41255-2020</t>
        </is>
      </c>
      <c r="B2664" s="1" t="n">
        <v>44071</v>
      </c>
      <c r="C2664" s="1" t="n">
        <v>45357</v>
      </c>
      <c r="D2664" t="inlineStr">
        <is>
          <t>GÄVLEBORGS LÄN</t>
        </is>
      </c>
      <c r="E2664" t="inlineStr">
        <is>
          <t>OCKELBO</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41219-2020</t>
        </is>
      </c>
      <c r="B2665" s="1" t="n">
        <v>44071</v>
      </c>
      <c r="C2665" s="1" t="n">
        <v>45357</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41633-2020</t>
        </is>
      </c>
      <c r="B2666" s="1" t="n">
        <v>44074</v>
      </c>
      <c r="C2666" s="1" t="n">
        <v>45357</v>
      </c>
      <c r="D2666" t="inlineStr">
        <is>
          <t>GÄVLEBORGS LÄN</t>
        </is>
      </c>
      <c r="E2666" t="inlineStr">
        <is>
          <t>SANDVIKEN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41519-2020</t>
        </is>
      </c>
      <c r="B2667" s="1" t="n">
        <v>44074</v>
      </c>
      <c r="C2667" s="1" t="n">
        <v>45357</v>
      </c>
      <c r="D2667" t="inlineStr">
        <is>
          <t>GÄVLEBORGS LÄN</t>
        </is>
      </c>
      <c r="E2667" t="inlineStr">
        <is>
          <t>OVANÅKER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41622-2020</t>
        </is>
      </c>
      <c r="B2668" s="1" t="n">
        <v>44074</v>
      </c>
      <c r="C2668" s="1" t="n">
        <v>45357</v>
      </c>
      <c r="D2668" t="inlineStr">
        <is>
          <t>GÄVLEBORGS LÄN</t>
        </is>
      </c>
      <c r="E2668" t="inlineStr">
        <is>
          <t>LJUSDAL</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41742-2020</t>
        </is>
      </c>
      <c r="B2669" s="1" t="n">
        <v>44074</v>
      </c>
      <c r="C2669" s="1" t="n">
        <v>45357</v>
      </c>
      <c r="D2669" t="inlineStr">
        <is>
          <t>GÄVLEBORGS LÄN</t>
        </is>
      </c>
      <c r="E2669" t="inlineStr">
        <is>
          <t>LJUSDAL</t>
        </is>
      </c>
      <c r="F2669" t="inlineStr">
        <is>
          <t>Sveaskog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41775-2020</t>
        </is>
      </c>
      <c r="B2670" s="1" t="n">
        <v>44074</v>
      </c>
      <c r="C2670" s="1" t="n">
        <v>45357</v>
      </c>
      <c r="D2670" t="inlineStr">
        <is>
          <t>GÄVLEBORGS LÄN</t>
        </is>
      </c>
      <c r="E2670" t="inlineStr">
        <is>
          <t>OCKELBO</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42006-2020</t>
        </is>
      </c>
      <c r="B2671" s="1" t="n">
        <v>44075</v>
      </c>
      <c r="C2671" s="1" t="n">
        <v>45357</v>
      </c>
      <c r="D2671" t="inlineStr">
        <is>
          <t>GÄVLEBORGS LÄN</t>
        </is>
      </c>
      <c r="E2671" t="inlineStr">
        <is>
          <t>LJUSDAL</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42007-2020</t>
        </is>
      </c>
      <c r="B2672" s="1" t="n">
        <v>44075</v>
      </c>
      <c r="C2672" s="1" t="n">
        <v>45357</v>
      </c>
      <c r="D2672" t="inlineStr">
        <is>
          <t>GÄVLEBORGS LÄN</t>
        </is>
      </c>
      <c r="E2672" t="inlineStr">
        <is>
          <t>LJUSDAL</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42009-2020</t>
        </is>
      </c>
      <c r="B2673" s="1" t="n">
        <v>44075</v>
      </c>
      <c r="C2673" s="1" t="n">
        <v>45357</v>
      </c>
      <c r="D2673" t="inlineStr">
        <is>
          <t>GÄVLEBORGS LÄN</t>
        </is>
      </c>
      <c r="E2673" t="inlineStr">
        <is>
          <t>LJUSDAL</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42308-2020</t>
        </is>
      </c>
      <c r="B2674" s="1" t="n">
        <v>44076</v>
      </c>
      <c r="C2674" s="1" t="n">
        <v>45357</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42318-2020</t>
        </is>
      </c>
      <c r="B2675" s="1" t="n">
        <v>44076</v>
      </c>
      <c r="C2675" s="1" t="n">
        <v>45357</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42332-2020</t>
        </is>
      </c>
      <c r="B2676" s="1" t="n">
        <v>44076</v>
      </c>
      <c r="C2676" s="1" t="n">
        <v>45357</v>
      </c>
      <c r="D2676" t="inlineStr">
        <is>
          <t>GÄVLEBORGS LÄN</t>
        </is>
      </c>
      <c r="E2676" t="inlineStr">
        <is>
          <t>LJUSDAL</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42357-2020</t>
        </is>
      </c>
      <c r="B2677" s="1" t="n">
        <v>44076</v>
      </c>
      <c r="C2677" s="1" t="n">
        <v>45357</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42351-2020</t>
        </is>
      </c>
      <c r="B2678" s="1" t="n">
        <v>44076</v>
      </c>
      <c r="C2678" s="1" t="n">
        <v>45357</v>
      </c>
      <c r="D2678" t="inlineStr">
        <is>
          <t>GÄVLEBORGS LÄN</t>
        </is>
      </c>
      <c r="E2678" t="inlineStr">
        <is>
          <t>GÄVLE</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42356-2020</t>
        </is>
      </c>
      <c r="B2679" s="1" t="n">
        <v>44076</v>
      </c>
      <c r="C2679" s="1" t="n">
        <v>45357</v>
      </c>
      <c r="D2679" t="inlineStr">
        <is>
          <t>GÄVLEBORGS LÄN</t>
        </is>
      </c>
      <c r="E2679" t="inlineStr">
        <is>
          <t>GÄVLE</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42591-2020</t>
        </is>
      </c>
      <c r="B2680" s="1" t="n">
        <v>44077</v>
      </c>
      <c r="C2680" s="1" t="n">
        <v>45357</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42510-2020</t>
        </is>
      </c>
      <c r="B2681" s="1" t="n">
        <v>44077</v>
      </c>
      <c r="C2681" s="1" t="n">
        <v>45357</v>
      </c>
      <c r="D2681" t="inlineStr">
        <is>
          <t>GÄVLEBORGS LÄN</t>
        </is>
      </c>
      <c r="E2681" t="inlineStr">
        <is>
          <t>HUDIKSVALL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43520-2020</t>
        </is>
      </c>
      <c r="B2682" s="1" t="n">
        <v>44077</v>
      </c>
      <c r="C2682" s="1" t="n">
        <v>45357</v>
      </c>
      <c r="D2682" t="inlineStr">
        <is>
          <t>GÄVLEBORGS LÄN</t>
        </is>
      </c>
      <c r="E2682" t="inlineStr">
        <is>
          <t>HUDIKSVALL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42504-2020</t>
        </is>
      </c>
      <c r="B2683" s="1" t="n">
        <v>44077</v>
      </c>
      <c r="C2683" s="1" t="n">
        <v>45357</v>
      </c>
      <c r="D2683" t="inlineStr">
        <is>
          <t>GÄVLEBORGS LÄN</t>
        </is>
      </c>
      <c r="E2683" t="inlineStr">
        <is>
          <t>LJUSDAL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43397-2020</t>
        </is>
      </c>
      <c r="B2684" s="1" t="n">
        <v>44077</v>
      </c>
      <c r="C2684" s="1" t="n">
        <v>45357</v>
      </c>
      <c r="D2684" t="inlineStr">
        <is>
          <t>GÄVLEBORGS LÄN</t>
        </is>
      </c>
      <c r="E2684" t="inlineStr">
        <is>
          <t>HUDIKSVALL</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42792-2020</t>
        </is>
      </c>
      <c r="B2685" s="1" t="n">
        <v>44078</v>
      </c>
      <c r="C2685" s="1" t="n">
        <v>45357</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42868-2020</t>
        </is>
      </c>
      <c r="B2686" s="1" t="n">
        <v>44078</v>
      </c>
      <c r="C2686" s="1" t="n">
        <v>45357</v>
      </c>
      <c r="D2686" t="inlineStr">
        <is>
          <t>GÄVLEBORGS LÄN</t>
        </is>
      </c>
      <c r="E2686" t="inlineStr">
        <is>
          <t>GÄVLE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42782-2020</t>
        </is>
      </c>
      <c r="B2687" s="1" t="n">
        <v>44078</v>
      </c>
      <c r="C2687" s="1" t="n">
        <v>45357</v>
      </c>
      <c r="D2687" t="inlineStr">
        <is>
          <t>GÄVLEBORGS LÄN</t>
        </is>
      </c>
      <c r="E2687" t="inlineStr">
        <is>
          <t>LJUSDAL</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43723-2020</t>
        </is>
      </c>
      <c r="B2688" s="1" t="n">
        <v>44078</v>
      </c>
      <c r="C2688" s="1" t="n">
        <v>45357</v>
      </c>
      <c r="D2688" t="inlineStr">
        <is>
          <t>GÄVLEBORGS LÄN</t>
        </is>
      </c>
      <c r="E2688" t="inlineStr">
        <is>
          <t>LJUSDAL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42844-2020</t>
        </is>
      </c>
      <c r="B2689" s="1" t="n">
        <v>44078</v>
      </c>
      <c r="C2689" s="1" t="n">
        <v>45357</v>
      </c>
      <c r="D2689" t="inlineStr">
        <is>
          <t>GÄVLEBORGS LÄN</t>
        </is>
      </c>
      <c r="E2689" t="inlineStr">
        <is>
          <t>LJUSDAL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42961-2020</t>
        </is>
      </c>
      <c r="B2690" s="1" t="n">
        <v>44078</v>
      </c>
      <c r="C2690" s="1" t="n">
        <v>45357</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42959-2020</t>
        </is>
      </c>
      <c r="B2691" s="1" t="n">
        <v>44078</v>
      </c>
      <c r="C2691" s="1" t="n">
        <v>45357</v>
      </c>
      <c r="D2691" t="inlineStr">
        <is>
          <t>GÄVLEBORGS LÄN</t>
        </is>
      </c>
      <c r="E2691" t="inlineStr">
        <is>
          <t>HOFORS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43030-2020</t>
        </is>
      </c>
      <c r="B2692" s="1" t="n">
        <v>44078</v>
      </c>
      <c r="C2692" s="1" t="n">
        <v>45357</v>
      </c>
      <c r="D2692" t="inlineStr">
        <is>
          <t>GÄVLEBORGS LÄN</t>
        </is>
      </c>
      <c r="E2692" t="inlineStr">
        <is>
          <t>SANDVIKEN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43144-2020</t>
        </is>
      </c>
      <c r="B2693" s="1" t="n">
        <v>44080</v>
      </c>
      <c r="C2693" s="1" t="n">
        <v>45357</v>
      </c>
      <c r="D2693" t="inlineStr">
        <is>
          <t>GÄVLEBORGS LÄN</t>
        </is>
      </c>
      <c r="E2693" t="inlineStr">
        <is>
          <t>LJUSDAL</t>
        </is>
      </c>
      <c r="F2693" t="inlineStr">
        <is>
          <t>Sveaskog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43295-2020</t>
        </is>
      </c>
      <c r="B2694" s="1" t="n">
        <v>44081</v>
      </c>
      <c r="C2694" s="1" t="n">
        <v>45357</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43370-2020</t>
        </is>
      </c>
      <c r="B2695" s="1" t="n">
        <v>44081</v>
      </c>
      <c r="C2695" s="1" t="n">
        <v>45357</v>
      </c>
      <c r="D2695" t="inlineStr">
        <is>
          <t>GÄVLEBORGS LÄN</t>
        </is>
      </c>
      <c r="E2695" t="inlineStr">
        <is>
          <t>LJUSDAL</t>
        </is>
      </c>
      <c r="F2695" t="inlineStr">
        <is>
          <t>Sveaskog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43385-2020</t>
        </is>
      </c>
      <c r="B2696" s="1" t="n">
        <v>44081</v>
      </c>
      <c r="C2696" s="1" t="n">
        <v>45357</v>
      </c>
      <c r="D2696" t="inlineStr">
        <is>
          <t>GÄVLEBORGS LÄN</t>
        </is>
      </c>
      <c r="E2696" t="inlineStr">
        <is>
          <t>GÄVLE</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43185-2020</t>
        </is>
      </c>
      <c r="B2697" s="1" t="n">
        <v>44081</v>
      </c>
      <c r="C2697" s="1" t="n">
        <v>45357</v>
      </c>
      <c r="D2697" t="inlineStr">
        <is>
          <t>GÄVLEBORGS LÄN</t>
        </is>
      </c>
      <c r="E2697" t="inlineStr">
        <is>
          <t>GÄVLE</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43376-2020</t>
        </is>
      </c>
      <c r="B2698" s="1" t="n">
        <v>44081</v>
      </c>
      <c r="C2698" s="1" t="n">
        <v>45357</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43491-2020</t>
        </is>
      </c>
      <c r="B2699" s="1" t="n">
        <v>44082</v>
      </c>
      <c r="C2699" s="1" t="n">
        <v>45357</v>
      </c>
      <c r="D2699" t="inlineStr">
        <is>
          <t>GÄVLEBORGS LÄN</t>
        </is>
      </c>
      <c r="E2699" t="inlineStr">
        <is>
          <t>LJUSDAL</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43668-2020</t>
        </is>
      </c>
      <c r="B2700" s="1" t="n">
        <v>44082</v>
      </c>
      <c r="C2700" s="1" t="n">
        <v>45357</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43487-2020</t>
        </is>
      </c>
      <c r="B2701" s="1" t="n">
        <v>44082</v>
      </c>
      <c r="C2701" s="1" t="n">
        <v>45357</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43544-2020</t>
        </is>
      </c>
      <c r="B2702" s="1" t="n">
        <v>44082</v>
      </c>
      <c r="C2702" s="1" t="n">
        <v>45357</v>
      </c>
      <c r="D2702" t="inlineStr">
        <is>
          <t>GÄVLEBORGS LÄN</t>
        </is>
      </c>
      <c r="E2702" t="inlineStr">
        <is>
          <t>LJUSDAL</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43625-2020</t>
        </is>
      </c>
      <c r="B2703" s="1" t="n">
        <v>44082</v>
      </c>
      <c r="C2703" s="1" t="n">
        <v>45357</v>
      </c>
      <c r="D2703" t="inlineStr">
        <is>
          <t>GÄVLEBORGS LÄN</t>
        </is>
      </c>
      <c r="E2703" t="inlineStr">
        <is>
          <t>SÖDERHAMN</t>
        </is>
      </c>
      <c r="F2703" t="inlineStr">
        <is>
          <t>Bergvik skog väst AB</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43662-2020</t>
        </is>
      </c>
      <c r="B2704" s="1" t="n">
        <v>44082</v>
      </c>
      <c r="C2704" s="1" t="n">
        <v>45357</v>
      </c>
      <c r="D2704" t="inlineStr">
        <is>
          <t>GÄVLEBORGS LÄN</t>
        </is>
      </c>
      <c r="E2704" t="inlineStr">
        <is>
          <t>NORDANSTIG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43867-2020</t>
        </is>
      </c>
      <c r="B2705" s="1" t="n">
        <v>44083</v>
      </c>
      <c r="C2705" s="1" t="n">
        <v>45357</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43907-2020</t>
        </is>
      </c>
      <c r="B2706" s="1" t="n">
        <v>44083</v>
      </c>
      <c r="C2706" s="1" t="n">
        <v>45357</v>
      </c>
      <c r="D2706" t="inlineStr">
        <is>
          <t>GÄVLEBORGS LÄN</t>
        </is>
      </c>
      <c r="E2706" t="inlineStr">
        <is>
          <t>HOFORS</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44014-2020</t>
        </is>
      </c>
      <c r="B2707" s="1" t="n">
        <v>44083</v>
      </c>
      <c r="C2707" s="1" t="n">
        <v>45357</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44012-2020</t>
        </is>
      </c>
      <c r="B2708" s="1" t="n">
        <v>44083</v>
      </c>
      <c r="C2708" s="1" t="n">
        <v>45357</v>
      </c>
      <c r="D2708" t="inlineStr">
        <is>
          <t>GÄVLEBORGS LÄN</t>
        </is>
      </c>
      <c r="E2708" t="inlineStr">
        <is>
          <t>BOLLNÄS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43899-2020</t>
        </is>
      </c>
      <c r="B2709" s="1" t="n">
        <v>44083</v>
      </c>
      <c r="C2709" s="1" t="n">
        <v>45357</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44017-2020</t>
        </is>
      </c>
      <c r="B2710" s="1" t="n">
        <v>44083</v>
      </c>
      <c r="C2710" s="1" t="n">
        <v>45357</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44018-2020</t>
        </is>
      </c>
      <c r="B2711" s="1" t="n">
        <v>44083</v>
      </c>
      <c r="C2711" s="1" t="n">
        <v>45357</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44050-2020</t>
        </is>
      </c>
      <c r="B2712" s="1" t="n">
        <v>44083</v>
      </c>
      <c r="C2712" s="1" t="n">
        <v>45357</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44130-2020</t>
        </is>
      </c>
      <c r="B2713" s="1" t="n">
        <v>44083</v>
      </c>
      <c r="C2713" s="1" t="n">
        <v>45357</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44172-2020</t>
        </is>
      </c>
      <c r="B2714" s="1" t="n">
        <v>44083</v>
      </c>
      <c r="C2714" s="1" t="n">
        <v>45357</v>
      </c>
      <c r="D2714" t="inlineStr">
        <is>
          <t>GÄVLEBORGS LÄN</t>
        </is>
      </c>
      <c r="E2714" t="inlineStr">
        <is>
          <t>OCKELBO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44230-2020</t>
        </is>
      </c>
      <c r="B2715" s="1" t="n">
        <v>44084</v>
      </c>
      <c r="C2715" s="1" t="n">
        <v>45357</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44270-2020</t>
        </is>
      </c>
      <c r="B2716" s="1" t="n">
        <v>44084</v>
      </c>
      <c r="C2716" s="1" t="n">
        <v>45357</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44350-2020</t>
        </is>
      </c>
      <c r="B2717" s="1" t="n">
        <v>44084</v>
      </c>
      <c r="C2717" s="1" t="n">
        <v>45357</v>
      </c>
      <c r="D2717" t="inlineStr">
        <is>
          <t>GÄVLEBORGS LÄN</t>
        </is>
      </c>
      <c r="E2717" t="inlineStr">
        <is>
          <t>GÄVLE</t>
        </is>
      </c>
      <c r="F2717" t="inlineStr">
        <is>
          <t>Bergvik skog öst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44376-2020</t>
        </is>
      </c>
      <c r="B2718" s="1" t="n">
        <v>44084</v>
      </c>
      <c r="C2718" s="1" t="n">
        <v>45357</v>
      </c>
      <c r="D2718" t="inlineStr">
        <is>
          <t>GÄVLEBORGS LÄN</t>
        </is>
      </c>
      <c r="E2718" t="inlineStr">
        <is>
          <t>LJUSDAL</t>
        </is>
      </c>
      <c r="F2718" t="inlineStr">
        <is>
          <t>Holmen skog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44483-2020</t>
        </is>
      </c>
      <c r="B2719" s="1" t="n">
        <v>44084</v>
      </c>
      <c r="C2719" s="1" t="n">
        <v>45357</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44451-2020</t>
        </is>
      </c>
      <c r="B2720" s="1" t="n">
        <v>44084</v>
      </c>
      <c r="C2720" s="1" t="n">
        <v>45357</v>
      </c>
      <c r="D2720" t="inlineStr">
        <is>
          <t>GÄVLEBORGS LÄN</t>
        </is>
      </c>
      <c r="E2720" t="inlineStr">
        <is>
          <t>HUDIKSVALL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44486-2020</t>
        </is>
      </c>
      <c r="B2721" s="1" t="n">
        <v>44084</v>
      </c>
      <c r="C2721" s="1" t="n">
        <v>45357</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44574-2020</t>
        </is>
      </c>
      <c r="B2722" s="1" t="n">
        <v>44085</v>
      </c>
      <c r="C2722" s="1" t="n">
        <v>45357</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44530-2020</t>
        </is>
      </c>
      <c r="B2723" s="1" t="n">
        <v>44085</v>
      </c>
      <c r="C2723" s="1" t="n">
        <v>45357</v>
      </c>
      <c r="D2723" t="inlineStr">
        <is>
          <t>GÄVLEBORGS LÄN</t>
        </is>
      </c>
      <c r="E2723" t="inlineStr">
        <is>
          <t>HUDIKSVALL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44552-2020</t>
        </is>
      </c>
      <c r="B2724" s="1" t="n">
        <v>44085</v>
      </c>
      <c r="C2724" s="1" t="n">
        <v>45357</v>
      </c>
      <c r="D2724" t="inlineStr">
        <is>
          <t>GÄVLEBORGS LÄN</t>
        </is>
      </c>
      <c r="E2724" t="inlineStr">
        <is>
          <t>LJUSDAL</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44805-2020</t>
        </is>
      </c>
      <c r="B2725" s="1" t="n">
        <v>44085</v>
      </c>
      <c r="C2725" s="1" t="n">
        <v>45357</v>
      </c>
      <c r="D2725" t="inlineStr">
        <is>
          <t>GÄVLEBORGS LÄN</t>
        </is>
      </c>
      <c r="E2725" t="inlineStr">
        <is>
          <t>LJUSDAL</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44781-2020</t>
        </is>
      </c>
      <c r="B2726" s="1" t="n">
        <v>44085</v>
      </c>
      <c r="C2726" s="1" t="n">
        <v>45357</v>
      </c>
      <c r="D2726" t="inlineStr">
        <is>
          <t>GÄVLEBORGS LÄN</t>
        </is>
      </c>
      <c r="E2726" t="inlineStr">
        <is>
          <t>LJUSDAL</t>
        </is>
      </c>
      <c r="F2726" t="inlineStr">
        <is>
          <t>Sveaskog</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44777-2020</t>
        </is>
      </c>
      <c r="B2727" s="1" t="n">
        <v>44085</v>
      </c>
      <c r="C2727" s="1" t="n">
        <v>45357</v>
      </c>
      <c r="D2727" t="inlineStr">
        <is>
          <t>GÄVLEBORGS LÄN</t>
        </is>
      </c>
      <c r="E2727" t="inlineStr">
        <is>
          <t>LJUSDAL</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44913-2020</t>
        </is>
      </c>
      <c r="B2728" s="1" t="n">
        <v>44088</v>
      </c>
      <c r="C2728" s="1" t="n">
        <v>45357</v>
      </c>
      <c r="D2728" t="inlineStr">
        <is>
          <t>GÄVLEBORGS LÄN</t>
        </is>
      </c>
      <c r="E2728" t="inlineStr">
        <is>
          <t>LJUSDAL</t>
        </is>
      </c>
      <c r="F2728" t="inlineStr">
        <is>
          <t>Sveaskog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45128-2020</t>
        </is>
      </c>
      <c r="B2729" s="1" t="n">
        <v>44088</v>
      </c>
      <c r="C2729" s="1" t="n">
        <v>45357</v>
      </c>
      <c r="D2729" t="inlineStr">
        <is>
          <t>GÄVLEBORGS LÄN</t>
        </is>
      </c>
      <c r="E2729" t="inlineStr">
        <is>
          <t>BOLLNÄS</t>
        </is>
      </c>
      <c r="F2729" t="inlineStr">
        <is>
          <t>Bergvik skog väst AB</t>
        </is>
      </c>
      <c r="G2729" t="n">
        <v>27.9</v>
      </c>
      <c r="H2729" t="n">
        <v>0</v>
      </c>
      <c r="I2729" t="n">
        <v>0</v>
      </c>
      <c r="J2729" t="n">
        <v>0</v>
      </c>
      <c r="K2729" t="n">
        <v>0</v>
      </c>
      <c r="L2729" t="n">
        <v>0</v>
      </c>
      <c r="M2729" t="n">
        <v>0</v>
      </c>
      <c r="N2729" t="n">
        <v>0</v>
      </c>
      <c r="O2729" t="n">
        <v>0</v>
      </c>
      <c r="P2729" t="n">
        <v>0</v>
      </c>
      <c r="Q2729" t="n">
        <v>0</v>
      </c>
      <c r="R2729" s="2" t="inlineStr"/>
    </row>
    <row r="2730" ht="15" customHeight="1">
      <c r="A2730" t="inlineStr">
        <is>
          <t>A 45049-2020</t>
        </is>
      </c>
      <c r="B2730" s="1" t="n">
        <v>44088</v>
      </c>
      <c r="C2730" s="1" t="n">
        <v>45357</v>
      </c>
      <c r="D2730" t="inlineStr">
        <is>
          <t>GÄVLEBORGS LÄN</t>
        </is>
      </c>
      <c r="E2730" t="inlineStr">
        <is>
          <t>OCKELBO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45183-2020</t>
        </is>
      </c>
      <c r="B2731" s="1" t="n">
        <v>44088</v>
      </c>
      <c r="C2731" s="1" t="n">
        <v>45357</v>
      </c>
      <c r="D2731" t="inlineStr">
        <is>
          <t>GÄVLEBORGS LÄN</t>
        </is>
      </c>
      <c r="E2731" t="inlineStr">
        <is>
          <t>HUDIKSVALL</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44904-2020</t>
        </is>
      </c>
      <c r="B2732" s="1" t="n">
        <v>44088</v>
      </c>
      <c r="C2732" s="1" t="n">
        <v>45357</v>
      </c>
      <c r="D2732" t="inlineStr">
        <is>
          <t>GÄVLEBORGS LÄN</t>
        </is>
      </c>
      <c r="E2732" t="inlineStr">
        <is>
          <t>LJUSDAL</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45268-2020</t>
        </is>
      </c>
      <c r="B2733" s="1" t="n">
        <v>44089</v>
      </c>
      <c r="C2733" s="1" t="n">
        <v>45357</v>
      </c>
      <c r="D2733" t="inlineStr">
        <is>
          <t>GÄVLEBORGS LÄN</t>
        </is>
      </c>
      <c r="E2733" t="inlineStr">
        <is>
          <t>OVANÅKER</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45317-2020</t>
        </is>
      </c>
      <c r="B2734" s="1" t="n">
        <v>44089</v>
      </c>
      <c r="C2734" s="1" t="n">
        <v>45357</v>
      </c>
      <c r="D2734" t="inlineStr">
        <is>
          <t>GÄVLEBORGS LÄN</t>
        </is>
      </c>
      <c r="E2734" t="inlineStr">
        <is>
          <t>BOLLNÄS</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45620-2020</t>
        </is>
      </c>
      <c r="B2735" s="1" t="n">
        <v>44090</v>
      </c>
      <c r="C2735" s="1" t="n">
        <v>45357</v>
      </c>
      <c r="D2735" t="inlineStr">
        <is>
          <t>GÄVLEBORGS LÄN</t>
        </is>
      </c>
      <c r="E2735" t="inlineStr">
        <is>
          <t>BOLLNÄS</t>
        </is>
      </c>
      <c r="F2735" t="inlineStr">
        <is>
          <t>Bergvik skog väst AB</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45683-2020</t>
        </is>
      </c>
      <c r="B2736" s="1" t="n">
        <v>44090</v>
      </c>
      <c r="C2736" s="1" t="n">
        <v>45357</v>
      </c>
      <c r="D2736" t="inlineStr">
        <is>
          <t>GÄVLEBORGS LÄN</t>
        </is>
      </c>
      <c r="E2736" t="inlineStr">
        <is>
          <t>NORDANSTIG</t>
        </is>
      </c>
      <c r="G2736" t="n">
        <v>31.9</v>
      </c>
      <c r="H2736" t="n">
        <v>0</v>
      </c>
      <c r="I2736" t="n">
        <v>0</v>
      </c>
      <c r="J2736" t="n">
        <v>0</v>
      </c>
      <c r="K2736" t="n">
        <v>0</v>
      </c>
      <c r="L2736" t="n">
        <v>0</v>
      </c>
      <c r="M2736" t="n">
        <v>0</v>
      </c>
      <c r="N2736" t="n">
        <v>0</v>
      </c>
      <c r="O2736" t="n">
        <v>0</v>
      </c>
      <c r="P2736" t="n">
        <v>0</v>
      </c>
      <c r="Q2736" t="n">
        <v>0</v>
      </c>
      <c r="R2736" s="2" t="inlineStr"/>
    </row>
    <row r="2737" ht="15" customHeight="1">
      <c r="A2737" t="inlineStr">
        <is>
          <t>A 45573-2020</t>
        </is>
      </c>
      <c r="B2737" s="1" t="n">
        <v>44090</v>
      </c>
      <c r="C2737" s="1" t="n">
        <v>45357</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45652-2020</t>
        </is>
      </c>
      <c r="B2738" s="1" t="n">
        <v>44090</v>
      </c>
      <c r="C2738" s="1" t="n">
        <v>45357</v>
      </c>
      <c r="D2738" t="inlineStr">
        <is>
          <t>GÄVLEBORGS LÄN</t>
        </is>
      </c>
      <c r="E2738" t="inlineStr">
        <is>
          <t>BOLLNÄS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45591-2020</t>
        </is>
      </c>
      <c r="B2739" s="1" t="n">
        <v>44090</v>
      </c>
      <c r="C2739" s="1" t="n">
        <v>45357</v>
      </c>
      <c r="D2739" t="inlineStr">
        <is>
          <t>GÄVLEBORGS LÄN</t>
        </is>
      </c>
      <c r="E2739" t="inlineStr">
        <is>
          <t>HUDIKSVALL</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45856-2020</t>
        </is>
      </c>
      <c r="B2740" s="1" t="n">
        <v>44091</v>
      </c>
      <c r="C2740" s="1" t="n">
        <v>45357</v>
      </c>
      <c r="D2740" t="inlineStr">
        <is>
          <t>GÄVLEBORGS LÄN</t>
        </is>
      </c>
      <c r="E2740" t="inlineStr">
        <is>
          <t>LJUSDAL</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45925-2020</t>
        </is>
      </c>
      <c r="B2741" s="1" t="n">
        <v>44091</v>
      </c>
      <c r="C2741" s="1" t="n">
        <v>45357</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46028-2020</t>
        </is>
      </c>
      <c r="B2742" s="1" t="n">
        <v>44091</v>
      </c>
      <c r="C2742" s="1" t="n">
        <v>45357</v>
      </c>
      <c r="D2742" t="inlineStr">
        <is>
          <t>GÄVLEBORGS LÄN</t>
        </is>
      </c>
      <c r="E2742" t="inlineStr">
        <is>
          <t>HUDIKSVALL</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46022-2020</t>
        </is>
      </c>
      <c r="B2743" s="1" t="n">
        <v>44091</v>
      </c>
      <c r="C2743" s="1" t="n">
        <v>45357</v>
      </c>
      <c r="D2743" t="inlineStr">
        <is>
          <t>GÄVLEBORGS LÄN</t>
        </is>
      </c>
      <c r="E2743" t="inlineStr">
        <is>
          <t>HUDIKSVALL</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46069-2020</t>
        </is>
      </c>
      <c r="B2744" s="1" t="n">
        <v>44091</v>
      </c>
      <c r="C2744" s="1" t="n">
        <v>45357</v>
      </c>
      <c r="D2744" t="inlineStr">
        <is>
          <t>GÄVLEBORGS LÄN</t>
        </is>
      </c>
      <c r="E2744" t="inlineStr">
        <is>
          <t>OVANÅKER</t>
        </is>
      </c>
      <c r="F2744" t="inlineStr">
        <is>
          <t>Holmen skog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46287-2020</t>
        </is>
      </c>
      <c r="B2745" s="1" t="n">
        <v>44092</v>
      </c>
      <c r="C2745" s="1" t="n">
        <v>45357</v>
      </c>
      <c r="D2745" t="inlineStr">
        <is>
          <t>GÄVLEBORGS LÄN</t>
        </is>
      </c>
      <c r="E2745" t="inlineStr">
        <is>
          <t>LJUSDAL</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46269-2020</t>
        </is>
      </c>
      <c r="B2746" s="1" t="n">
        <v>44092</v>
      </c>
      <c r="C2746" s="1" t="n">
        <v>45357</v>
      </c>
      <c r="D2746" t="inlineStr">
        <is>
          <t>GÄVLEBORGS LÄN</t>
        </is>
      </c>
      <c r="E2746" t="inlineStr">
        <is>
          <t>HOFORS</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46274-2020</t>
        </is>
      </c>
      <c r="B2747" s="1" t="n">
        <v>44092</v>
      </c>
      <c r="C2747" s="1" t="n">
        <v>45357</v>
      </c>
      <c r="D2747" t="inlineStr">
        <is>
          <t>GÄVLEBORGS LÄN</t>
        </is>
      </c>
      <c r="E2747" t="inlineStr">
        <is>
          <t>HOFORS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46281-2020</t>
        </is>
      </c>
      <c r="B2748" s="1" t="n">
        <v>44092</v>
      </c>
      <c r="C2748" s="1" t="n">
        <v>45357</v>
      </c>
      <c r="D2748" t="inlineStr">
        <is>
          <t>GÄVLEBORGS LÄN</t>
        </is>
      </c>
      <c r="E2748" t="inlineStr">
        <is>
          <t>HOFORS</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46288-2020</t>
        </is>
      </c>
      <c r="B2749" s="1" t="n">
        <v>44092</v>
      </c>
      <c r="C2749" s="1" t="n">
        <v>45357</v>
      </c>
      <c r="D2749" t="inlineStr">
        <is>
          <t>GÄVLEBORGS LÄN</t>
        </is>
      </c>
      <c r="E2749" t="inlineStr">
        <is>
          <t>LJUSDAL</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46301-2020</t>
        </is>
      </c>
      <c r="B2750" s="1" t="n">
        <v>44092</v>
      </c>
      <c r="C2750" s="1" t="n">
        <v>45357</v>
      </c>
      <c r="D2750" t="inlineStr">
        <is>
          <t>GÄVLEBORGS LÄN</t>
        </is>
      </c>
      <c r="E2750" t="inlineStr">
        <is>
          <t>LJUSDAL</t>
        </is>
      </c>
      <c r="F2750" t="inlineStr">
        <is>
          <t>Sveaskog</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46270-2020</t>
        </is>
      </c>
      <c r="B2751" s="1" t="n">
        <v>44092</v>
      </c>
      <c r="C2751" s="1" t="n">
        <v>45357</v>
      </c>
      <c r="D2751" t="inlineStr">
        <is>
          <t>GÄVLEBORGS LÄN</t>
        </is>
      </c>
      <c r="E2751" t="inlineStr">
        <is>
          <t>HOFORS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46346-2020</t>
        </is>
      </c>
      <c r="B2752" s="1" t="n">
        <v>44092</v>
      </c>
      <c r="C2752" s="1" t="n">
        <v>45357</v>
      </c>
      <c r="D2752" t="inlineStr">
        <is>
          <t>GÄVLEBORGS LÄN</t>
        </is>
      </c>
      <c r="E2752" t="inlineStr">
        <is>
          <t>NORDANSTIG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46266-2020</t>
        </is>
      </c>
      <c r="B2753" s="1" t="n">
        <v>44092</v>
      </c>
      <c r="C2753" s="1" t="n">
        <v>45357</v>
      </c>
      <c r="D2753" t="inlineStr">
        <is>
          <t>GÄVLEBORGS LÄN</t>
        </is>
      </c>
      <c r="E2753" t="inlineStr">
        <is>
          <t>HUDIKSVALL</t>
        </is>
      </c>
      <c r="F2753" t="inlineStr">
        <is>
          <t>Holmen skog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46278-2020</t>
        </is>
      </c>
      <c r="B2754" s="1" t="n">
        <v>44092</v>
      </c>
      <c r="C2754" s="1" t="n">
        <v>45357</v>
      </c>
      <c r="D2754" t="inlineStr">
        <is>
          <t>GÄVLEBORGS LÄN</t>
        </is>
      </c>
      <c r="E2754" t="inlineStr">
        <is>
          <t>HOFORS</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46293-2020</t>
        </is>
      </c>
      <c r="B2755" s="1" t="n">
        <v>44092</v>
      </c>
      <c r="C2755" s="1" t="n">
        <v>45357</v>
      </c>
      <c r="D2755" t="inlineStr">
        <is>
          <t>GÄVLEBORGS LÄN</t>
        </is>
      </c>
      <c r="E2755" t="inlineStr">
        <is>
          <t>LJUSDAL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46334-2020</t>
        </is>
      </c>
      <c r="B2756" s="1" t="n">
        <v>44092</v>
      </c>
      <c r="C2756" s="1" t="n">
        <v>45357</v>
      </c>
      <c r="D2756" t="inlineStr">
        <is>
          <t>GÄVLEBORGS LÄN</t>
        </is>
      </c>
      <c r="E2756" t="inlineStr">
        <is>
          <t>NORDANSTIG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46352-2020</t>
        </is>
      </c>
      <c r="B2757" s="1" t="n">
        <v>44092</v>
      </c>
      <c r="C2757" s="1" t="n">
        <v>45357</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46455-2020</t>
        </is>
      </c>
      <c r="B2758" s="1" t="n">
        <v>44095</v>
      </c>
      <c r="C2758" s="1" t="n">
        <v>45357</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46495-2020</t>
        </is>
      </c>
      <c r="B2759" s="1" t="n">
        <v>44095</v>
      </c>
      <c r="C2759" s="1" t="n">
        <v>45357</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46646-2020</t>
        </is>
      </c>
      <c r="B2760" s="1" t="n">
        <v>44095</v>
      </c>
      <c r="C2760" s="1" t="n">
        <v>45357</v>
      </c>
      <c r="D2760" t="inlineStr">
        <is>
          <t>GÄVLEBORGS LÄN</t>
        </is>
      </c>
      <c r="E2760" t="inlineStr">
        <is>
          <t>NORDANSTIG</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46577-2020</t>
        </is>
      </c>
      <c r="B2761" s="1" t="n">
        <v>44095</v>
      </c>
      <c r="C2761" s="1" t="n">
        <v>45357</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46654-2020</t>
        </is>
      </c>
      <c r="B2762" s="1" t="n">
        <v>44095</v>
      </c>
      <c r="C2762" s="1" t="n">
        <v>45357</v>
      </c>
      <c r="D2762" t="inlineStr">
        <is>
          <t>GÄVLEBORGS LÄN</t>
        </is>
      </c>
      <c r="E2762" t="inlineStr">
        <is>
          <t>BOLLNÄS</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46694-2020</t>
        </is>
      </c>
      <c r="B2763" s="1" t="n">
        <v>44095</v>
      </c>
      <c r="C2763" s="1" t="n">
        <v>45357</v>
      </c>
      <c r="D2763" t="inlineStr">
        <is>
          <t>GÄVLEBORGS LÄN</t>
        </is>
      </c>
      <c r="E2763" t="inlineStr">
        <is>
          <t>GÄVLE</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46708-2020</t>
        </is>
      </c>
      <c r="B2764" s="1" t="n">
        <v>44095</v>
      </c>
      <c r="C2764" s="1" t="n">
        <v>45357</v>
      </c>
      <c r="D2764" t="inlineStr">
        <is>
          <t>GÄVLEBORGS LÄN</t>
        </is>
      </c>
      <c r="E2764" t="inlineStr">
        <is>
          <t>GÄVLE</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46444-2020</t>
        </is>
      </c>
      <c r="B2765" s="1" t="n">
        <v>44095</v>
      </c>
      <c r="C2765" s="1" t="n">
        <v>45357</v>
      </c>
      <c r="D2765" t="inlineStr">
        <is>
          <t>GÄVLEBORGS LÄN</t>
        </is>
      </c>
      <c r="E2765" t="inlineStr">
        <is>
          <t>GÄVLE</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46898-2020</t>
        </is>
      </c>
      <c r="B2766" s="1" t="n">
        <v>44096</v>
      </c>
      <c r="C2766" s="1" t="n">
        <v>45357</v>
      </c>
      <c r="D2766" t="inlineStr">
        <is>
          <t>GÄVLEBORGS LÄN</t>
        </is>
      </c>
      <c r="E2766" t="inlineStr">
        <is>
          <t>GÄVLE</t>
        </is>
      </c>
      <c r="F2766" t="inlineStr">
        <is>
          <t>Bergvik skog väst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47029-2020</t>
        </is>
      </c>
      <c r="B2767" s="1" t="n">
        <v>44096</v>
      </c>
      <c r="C2767" s="1" t="n">
        <v>45357</v>
      </c>
      <c r="D2767" t="inlineStr">
        <is>
          <t>GÄVLEBORGS LÄN</t>
        </is>
      </c>
      <c r="E2767" t="inlineStr">
        <is>
          <t>OVANÅKER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46787-2020</t>
        </is>
      </c>
      <c r="B2768" s="1" t="n">
        <v>44096</v>
      </c>
      <c r="C2768" s="1" t="n">
        <v>45357</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46873-2020</t>
        </is>
      </c>
      <c r="B2769" s="1" t="n">
        <v>44096</v>
      </c>
      <c r="C2769" s="1" t="n">
        <v>45357</v>
      </c>
      <c r="D2769" t="inlineStr">
        <is>
          <t>GÄVLEBORGS LÄN</t>
        </is>
      </c>
      <c r="E2769" t="inlineStr">
        <is>
          <t>HUDIKSVALL</t>
        </is>
      </c>
      <c r="F2769" t="inlineStr">
        <is>
          <t>Holmen skog AB</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46925-2020</t>
        </is>
      </c>
      <c r="B2770" s="1" t="n">
        <v>44096</v>
      </c>
      <c r="C2770" s="1" t="n">
        <v>45357</v>
      </c>
      <c r="D2770" t="inlineStr">
        <is>
          <t>GÄVLEBORGS LÄN</t>
        </is>
      </c>
      <c r="E2770" t="inlineStr">
        <is>
          <t>GÄVLE</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46940-2020</t>
        </is>
      </c>
      <c r="B2771" s="1" t="n">
        <v>44096</v>
      </c>
      <c r="C2771" s="1" t="n">
        <v>45357</v>
      </c>
      <c r="D2771" t="inlineStr">
        <is>
          <t>GÄVLEBORGS LÄN</t>
        </is>
      </c>
      <c r="E2771" t="inlineStr">
        <is>
          <t>SANDVIKEN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47036-2020</t>
        </is>
      </c>
      <c r="B2772" s="1" t="n">
        <v>44096</v>
      </c>
      <c r="C2772" s="1" t="n">
        <v>45357</v>
      </c>
      <c r="D2772" t="inlineStr">
        <is>
          <t>GÄVLEBORGS LÄN</t>
        </is>
      </c>
      <c r="E2772" t="inlineStr">
        <is>
          <t>OVANÅKER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47157-2020</t>
        </is>
      </c>
      <c r="B2773" s="1" t="n">
        <v>44097</v>
      </c>
      <c r="C2773" s="1" t="n">
        <v>45357</v>
      </c>
      <c r="D2773" t="inlineStr">
        <is>
          <t>GÄVLEBORGS LÄN</t>
        </is>
      </c>
      <c r="E2773" t="inlineStr">
        <is>
          <t>SÖDERHAMN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47452-2020</t>
        </is>
      </c>
      <c r="B2774" s="1" t="n">
        <v>44097</v>
      </c>
      <c r="C2774" s="1" t="n">
        <v>45357</v>
      </c>
      <c r="D2774" t="inlineStr">
        <is>
          <t>GÄVLEBORGS LÄN</t>
        </is>
      </c>
      <c r="E2774" t="inlineStr">
        <is>
          <t>SANDVIKEN</t>
        </is>
      </c>
      <c r="F2774" t="inlineStr">
        <is>
          <t>Sveaskog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47427-2020</t>
        </is>
      </c>
      <c r="B2775" s="1" t="n">
        <v>44097</v>
      </c>
      <c r="C2775" s="1" t="n">
        <v>45357</v>
      </c>
      <c r="D2775" t="inlineStr">
        <is>
          <t>GÄVLEBORGS LÄN</t>
        </is>
      </c>
      <c r="E2775" t="inlineStr">
        <is>
          <t>OCKELBO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47416-2020</t>
        </is>
      </c>
      <c r="B2776" s="1" t="n">
        <v>44097</v>
      </c>
      <c r="C2776" s="1" t="n">
        <v>45357</v>
      </c>
      <c r="D2776" t="inlineStr">
        <is>
          <t>GÄVLEBORGS LÄN</t>
        </is>
      </c>
      <c r="E2776" t="inlineStr">
        <is>
          <t>HUDIKSVALL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47556-2020</t>
        </is>
      </c>
      <c r="B2777" s="1" t="n">
        <v>44098</v>
      </c>
      <c r="C2777" s="1" t="n">
        <v>45357</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47520-2020</t>
        </is>
      </c>
      <c r="B2778" s="1" t="n">
        <v>44098</v>
      </c>
      <c r="C2778" s="1" t="n">
        <v>45357</v>
      </c>
      <c r="D2778" t="inlineStr">
        <is>
          <t>GÄVLEBORGS LÄN</t>
        </is>
      </c>
      <c r="E2778" t="inlineStr">
        <is>
          <t>OCKELBO</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47543-2020</t>
        </is>
      </c>
      <c r="B2779" s="1" t="n">
        <v>44098</v>
      </c>
      <c r="C2779" s="1" t="n">
        <v>45357</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47706-2020</t>
        </is>
      </c>
      <c r="B2780" s="1" t="n">
        <v>44098</v>
      </c>
      <c r="C2780" s="1" t="n">
        <v>45357</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47734-2020</t>
        </is>
      </c>
      <c r="B2781" s="1" t="n">
        <v>44098</v>
      </c>
      <c r="C2781" s="1" t="n">
        <v>45357</v>
      </c>
      <c r="D2781" t="inlineStr">
        <is>
          <t>GÄVLEBORGS LÄN</t>
        </is>
      </c>
      <c r="E2781" t="inlineStr">
        <is>
          <t>OCKELBO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47899-2020</t>
        </is>
      </c>
      <c r="B2782" s="1" t="n">
        <v>44099</v>
      </c>
      <c r="C2782" s="1" t="n">
        <v>45357</v>
      </c>
      <c r="D2782" t="inlineStr">
        <is>
          <t>GÄVLEBORGS LÄN</t>
        </is>
      </c>
      <c r="E2782" t="inlineStr">
        <is>
          <t>LJUSDAL</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47914-2020</t>
        </is>
      </c>
      <c r="B2783" s="1" t="n">
        <v>44099</v>
      </c>
      <c r="C2783" s="1" t="n">
        <v>45357</v>
      </c>
      <c r="D2783" t="inlineStr">
        <is>
          <t>GÄVLEBORGS LÄN</t>
        </is>
      </c>
      <c r="E2783" t="inlineStr">
        <is>
          <t>LJUSDAL</t>
        </is>
      </c>
      <c r="F2783" t="inlineStr">
        <is>
          <t>Holmen skog AB</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47893-2020</t>
        </is>
      </c>
      <c r="B2784" s="1" t="n">
        <v>44099</v>
      </c>
      <c r="C2784" s="1" t="n">
        <v>45357</v>
      </c>
      <c r="D2784" t="inlineStr">
        <is>
          <t>GÄVLEBORGS LÄN</t>
        </is>
      </c>
      <c r="E2784" t="inlineStr">
        <is>
          <t>LJUSDAL</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48124-2020</t>
        </is>
      </c>
      <c r="B2785" s="1" t="n">
        <v>44102</v>
      </c>
      <c r="C2785" s="1" t="n">
        <v>45357</v>
      </c>
      <c r="D2785" t="inlineStr">
        <is>
          <t>GÄVLEBORGS LÄN</t>
        </is>
      </c>
      <c r="E2785" t="inlineStr">
        <is>
          <t>OVANÅKER</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48306-2020</t>
        </is>
      </c>
      <c r="B2786" s="1" t="n">
        <v>44102</v>
      </c>
      <c r="C2786" s="1" t="n">
        <v>45357</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48366-2020</t>
        </is>
      </c>
      <c r="B2787" s="1" t="n">
        <v>44102</v>
      </c>
      <c r="C2787" s="1" t="n">
        <v>45357</v>
      </c>
      <c r="D2787" t="inlineStr">
        <is>
          <t>GÄVLEBORGS LÄN</t>
        </is>
      </c>
      <c r="E2787" t="inlineStr">
        <is>
          <t>NORDANSTIG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48401-2020</t>
        </is>
      </c>
      <c r="B2788" s="1" t="n">
        <v>44102</v>
      </c>
      <c r="C2788" s="1" t="n">
        <v>45357</v>
      </c>
      <c r="D2788" t="inlineStr">
        <is>
          <t>GÄVLEBORGS LÄN</t>
        </is>
      </c>
      <c r="E2788" t="inlineStr">
        <is>
          <t>SANDVIKEN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48191-2020</t>
        </is>
      </c>
      <c r="B2789" s="1" t="n">
        <v>44102</v>
      </c>
      <c r="C2789" s="1" t="n">
        <v>45357</v>
      </c>
      <c r="D2789" t="inlineStr">
        <is>
          <t>GÄVLEBORGS LÄN</t>
        </is>
      </c>
      <c r="E2789" t="inlineStr">
        <is>
          <t>HUDIKSVALL</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48432-2020</t>
        </is>
      </c>
      <c r="B2790" s="1" t="n">
        <v>44102</v>
      </c>
      <c r="C2790" s="1" t="n">
        <v>45357</v>
      </c>
      <c r="D2790" t="inlineStr">
        <is>
          <t>GÄVLEBORGS LÄN</t>
        </is>
      </c>
      <c r="E2790" t="inlineStr">
        <is>
          <t>HUDIKSVALL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48720-2020</t>
        </is>
      </c>
      <c r="B2791" s="1" t="n">
        <v>44103</v>
      </c>
      <c r="C2791" s="1" t="n">
        <v>45357</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48742-2020</t>
        </is>
      </c>
      <c r="B2792" s="1" t="n">
        <v>44103</v>
      </c>
      <c r="C2792" s="1" t="n">
        <v>45357</v>
      </c>
      <c r="D2792" t="inlineStr">
        <is>
          <t>GÄVLEBORGS LÄN</t>
        </is>
      </c>
      <c r="E2792" t="inlineStr">
        <is>
          <t>LJUSDAL</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48680-2020</t>
        </is>
      </c>
      <c r="B2793" s="1" t="n">
        <v>44103</v>
      </c>
      <c r="C2793" s="1" t="n">
        <v>45357</v>
      </c>
      <c r="D2793" t="inlineStr">
        <is>
          <t>GÄVLEBORGS LÄN</t>
        </is>
      </c>
      <c r="E2793" t="inlineStr">
        <is>
          <t>LJUSDAL</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48734-2020</t>
        </is>
      </c>
      <c r="B2794" s="1" t="n">
        <v>44103</v>
      </c>
      <c r="C2794" s="1" t="n">
        <v>45357</v>
      </c>
      <c r="D2794" t="inlineStr">
        <is>
          <t>GÄVLEBORGS LÄN</t>
        </is>
      </c>
      <c r="E2794" t="inlineStr">
        <is>
          <t>BOLLNÄS</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49073-2020</t>
        </is>
      </c>
      <c r="B2795" s="1" t="n">
        <v>44104</v>
      </c>
      <c r="C2795" s="1" t="n">
        <v>45357</v>
      </c>
      <c r="D2795" t="inlineStr">
        <is>
          <t>GÄVLEBORGS LÄN</t>
        </is>
      </c>
      <c r="E2795" t="inlineStr">
        <is>
          <t>LJUSDAL</t>
        </is>
      </c>
      <c r="F2795" t="inlineStr">
        <is>
          <t>Sveaskog</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48875-2020</t>
        </is>
      </c>
      <c r="B2796" s="1" t="n">
        <v>44104</v>
      </c>
      <c r="C2796" s="1" t="n">
        <v>45357</v>
      </c>
      <c r="D2796" t="inlineStr">
        <is>
          <t>GÄVLEBORGS LÄN</t>
        </is>
      </c>
      <c r="E2796" t="inlineStr">
        <is>
          <t>SÖDERHAMN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48997-2020</t>
        </is>
      </c>
      <c r="B2797" s="1" t="n">
        <v>44104</v>
      </c>
      <c r="C2797" s="1" t="n">
        <v>45357</v>
      </c>
      <c r="D2797" t="inlineStr">
        <is>
          <t>GÄVLEBORGS LÄN</t>
        </is>
      </c>
      <c r="E2797" t="inlineStr">
        <is>
          <t>HUDIKSVALL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48905-2020</t>
        </is>
      </c>
      <c r="B2798" s="1" t="n">
        <v>44104</v>
      </c>
      <c r="C2798" s="1" t="n">
        <v>45357</v>
      </c>
      <c r="D2798" t="inlineStr">
        <is>
          <t>GÄVLEBORGS LÄN</t>
        </is>
      </c>
      <c r="E2798" t="inlineStr">
        <is>
          <t>LJUSDAL</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49160-2020</t>
        </is>
      </c>
      <c r="B2799" s="1" t="n">
        <v>44104</v>
      </c>
      <c r="C2799" s="1" t="n">
        <v>45357</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49191-2020</t>
        </is>
      </c>
      <c r="B2800" s="1" t="n">
        <v>44105</v>
      </c>
      <c r="C2800" s="1" t="n">
        <v>45357</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49198-2020</t>
        </is>
      </c>
      <c r="B2801" s="1" t="n">
        <v>44105</v>
      </c>
      <c r="C2801" s="1" t="n">
        <v>45357</v>
      </c>
      <c r="D2801" t="inlineStr">
        <is>
          <t>GÄVLEBORGS LÄN</t>
        </is>
      </c>
      <c r="E2801" t="inlineStr">
        <is>
          <t>OVANÅKER</t>
        </is>
      </c>
      <c r="F2801" t="inlineStr">
        <is>
          <t>Sveaskog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49337-2020</t>
        </is>
      </c>
      <c r="B2802" s="1" t="n">
        <v>44105</v>
      </c>
      <c r="C2802" s="1" t="n">
        <v>45357</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49465-2020</t>
        </is>
      </c>
      <c r="B2803" s="1" t="n">
        <v>44105</v>
      </c>
      <c r="C2803" s="1" t="n">
        <v>45357</v>
      </c>
      <c r="D2803" t="inlineStr">
        <is>
          <t>GÄVLEBORGS LÄN</t>
        </is>
      </c>
      <c r="E2803" t="inlineStr">
        <is>
          <t>BOLLNÄS</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49481-2020</t>
        </is>
      </c>
      <c r="B2804" s="1" t="n">
        <v>44105</v>
      </c>
      <c r="C2804" s="1" t="n">
        <v>45357</v>
      </c>
      <c r="D2804" t="inlineStr">
        <is>
          <t>GÄVLEBORGS LÄN</t>
        </is>
      </c>
      <c r="E2804" t="inlineStr">
        <is>
          <t>SÖDERHAMN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49653-2020</t>
        </is>
      </c>
      <c r="B2805" s="1" t="n">
        <v>44106</v>
      </c>
      <c r="C2805" s="1" t="n">
        <v>45357</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49708-2020</t>
        </is>
      </c>
      <c r="B2806" s="1" t="n">
        <v>44106</v>
      </c>
      <c r="C2806" s="1" t="n">
        <v>45357</v>
      </c>
      <c r="D2806" t="inlineStr">
        <is>
          <t>GÄVLEBORGS LÄN</t>
        </is>
      </c>
      <c r="E2806" t="inlineStr">
        <is>
          <t>HOFORS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49798-2020</t>
        </is>
      </c>
      <c r="B2807" s="1" t="n">
        <v>44106</v>
      </c>
      <c r="C2807" s="1" t="n">
        <v>45357</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49578-2020</t>
        </is>
      </c>
      <c r="B2808" s="1" t="n">
        <v>44106</v>
      </c>
      <c r="C2808" s="1" t="n">
        <v>45357</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49687-2020</t>
        </is>
      </c>
      <c r="B2809" s="1" t="n">
        <v>44106</v>
      </c>
      <c r="C2809" s="1" t="n">
        <v>45357</v>
      </c>
      <c r="D2809" t="inlineStr">
        <is>
          <t>GÄVLEBORGS LÄN</t>
        </is>
      </c>
      <c r="E2809" t="inlineStr">
        <is>
          <t>LJUSDAL</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49733-2020</t>
        </is>
      </c>
      <c r="B2810" s="1" t="n">
        <v>44106</v>
      </c>
      <c r="C2810" s="1" t="n">
        <v>45357</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49807-2020</t>
        </is>
      </c>
      <c r="B2811" s="1" t="n">
        <v>44106</v>
      </c>
      <c r="C2811" s="1" t="n">
        <v>45357</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49810-2020</t>
        </is>
      </c>
      <c r="B2812" s="1" t="n">
        <v>44106</v>
      </c>
      <c r="C2812" s="1" t="n">
        <v>45357</v>
      </c>
      <c r="D2812" t="inlineStr">
        <is>
          <t>GÄVLEBORGS LÄN</t>
        </is>
      </c>
      <c r="E2812" t="inlineStr">
        <is>
          <t>LJUSDAL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49886-2020</t>
        </is>
      </c>
      <c r="B2813" s="1" t="n">
        <v>44108</v>
      </c>
      <c r="C2813" s="1" t="n">
        <v>45357</v>
      </c>
      <c r="D2813" t="inlineStr">
        <is>
          <t>GÄVLEBORGS LÄN</t>
        </is>
      </c>
      <c r="E2813" t="inlineStr">
        <is>
          <t>LJUSDAL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50069-2020</t>
        </is>
      </c>
      <c r="B2814" s="1" t="n">
        <v>44109</v>
      </c>
      <c r="C2814" s="1" t="n">
        <v>45357</v>
      </c>
      <c r="D2814" t="inlineStr">
        <is>
          <t>GÄVLEBORGS LÄN</t>
        </is>
      </c>
      <c r="E2814" t="inlineStr">
        <is>
          <t>NORDANSTIG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50116-2020</t>
        </is>
      </c>
      <c r="B2815" s="1" t="n">
        <v>44109</v>
      </c>
      <c r="C2815" s="1" t="n">
        <v>45357</v>
      </c>
      <c r="D2815" t="inlineStr">
        <is>
          <t>GÄVLEBORGS LÄN</t>
        </is>
      </c>
      <c r="E2815" t="inlineStr">
        <is>
          <t>HUDIKSVALL</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50243-2020</t>
        </is>
      </c>
      <c r="B2816" s="1" t="n">
        <v>44109</v>
      </c>
      <c r="C2816" s="1" t="n">
        <v>45357</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50141-2020</t>
        </is>
      </c>
      <c r="B2817" s="1" t="n">
        <v>44109</v>
      </c>
      <c r="C2817" s="1" t="n">
        <v>45357</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50216-2020</t>
        </is>
      </c>
      <c r="B2818" s="1" t="n">
        <v>44109</v>
      </c>
      <c r="C2818" s="1" t="n">
        <v>45357</v>
      </c>
      <c r="D2818" t="inlineStr">
        <is>
          <t>GÄVLEBORGS LÄN</t>
        </is>
      </c>
      <c r="E2818" t="inlineStr">
        <is>
          <t>GÄVLE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45357</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49991-2020</t>
        </is>
      </c>
      <c r="B2820" s="1" t="n">
        <v>44109</v>
      </c>
      <c r="C2820" s="1" t="n">
        <v>45357</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49913-2020</t>
        </is>
      </c>
      <c r="B2821" s="1" t="n">
        <v>44109</v>
      </c>
      <c r="C2821" s="1" t="n">
        <v>45357</v>
      </c>
      <c r="D2821" t="inlineStr">
        <is>
          <t>GÄVLEBORGS LÄN</t>
        </is>
      </c>
      <c r="E2821" t="inlineStr">
        <is>
          <t>LJUSDAL</t>
        </is>
      </c>
      <c r="F2821" t="inlineStr">
        <is>
          <t>Kommuner</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50244-2020</t>
        </is>
      </c>
      <c r="B2822" s="1" t="n">
        <v>44109</v>
      </c>
      <c r="C2822" s="1" t="n">
        <v>45357</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50376-2020</t>
        </is>
      </c>
      <c r="B2823" s="1" t="n">
        <v>44110</v>
      </c>
      <c r="C2823" s="1" t="n">
        <v>45357</v>
      </c>
      <c r="D2823" t="inlineStr">
        <is>
          <t>GÄVLEBORGS LÄN</t>
        </is>
      </c>
      <c r="E2823" t="inlineStr">
        <is>
          <t>BOLLNÄS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50474-2020</t>
        </is>
      </c>
      <c r="B2824" s="1" t="n">
        <v>44110</v>
      </c>
      <c r="C2824" s="1" t="n">
        <v>45357</v>
      </c>
      <c r="D2824" t="inlineStr">
        <is>
          <t>GÄVLEBORGS LÄN</t>
        </is>
      </c>
      <c r="E2824" t="inlineStr">
        <is>
          <t>LJUSDAL</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50544-2020</t>
        </is>
      </c>
      <c r="B2825" s="1" t="n">
        <v>44110</v>
      </c>
      <c r="C2825" s="1" t="n">
        <v>45357</v>
      </c>
      <c r="D2825" t="inlineStr">
        <is>
          <t>GÄVLEBORGS LÄN</t>
        </is>
      </c>
      <c r="E2825" t="inlineStr">
        <is>
          <t>LJUSDAL</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50571-2020</t>
        </is>
      </c>
      <c r="B2826" s="1" t="n">
        <v>44110</v>
      </c>
      <c r="C2826" s="1" t="n">
        <v>45357</v>
      </c>
      <c r="D2826" t="inlineStr">
        <is>
          <t>GÄVLEBORGS LÄN</t>
        </is>
      </c>
      <c r="E2826" t="inlineStr">
        <is>
          <t>BOLLNÄS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50689-2020</t>
        </is>
      </c>
      <c r="B2827" s="1" t="n">
        <v>44111</v>
      </c>
      <c r="C2827" s="1" t="n">
        <v>45357</v>
      </c>
      <c r="D2827" t="inlineStr">
        <is>
          <t>GÄVLEBORGS LÄN</t>
        </is>
      </c>
      <c r="E2827" t="inlineStr">
        <is>
          <t>LJUSDAL</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50888-2020</t>
        </is>
      </c>
      <c r="B2828" s="1" t="n">
        <v>44111</v>
      </c>
      <c r="C2828" s="1" t="n">
        <v>45357</v>
      </c>
      <c r="D2828" t="inlineStr">
        <is>
          <t>GÄVLEBORGS LÄN</t>
        </is>
      </c>
      <c r="E2828" t="inlineStr">
        <is>
          <t>SANDVIKEN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50890-2020</t>
        </is>
      </c>
      <c r="B2829" s="1" t="n">
        <v>44111</v>
      </c>
      <c r="C2829" s="1" t="n">
        <v>45357</v>
      </c>
      <c r="D2829" t="inlineStr">
        <is>
          <t>GÄVLEBORGS LÄN</t>
        </is>
      </c>
      <c r="E2829" t="inlineStr">
        <is>
          <t>SANDVIKEN</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50877-2020</t>
        </is>
      </c>
      <c r="B2830" s="1" t="n">
        <v>44111</v>
      </c>
      <c r="C2830" s="1" t="n">
        <v>45357</v>
      </c>
      <c r="D2830" t="inlineStr">
        <is>
          <t>GÄVLEBORGS LÄN</t>
        </is>
      </c>
      <c r="E2830" t="inlineStr">
        <is>
          <t>SANDVIKEN</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51086-2020</t>
        </is>
      </c>
      <c r="B2831" s="1" t="n">
        <v>44112</v>
      </c>
      <c r="C2831" s="1" t="n">
        <v>45357</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51121-2020</t>
        </is>
      </c>
      <c r="B2832" s="1" t="n">
        <v>44112</v>
      </c>
      <c r="C2832" s="1" t="n">
        <v>45357</v>
      </c>
      <c r="D2832" t="inlineStr">
        <is>
          <t>GÄVLEBORGS LÄN</t>
        </is>
      </c>
      <c r="E2832" t="inlineStr">
        <is>
          <t>GÄVLE</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51062-2020</t>
        </is>
      </c>
      <c r="B2833" s="1" t="n">
        <v>44112</v>
      </c>
      <c r="C2833" s="1" t="n">
        <v>45357</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51083-2020</t>
        </is>
      </c>
      <c r="B2834" s="1" t="n">
        <v>44112</v>
      </c>
      <c r="C2834" s="1" t="n">
        <v>45357</v>
      </c>
      <c r="D2834" t="inlineStr">
        <is>
          <t>GÄVLEBORGS LÄN</t>
        </is>
      </c>
      <c r="E2834" t="inlineStr">
        <is>
          <t>OVANÅKER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51126-2020</t>
        </is>
      </c>
      <c r="B2835" s="1" t="n">
        <v>44112</v>
      </c>
      <c r="C2835" s="1" t="n">
        <v>45357</v>
      </c>
      <c r="D2835" t="inlineStr">
        <is>
          <t>GÄVLEBORGS LÄN</t>
        </is>
      </c>
      <c r="E2835" t="inlineStr">
        <is>
          <t>GÄVLE</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51103-2020</t>
        </is>
      </c>
      <c r="B2836" s="1" t="n">
        <v>44112</v>
      </c>
      <c r="C2836" s="1" t="n">
        <v>45357</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51256-2020</t>
        </is>
      </c>
      <c r="B2837" s="1" t="n">
        <v>44112</v>
      </c>
      <c r="C2837" s="1" t="n">
        <v>45357</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51306-2020</t>
        </is>
      </c>
      <c r="B2838" s="1" t="n">
        <v>44112</v>
      </c>
      <c r="C2838" s="1" t="n">
        <v>45357</v>
      </c>
      <c r="D2838" t="inlineStr">
        <is>
          <t>GÄVLEBORGS LÄN</t>
        </is>
      </c>
      <c r="E2838" t="inlineStr">
        <is>
          <t>LJUSDAL</t>
        </is>
      </c>
      <c r="F2838" t="inlineStr">
        <is>
          <t>Kommuner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51356-2020</t>
        </is>
      </c>
      <c r="B2839" s="1" t="n">
        <v>44112</v>
      </c>
      <c r="C2839" s="1" t="n">
        <v>45357</v>
      </c>
      <c r="D2839" t="inlineStr">
        <is>
          <t>GÄVLEBORGS LÄN</t>
        </is>
      </c>
      <c r="E2839" t="inlineStr">
        <is>
          <t>SANDVIKEN</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51274-2020</t>
        </is>
      </c>
      <c r="B2840" s="1" t="n">
        <v>44112</v>
      </c>
      <c r="C2840" s="1" t="n">
        <v>45357</v>
      </c>
      <c r="D2840" t="inlineStr">
        <is>
          <t>GÄVLEBORGS LÄN</t>
        </is>
      </c>
      <c r="E2840" t="inlineStr">
        <is>
          <t>OVANÅKER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52304-2020</t>
        </is>
      </c>
      <c r="B2841" s="1" t="n">
        <v>44112</v>
      </c>
      <c r="C2841" s="1" t="n">
        <v>45357</v>
      </c>
      <c r="D2841" t="inlineStr">
        <is>
          <t>GÄVLEBORGS LÄN</t>
        </is>
      </c>
      <c r="E2841" t="inlineStr">
        <is>
          <t>LJUSDAL</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51598-2020</t>
        </is>
      </c>
      <c r="B2842" s="1" t="n">
        <v>44113</v>
      </c>
      <c r="C2842" s="1" t="n">
        <v>45357</v>
      </c>
      <c r="D2842" t="inlineStr">
        <is>
          <t>GÄVLEBORGS LÄN</t>
        </is>
      </c>
      <c r="E2842" t="inlineStr">
        <is>
          <t>OCKELBO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51454-2020</t>
        </is>
      </c>
      <c r="B2843" s="1" t="n">
        <v>44113</v>
      </c>
      <c r="C2843" s="1" t="n">
        <v>45357</v>
      </c>
      <c r="D2843" t="inlineStr">
        <is>
          <t>GÄVLEBORGS LÄN</t>
        </is>
      </c>
      <c r="E2843" t="inlineStr">
        <is>
          <t>HUDIKSVALL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51573-2020</t>
        </is>
      </c>
      <c r="B2844" s="1" t="n">
        <v>44113</v>
      </c>
      <c r="C2844" s="1" t="n">
        <v>45357</v>
      </c>
      <c r="D2844" t="inlineStr">
        <is>
          <t>GÄVLEBORGS LÄN</t>
        </is>
      </c>
      <c r="E2844" t="inlineStr">
        <is>
          <t>SANDVIKEN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51527-2020</t>
        </is>
      </c>
      <c r="B2845" s="1" t="n">
        <v>44113</v>
      </c>
      <c r="C2845" s="1" t="n">
        <v>45357</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51669-2020</t>
        </is>
      </c>
      <c r="B2846" s="1" t="n">
        <v>44113</v>
      </c>
      <c r="C2846" s="1" t="n">
        <v>45357</v>
      </c>
      <c r="D2846" t="inlineStr">
        <is>
          <t>GÄVLEBORGS LÄN</t>
        </is>
      </c>
      <c r="E2846" t="inlineStr">
        <is>
          <t>NORDANSTIG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52448-2020</t>
        </is>
      </c>
      <c r="B2847" s="1" t="n">
        <v>44113</v>
      </c>
      <c r="C2847" s="1" t="n">
        <v>45357</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51790-2020</t>
        </is>
      </c>
      <c r="B2848" s="1" t="n">
        <v>44116</v>
      </c>
      <c r="C2848" s="1" t="n">
        <v>45357</v>
      </c>
      <c r="D2848" t="inlineStr">
        <is>
          <t>GÄVLEBORGS LÄN</t>
        </is>
      </c>
      <c r="E2848" t="inlineStr">
        <is>
          <t>LJUSDAL</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51874-2020</t>
        </is>
      </c>
      <c r="B2849" s="1" t="n">
        <v>44116</v>
      </c>
      <c r="C2849" s="1" t="n">
        <v>45357</v>
      </c>
      <c r="D2849" t="inlineStr">
        <is>
          <t>GÄVLEBORGS LÄN</t>
        </is>
      </c>
      <c r="E2849" t="inlineStr">
        <is>
          <t>NORDANSTIG</t>
        </is>
      </c>
      <c r="F2849" t="inlineStr">
        <is>
          <t>Holmen skog AB</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51983-2020</t>
        </is>
      </c>
      <c r="B2850" s="1" t="n">
        <v>44116</v>
      </c>
      <c r="C2850" s="1" t="n">
        <v>45357</v>
      </c>
      <c r="D2850" t="inlineStr">
        <is>
          <t>GÄVLEBORGS LÄN</t>
        </is>
      </c>
      <c r="E2850" t="inlineStr">
        <is>
          <t>OVANÅKER</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51780-2020</t>
        </is>
      </c>
      <c r="B2851" s="1" t="n">
        <v>44116</v>
      </c>
      <c r="C2851" s="1" t="n">
        <v>45357</v>
      </c>
      <c r="D2851" t="inlineStr">
        <is>
          <t>GÄVLEBORGS LÄN</t>
        </is>
      </c>
      <c r="E2851" t="inlineStr">
        <is>
          <t>LJUSDAL</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51918-2020</t>
        </is>
      </c>
      <c r="B2852" s="1" t="n">
        <v>44116</v>
      </c>
      <c r="C2852" s="1" t="n">
        <v>45357</v>
      </c>
      <c r="D2852" t="inlineStr">
        <is>
          <t>GÄVLEBORGS LÄN</t>
        </is>
      </c>
      <c r="E2852" t="inlineStr">
        <is>
          <t>LJUSDAL</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51779-2020</t>
        </is>
      </c>
      <c r="B2853" s="1" t="n">
        <v>44116</v>
      </c>
      <c r="C2853" s="1" t="n">
        <v>45357</v>
      </c>
      <c r="D2853" t="inlineStr">
        <is>
          <t>GÄVLEBORGS LÄN</t>
        </is>
      </c>
      <c r="E2853" t="inlineStr">
        <is>
          <t>LJUSDAL</t>
        </is>
      </c>
      <c r="F2853" t="inlineStr">
        <is>
          <t>Sveaskog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52441-2020</t>
        </is>
      </c>
      <c r="B2854" s="1" t="n">
        <v>44116</v>
      </c>
      <c r="C2854" s="1" t="n">
        <v>45357</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51781-2020</t>
        </is>
      </c>
      <c r="B2855" s="1" t="n">
        <v>44116</v>
      </c>
      <c r="C2855" s="1" t="n">
        <v>45357</v>
      </c>
      <c r="D2855" t="inlineStr">
        <is>
          <t>GÄVLEBORGS LÄN</t>
        </is>
      </c>
      <c r="E2855" t="inlineStr">
        <is>
          <t>LJUSDAL</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51828-2020</t>
        </is>
      </c>
      <c r="B2856" s="1" t="n">
        <v>44116</v>
      </c>
      <c r="C2856" s="1" t="n">
        <v>45357</v>
      </c>
      <c r="D2856" t="inlineStr">
        <is>
          <t>GÄVLEBORGS LÄN</t>
        </is>
      </c>
      <c r="E2856" t="inlineStr">
        <is>
          <t>SANDVIKEN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51868-2020</t>
        </is>
      </c>
      <c r="B2857" s="1" t="n">
        <v>44116</v>
      </c>
      <c r="C2857" s="1" t="n">
        <v>45357</v>
      </c>
      <c r="D2857" t="inlineStr">
        <is>
          <t>GÄVLEBORGS LÄN</t>
        </is>
      </c>
      <c r="E2857" t="inlineStr">
        <is>
          <t>SANDVIKEN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52294-2020</t>
        </is>
      </c>
      <c r="B2858" s="1" t="n">
        <v>44117</v>
      </c>
      <c r="C2858" s="1" t="n">
        <v>45357</v>
      </c>
      <c r="D2858" t="inlineStr">
        <is>
          <t>GÄVLEBORGS LÄN</t>
        </is>
      </c>
      <c r="E2858" t="inlineStr">
        <is>
          <t>LJUSDAL</t>
        </is>
      </c>
      <c r="F2858" t="inlineStr">
        <is>
          <t>Sveaskog</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52438-2020</t>
        </is>
      </c>
      <c r="B2859" s="1" t="n">
        <v>44118</v>
      </c>
      <c r="C2859" s="1" t="n">
        <v>45357</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52427-2020</t>
        </is>
      </c>
      <c r="B2860" s="1" t="n">
        <v>44118</v>
      </c>
      <c r="C2860" s="1" t="n">
        <v>45357</v>
      </c>
      <c r="D2860" t="inlineStr">
        <is>
          <t>GÄVLEBORGS LÄN</t>
        </is>
      </c>
      <c r="E2860" t="inlineStr">
        <is>
          <t>SÖDERHAMN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52435-2020</t>
        </is>
      </c>
      <c r="B2861" s="1" t="n">
        <v>44118</v>
      </c>
      <c r="C2861" s="1" t="n">
        <v>45357</v>
      </c>
      <c r="D2861" t="inlineStr">
        <is>
          <t>GÄVLEBORGS LÄN</t>
        </is>
      </c>
      <c r="E2861" t="inlineStr">
        <is>
          <t>SÖDERHAMN</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52790-2020</t>
        </is>
      </c>
      <c r="B2862" s="1" t="n">
        <v>44118</v>
      </c>
      <c r="C2862" s="1" t="n">
        <v>45357</v>
      </c>
      <c r="D2862" t="inlineStr">
        <is>
          <t>GÄVLEBORGS LÄN</t>
        </is>
      </c>
      <c r="E2862" t="inlineStr">
        <is>
          <t>GÄVLE</t>
        </is>
      </c>
      <c r="F2862" t="inlineStr">
        <is>
          <t>Bergvik skog väst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52772-2020</t>
        </is>
      </c>
      <c r="B2863" s="1" t="n">
        <v>44119</v>
      </c>
      <c r="C2863" s="1" t="n">
        <v>45357</v>
      </c>
      <c r="D2863" t="inlineStr">
        <is>
          <t>GÄVLEBORGS LÄN</t>
        </is>
      </c>
      <c r="E2863" t="inlineStr">
        <is>
          <t>LJUSDAL</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52886-2020</t>
        </is>
      </c>
      <c r="B2864" s="1" t="n">
        <v>44119</v>
      </c>
      <c r="C2864" s="1" t="n">
        <v>45357</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52767-2020</t>
        </is>
      </c>
      <c r="B2865" s="1" t="n">
        <v>44119</v>
      </c>
      <c r="C2865" s="1" t="n">
        <v>45357</v>
      </c>
      <c r="D2865" t="inlineStr">
        <is>
          <t>GÄVLEBORGS LÄN</t>
        </is>
      </c>
      <c r="E2865" t="inlineStr">
        <is>
          <t>LJUSDAL</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52774-2020</t>
        </is>
      </c>
      <c r="B2866" s="1" t="n">
        <v>44119</v>
      </c>
      <c r="C2866" s="1" t="n">
        <v>45357</v>
      </c>
      <c r="D2866" t="inlineStr">
        <is>
          <t>GÄVLEBORGS LÄN</t>
        </is>
      </c>
      <c r="E2866" t="inlineStr">
        <is>
          <t>LJUSDAL</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52907-2020</t>
        </is>
      </c>
      <c r="B2867" s="1" t="n">
        <v>44119</v>
      </c>
      <c r="C2867" s="1" t="n">
        <v>45357</v>
      </c>
      <c r="D2867" t="inlineStr">
        <is>
          <t>GÄVLEBORGS LÄN</t>
        </is>
      </c>
      <c r="E2867" t="inlineStr">
        <is>
          <t>BOLLNÄS</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52908-2020</t>
        </is>
      </c>
      <c r="B2868" s="1" t="n">
        <v>44119</v>
      </c>
      <c r="C2868" s="1" t="n">
        <v>45357</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52776-2020</t>
        </is>
      </c>
      <c r="B2869" s="1" t="n">
        <v>44119</v>
      </c>
      <c r="C2869" s="1" t="n">
        <v>45357</v>
      </c>
      <c r="D2869" t="inlineStr">
        <is>
          <t>GÄVLEBORGS LÄN</t>
        </is>
      </c>
      <c r="E2869" t="inlineStr">
        <is>
          <t>BOLLNÄS</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52934-2020</t>
        </is>
      </c>
      <c r="B2870" s="1" t="n">
        <v>44120</v>
      </c>
      <c r="C2870" s="1" t="n">
        <v>45357</v>
      </c>
      <c r="D2870" t="inlineStr">
        <is>
          <t>GÄVLEBORGS LÄN</t>
        </is>
      </c>
      <c r="E2870" t="inlineStr">
        <is>
          <t>HUDIKSVALL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52962-2020</t>
        </is>
      </c>
      <c r="B2871" s="1" t="n">
        <v>44120</v>
      </c>
      <c r="C2871" s="1" t="n">
        <v>45357</v>
      </c>
      <c r="D2871" t="inlineStr">
        <is>
          <t>GÄVLEBORGS LÄN</t>
        </is>
      </c>
      <c r="E2871" t="inlineStr">
        <is>
          <t>OVANÅKER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52950-2020</t>
        </is>
      </c>
      <c r="B2872" s="1" t="n">
        <v>44120</v>
      </c>
      <c r="C2872" s="1" t="n">
        <v>45357</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52966-2020</t>
        </is>
      </c>
      <c r="B2873" s="1" t="n">
        <v>44120</v>
      </c>
      <c r="C2873" s="1" t="n">
        <v>45357</v>
      </c>
      <c r="D2873" t="inlineStr">
        <is>
          <t>GÄVLEBORGS LÄN</t>
        </is>
      </c>
      <c r="E2873" t="inlineStr">
        <is>
          <t>NORDANSTIG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53071-2020</t>
        </is>
      </c>
      <c r="B2874" s="1" t="n">
        <v>44120</v>
      </c>
      <c r="C2874" s="1" t="n">
        <v>45357</v>
      </c>
      <c r="D2874" t="inlineStr">
        <is>
          <t>GÄVLEBORGS LÄN</t>
        </is>
      </c>
      <c r="E2874" t="inlineStr">
        <is>
          <t>LJUSDAL</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53218-2020</t>
        </is>
      </c>
      <c r="B2875" s="1" t="n">
        <v>44123</v>
      </c>
      <c r="C2875" s="1" t="n">
        <v>45357</v>
      </c>
      <c r="D2875" t="inlineStr">
        <is>
          <t>GÄVLEBORGS LÄN</t>
        </is>
      </c>
      <c r="E2875" t="inlineStr">
        <is>
          <t>LJUSDAL</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53220-2020</t>
        </is>
      </c>
      <c r="B2876" s="1" t="n">
        <v>44123</v>
      </c>
      <c r="C2876" s="1" t="n">
        <v>45357</v>
      </c>
      <c r="D2876" t="inlineStr">
        <is>
          <t>GÄVLEBORGS LÄN</t>
        </is>
      </c>
      <c r="E2876" t="inlineStr">
        <is>
          <t>OCKELBO</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53381-2020</t>
        </is>
      </c>
      <c r="B2877" s="1" t="n">
        <v>44123</v>
      </c>
      <c r="C2877" s="1" t="n">
        <v>45357</v>
      </c>
      <c r="D2877" t="inlineStr">
        <is>
          <t>GÄVLEBORGS LÄN</t>
        </is>
      </c>
      <c r="E2877" t="inlineStr">
        <is>
          <t>OCKELBO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53466-2020</t>
        </is>
      </c>
      <c r="B2878" s="1" t="n">
        <v>44123</v>
      </c>
      <c r="C2878" s="1" t="n">
        <v>45357</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53467-2020</t>
        </is>
      </c>
      <c r="B2879" s="1" t="n">
        <v>44123</v>
      </c>
      <c r="C2879" s="1" t="n">
        <v>45357</v>
      </c>
      <c r="D2879" t="inlineStr">
        <is>
          <t>GÄVLEBORGS LÄN</t>
        </is>
      </c>
      <c r="E2879" t="inlineStr">
        <is>
          <t>HUDIKSVALL</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53492-2020</t>
        </is>
      </c>
      <c r="B2880" s="1" t="n">
        <v>44123</v>
      </c>
      <c r="C2880" s="1" t="n">
        <v>45357</v>
      </c>
      <c r="D2880" t="inlineStr">
        <is>
          <t>GÄVLEBORGS LÄN</t>
        </is>
      </c>
      <c r="E2880" t="inlineStr">
        <is>
          <t>SANDVIKEN</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53470-2020</t>
        </is>
      </c>
      <c r="B2881" s="1" t="n">
        <v>44123</v>
      </c>
      <c r="C2881" s="1" t="n">
        <v>45357</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54967-2020</t>
        </is>
      </c>
      <c r="B2882" s="1" t="n">
        <v>44123</v>
      </c>
      <c r="C2882" s="1" t="n">
        <v>45357</v>
      </c>
      <c r="D2882" t="inlineStr">
        <is>
          <t>GÄVLEBORGS LÄN</t>
        </is>
      </c>
      <c r="E2882" t="inlineStr">
        <is>
          <t>SÖDERHAMN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53730-2020</t>
        </is>
      </c>
      <c r="B2883" s="1" t="n">
        <v>44123</v>
      </c>
      <c r="C2883" s="1" t="n">
        <v>45357</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53517-2020</t>
        </is>
      </c>
      <c r="B2884" s="1" t="n">
        <v>44124</v>
      </c>
      <c r="C2884" s="1" t="n">
        <v>45357</v>
      </c>
      <c r="D2884" t="inlineStr">
        <is>
          <t>GÄVLEBORGS LÄN</t>
        </is>
      </c>
      <c r="E2884" t="inlineStr">
        <is>
          <t>GÄVLE</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53529-2020</t>
        </is>
      </c>
      <c r="B2885" s="1" t="n">
        <v>44124</v>
      </c>
      <c r="C2885" s="1" t="n">
        <v>45357</v>
      </c>
      <c r="D2885" t="inlineStr">
        <is>
          <t>GÄVLEBORGS LÄN</t>
        </is>
      </c>
      <c r="E2885" t="inlineStr">
        <is>
          <t>LJUSDAL</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53508-2020</t>
        </is>
      </c>
      <c r="B2886" s="1" t="n">
        <v>44124</v>
      </c>
      <c r="C2886" s="1" t="n">
        <v>45357</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53612-2020</t>
        </is>
      </c>
      <c r="B2887" s="1" t="n">
        <v>44124</v>
      </c>
      <c r="C2887" s="1" t="n">
        <v>45357</v>
      </c>
      <c r="D2887" t="inlineStr">
        <is>
          <t>GÄVLEBORGS LÄN</t>
        </is>
      </c>
      <c r="E2887" t="inlineStr">
        <is>
          <t>HUDIKSVALL</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53648-2020</t>
        </is>
      </c>
      <c r="B2888" s="1" t="n">
        <v>44124</v>
      </c>
      <c r="C2888" s="1" t="n">
        <v>45357</v>
      </c>
      <c r="D2888" t="inlineStr">
        <is>
          <t>GÄVLEBORGS LÄN</t>
        </is>
      </c>
      <c r="E2888" t="inlineStr">
        <is>
          <t>NORDANSTIG</t>
        </is>
      </c>
      <c r="F2888" t="inlineStr">
        <is>
          <t>Holmen skog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54031-2020</t>
        </is>
      </c>
      <c r="B2889" s="1" t="n">
        <v>44125</v>
      </c>
      <c r="C2889" s="1" t="n">
        <v>45357</v>
      </c>
      <c r="D2889" t="inlineStr">
        <is>
          <t>GÄVLEBORGS LÄN</t>
        </is>
      </c>
      <c r="E2889" t="inlineStr">
        <is>
          <t>GÄVLE</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54004-2020</t>
        </is>
      </c>
      <c r="B2890" s="1" t="n">
        <v>44125</v>
      </c>
      <c r="C2890" s="1" t="n">
        <v>45357</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54053-2020</t>
        </is>
      </c>
      <c r="B2891" s="1" t="n">
        <v>44125</v>
      </c>
      <c r="C2891" s="1" t="n">
        <v>45357</v>
      </c>
      <c r="D2891" t="inlineStr">
        <is>
          <t>GÄVLEBORGS LÄN</t>
        </is>
      </c>
      <c r="E2891" t="inlineStr">
        <is>
          <t>GÄVLE</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54065-2020</t>
        </is>
      </c>
      <c r="B2892" s="1" t="n">
        <v>44125</v>
      </c>
      <c r="C2892" s="1" t="n">
        <v>45357</v>
      </c>
      <c r="D2892" t="inlineStr">
        <is>
          <t>GÄVLEBORGS LÄN</t>
        </is>
      </c>
      <c r="E2892" t="inlineStr">
        <is>
          <t>GÄVLE</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54136-2020</t>
        </is>
      </c>
      <c r="B2893" s="1" t="n">
        <v>44125</v>
      </c>
      <c r="C2893" s="1" t="n">
        <v>45357</v>
      </c>
      <c r="D2893" t="inlineStr">
        <is>
          <t>GÄVLEBORGS LÄN</t>
        </is>
      </c>
      <c r="E2893" t="inlineStr">
        <is>
          <t>LJUSDAL</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53970-2020</t>
        </is>
      </c>
      <c r="B2894" s="1" t="n">
        <v>44125</v>
      </c>
      <c r="C2894" s="1" t="n">
        <v>45357</v>
      </c>
      <c r="D2894" t="inlineStr">
        <is>
          <t>GÄVLEBORGS LÄN</t>
        </is>
      </c>
      <c r="E2894" t="inlineStr">
        <is>
          <t>LJUSDAL</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54070-2020</t>
        </is>
      </c>
      <c r="B2895" s="1" t="n">
        <v>44125</v>
      </c>
      <c r="C2895" s="1" t="n">
        <v>45357</v>
      </c>
      <c r="D2895" t="inlineStr">
        <is>
          <t>GÄVLEBORGS LÄN</t>
        </is>
      </c>
      <c r="E2895" t="inlineStr">
        <is>
          <t>OVANÅKER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54133-2020</t>
        </is>
      </c>
      <c r="B2896" s="1" t="n">
        <v>44125</v>
      </c>
      <c r="C2896" s="1" t="n">
        <v>45357</v>
      </c>
      <c r="D2896" t="inlineStr">
        <is>
          <t>GÄVLEBORGS LÄN</t>
        </is>
      </c>
      <c r="E2896" t="inlineStr">
        <is>
          <t>LJUSDAL</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53850-2020</t>
        </is>
      </c>
      <c r="B2897" s="1" t="n">
        <v>44125</v>
      </c>
      <c r="C2897" s="1" t="n">
        <v>45357</v>
      </c>
      <c r="D2897" t="inlineStr">
        <is>
          <t>GÄVLEBORGS LÄN</t>
        </is>
      </c>
      <c r="E2897" t="inlineStr">
        <is>
          <t>LJUSDAL</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53853-2020</t>
        </is>
      </c>
      <c r="B2898" s="1" t="n">
        <v>44125</v>
      </c>
      <c r="C2898" s="1" t="n">
        <v>45357</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53939-2020</t>
        </is>
      </c>
      <c r="B2899" s="1" t="n">
        <v>44125</v>
      </c>
      <c r="C2899" s="1" t="n">
        <v>45357</v>
      </c>
      <c r="D2899" t="inlineStr">
        <is>
          <t>GÄVLEBORGS LÄN</t>
        </is>
      </c>
      <c r="E2899" t="inlineStr">
        <is>
          <t>NORDANSTIG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54475-2020</t>
        </is>
      </c>
      <c r="B2900" s="1" t="n">
        <v>44126</v>
      </c>
      <c r="C2900" s="1" t="n">
        <v>45357</v>
      </c>
      <c r="D2900" t="inlineStr">
        <is>
          <t>GÄVLEBORGS LÄN</t>
        </is>
      </c>
      <c r="E2900" t="inlineStr">
        <is>
          <t>LJUSDAL</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54434-2020</t>
        </is>
      </c>
      <c r="B2901" s="1" t="n">
        <v>44126</v>
      </c>
      <c r="C2901" s="1" t="n">
        <v>45357</v>
      </c>
      <c r="D2901" t="inlineStr">
        <is>
          <t>GÄVLEBORGS LÄN</t>
        </is>
      </c>
      <c r="E2901" t="inlineStr">
        <is>
          <t>HUDIKSVALL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54249-2020</t>
        </is>
      </c>
      <c r="B2902" s="1" t="n">
        <v>44126</v>
      </c>
      <c r="C2902" s="1" t="n">
        <v>45357</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54294-2020</t>
        </is>
      </c>
      <c r="B2903" s="1" t="n">
        <v>44126</v>
      </c>
      <c r="C2903" s="1" t="n">
        <v>45357</v>
      </c>
      <c r="D2903" t="inlineStr">
        <is>
          <t>GÄVLEBORGS LÄN</t>
        </is>
      </c>
      <c r="E2903" t="inlineStr">
        <is>
          <t>GÄVLE</t>
        </is>
      </c>
      <c r="F2903" t="inlineStr">
        <is>
          <t>Bergvik skog öst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54472-2020</t>
        </is>
      </c>
      <c r="B2904" s="1" t="n">
        <v>44126</v>
      </c>
      <c r="C2904" s="1" t="n">
        <v>45357</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54324-2020</t>
        </is>
      </c>
      <c r="B2905" s="1" t="n">
        <v>44126</v>
      </c>
      <c r="C2905" s="1" t="n">
        <v>45357</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54595-2020</t>
        </is>
      </c>
      <c r="B2906" s="1" t="n">
        <v>44126</v>
      </c>
      <c r="C2906" s="1" t="n">
        <v>45357</v>
      </c>
      <c r="D2906" t="inlineStr">
        <is>
          <t>GÄVLEBORGS LÄN</t>
        </is>
      </c>
      <c r="E2906" t="inlineStr">
        <is>
          <t>LJUSDAL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54616-2020</t>
        </is>
      </c>
      <c r="B2907" s="1" t="n">
        <v>44127</v>
      </c>
      <c r="C2907" s="1" t="n">
        <v>45357</v>
      </c>
      <c r="D2907" t="inlineStr">
        <is>
          <t>GÄVLEBORGS LÄN</t>
        </is>
      </c>
      <c r="E2907" t="inlineStr">
        <is>
          <t>GÄVLE</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54675-2020</t>
        </is>
      </c>
      <c r="B2908" s="1" t="n">
        <v>44127</v>
      </c>
      <c r="C2908" s="1" t="n">
        <v>45357</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54704-2020</t>
        </is>
      </c>
      <c r="B2909" s="1" t="n">
        <v>44127</v>
      </c>
      <c r="C2909" s="1" t="n">
        <v>45357</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54745-2020</t>
        </is>
      </c>
      <c r="B2910" s="1" t="n">
        <v>44127</v>
      </c>
      <c r="C2910" s="1" t="n">
        <v>45357</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54624-2020</t>
        </is>
      </c>
      <c r="B2911" s="1" t="n">
        <v>44127</v>
      </c>
      <c r="C2911" s="1" t="n">
        <v>45357</v>
      </c>
      <c r="D2911" t="inlineStr">
        <is>
          <t>GÄVLEBORGS LÄN</t>
        </is>
      </c>
      <c r="E2911" t="inlineStr">
        <is>
          <t>GÄVLE</t>
        </is>
      </c>
      <c r="F2911" t="inlineStr">
        <is>
          <t>Bergvik skog öst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54661-2020</t>
        </is>
      </c>
      <c r="B2912" s="1" t="n">
        <v>44127</v>
      </c>
      <c r="C2912" s="1" t="n">
        <v>45357</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54699-2020</t>
        </is>
      </c>
      <c r="B2913" s="1" t="n">
        <v>44127</v>
      </c>
      <c r="C2913" s="1" t="n">
        <v>45357</v>
      </c>
      <c r="D2913" t="inlineStr">
        <is>
          <t>GÄVLEBORGS LÄN</t>
        </is>
      </c>
      <c r="E2913" t="inlineStr">
        <is>
          <t>BOLLNÄS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54620-2020</t>
        </is>
      </c>
      <c r="B2914" s="1" t="n">
        <v>44127</v>
      </c>
      <c r="C2914" s="1" t="n">
        <v>45357</v>
      </c>
      <c r="D2914" t="inlineStr">
        <is>
          <t>GÄVLEBORGS LÄN</t>
        </is>
      </c>
      <c r="E2914" t="inlineStr">
        <is>
          <t>GÄVLE</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54638-2020</t>
        </is>
      </c>
      <c r="B2915" s="1" t="n">
        <v>44127</v>
      </c>
      <c r="C2915" s="1" t="n">
        <v>45357</v>
      </c>
      <c r="D2915" t="inlineStr">
        <is>
          <t>GÄVLEBORGS LÄN</t>
        </is>
      </c>
      <c r="E2915" t="inlineStr">
        <is>
          <t>GÄVLE</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54940-2020</t>
        </is>
      </c>
      <c r="B2916" s="1" t="n">
        <v>44129</v>
      </c>
      <c r="C2916" s="1" t="n">
        <v>45357</v>
      </c>
      <c r="D2916" t="inlineStr">
        <is>
          <t>GÄVLEBORGS LÄN</t>
        </is>
      </c>
      <c r="E2916" t="inlineStr">
        <is>
          <t>OCKELBO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54969-2020</t>
        </is>
      </c>
      <c r="B2917" s="1" t="n">
        <v>44130</v>
      </c>
      <c r="C2917" s="1" t="n">
        <v>45357</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55131-2020</t>
        </is>
      </c>
      <c r="B2918" s="1" t="n">
        <v>44130</v>
      </c>
      <c r="C2918" s="1" t="n">
        <v>45357</v>
      </c>
      <c r="D2918" t="inlineStr">
        <is>
          <t>GÄVLEBORGS LÄN</t>
        </is>
      </c>
      <c r="E2918" t="inlineStr">
        <is>
          <t>NORDANSTIG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55262-2020</t>
        </is>
      </c>
      <c r="B2919" s="1" t="n">
        <v>44130</v>
      </c>
      <c r="C2919" s="1" t="n">
        <v>45357</v>
      </c>
      <c r="D2919" t="inlineStr">
        <is>
          <t>GÄVLEBORGS LÄN</t>
        </is>
      </c>
      <c r="E2919" t="inlineStr">
        <is>
          <t>SÖDERHAMN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55269-2020</t>
        </is>
      </c>
      <c r="B2920" s="1" t="n">
        <v>44130</v>
      </c>
      <c r="C2920" s="1" t="n">
        <v>45357</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55301-2020</t>
        </is>
      </c>
      <c r="B2921" s="1" t="n">
        <v>44130</v>
      </c>
      <c r="C2921" s="1" t="n">
        <v>45357</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55147-2020</t>
        </is>
      </c>
      <c r="B2922" s="1" t="n">
        <v>44130</v>
      </c>
      <c r="C2922" s="1" t="n">
        <v>45357</v>
      </c>
      <c r="D2922" t="inlineStr">
        <is>
          <t>GÄVLEBORGS LÄN</t>
        </is>
      </c>
      <c r="E2922" t="inlineStr">
        <is>
          <t>NORDANSTIG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55299-2020</t>
        </is>
      </c>
      <c r="B2923" s="1" t="n">
        <v>44130</v>
      </c>
      <c r="C2923" s="1" t="n">
        <v>45357</v>
      </c>
      <c r="D2923" t="inlineStr">
        <is>
          <t>GÄVLEBORGS LÄN</t>
        </is>
      </c>
      <c r="E2923" t="inlineStr">
        <is>
          <t>SÖDERHAMN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55606-2020</t>
        </is>
      </c>
      <c r="B2924" s="1" t="n">
        <v>44131</v>
      </c>
      <c r="C2924" s="1" t="n">
        <v>45357</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55600-2020</t>
        </is>
      </c>
      <c r="B2925" s="1" t="n">
        <v>44131</v>
      </c>
      <c r="C2925" s="1" t="n">
        <v>45357</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55446-2020</t>
        </is>
      </c>
      <c r="B2926" s="1" t="n">
        <v>44131</v>
      </c>
      <c r="C2926" s="1" t="n">
        <v>45357</v>
      </c>
      <c r="D2926" t="inlineStr">
        <is>
          <t>GÄVLEBORGS LÄN</t>
        </is>
      </c>
      <c r="E2926" t="inlineStr">
        <is>
          <t>HUDIKSVALL</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55487-2020</t>
        </is>
      </c>
      <c r="B2927" s="1" t="n">
        <v>44131</v>
      </c>
      <c r="C2927" s="1" t="n">
        <v>45357</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55604-2020</t>
        </is>
      </c>
      <c r="B2928" s="1" t="n">
        <v>44131</v>
      </c>
      <c r="C2928" s="1" t="n">
        <v>45357</v>
      </c>
      <c r="D2928" t="inlineStr">
        <is>
          <t>GÄVLEBORGS LÄN</t>
        </is>
      </c>
      <c r="E2928" t="inlineStr">
        <is>
          <t>OVANÅKER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55766-2020</t>
        </is>
      </c>
      <c r="B2929" s="1" t="n">
        <v>44132</v>
      </c>
      <c r="C2929" s="1" t="n">
        <v>45357</v>
      </c>
      <c r="D2929" t="inlineStr">
        <is>
          <t>GÄVLEBORGS LÄN</t>
        </is>
      </c>
      <c r="E2929" t="inlineStr">
        <is>
          <t>NORDANSTIG</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55848-2020</t>
        </is>
      </c>
      <c r="B2930" s="1" t="n">
        <v>44132</v>
      </c>
      <c r="C2930" s="1" t="n">
        <v>45357</v>
      </c>
      <c r="D2930" t="inlineStr">
        <is>
          <t>GÄVLEBORGS LÄN</t>
        </is>
      </c>
      <c r="E2930" t="inlineStr">
        <is>
          <t>SANDVIKEN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55922-2020</t>
        </is>
      </c>
      <c r="B2931" s="1" t="n">
        <v>44132</v>
      </c>
      <c r="C2931" s="1" t="n">
        <v>45357</v>
      </c>
      <c r="D2931" t="inlineStr">
        <is>
          <t>GÄVLEBORGS LÄN</t>
        </is>
      </c>
      <c r="E2931" t="inlineStr">
        <is>
          <t>HUDIKSVALL</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56149-2020</t>
        </is>
      </c>
      <c r="B2932" s="1" t="n">
        <v>44133</v>
      </c>
      <c r="C2932" s="1" t="n">
        <v>45357</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56139-2020</t>
        </is>
      </c>
      <c r="B2933" s="1" t="n">
        <v>44133</v>
      </c>
      <c r="C2933" s="1" t="n">
        <v>45357</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56151-2020</t>
        </is>
      </c>
      <c r="B2934" s="1" t="n">
        <v>44133</v>
      </c>
      <c r="C2934" s="1" t="n">
        <v>45357</v>
      </c>
      <c r="D2934" t="inlineStr">
        <is>
          <t>GÄVLEBORGS LÄN</t>
        </is>
      </c>
      <c r="E2934" t="inlineStr">
        <is>
          <t>BOLLNÄS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56123-2020</t>
        </is>
      </c>
      <c r="B2935" s="1" t="n">
        <v>44133</v>
      </c>
      <c r="C2935" s="1" t="n">
        <v>45357</v>
      </c>
      <c r="D2935" t="inlineStr">
        <is>
          <t>GÄVLEBORGS LÄN</t>
        </is>
      </c>
      <c r="E2935" t="inlineStr">
        <is>
          <t>HUDIKSVALL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55993-2020</t>
        </is>
      </c>
      <c r="B2936" s="1" t="n">
        <v>44133</v>
      </c>
      <c r="C2936" s="1" t="n">
        <v>45357</v>
      </c>
      <c r="D2936" t="inlineStr">
        <is>
          <t>GÄVLEBORGS LÄN</t>
        </is>
      </c>
      <c r="E2936" t="inlineStr">
        <is>
          <t>HUDIKSVALL</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56468-2020</t>
        </is>
      </c>
      <c r="B2937" s="1" t="n">
        <v>44133</v>
      </c>
      <c r="C2937" s="1" t="n">
        <v>45357</v>
      </c>
      <c r="D2937" t="inlineStr">
        <is>
          <t>GÄVLEBORGS LÄN</t>
        </is>
      </c>
      <c r="E2937" t="inlineStr">
        <is>
          <t>SÖDERHAMN</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56221-2020</t>
        </is>
      </c>
      <c r="B2938" s="1" t="n">
        <v>44134</v>
      </c>
      <c r="C2938" s="1" t="n">
        <v>45357</v>
      </c>
      <c r="D2938" t="inlineStr">
        <is>
          <t>GÄVLEBORGS LÄN</t>
        </is>
      </c>
      <c r="E2938" t="inlineStr">
        <is>
          <t>GÄVLE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56458-2020</t>
        </is>
      </c>
      <c r="B2939" s="1" t="n">
        <v>44137</v>
      </c>
      <c r="C2939" s="1" t="n">
        <v>45357</v>
      </c>
      <c r="D2939" t="inlineStr">
        <is>
          <t>GÄVLEBORGS LÄN</t>
        </is>
      </c>
      <c r="E2939" t="inlineStr">
        <is>
          <t>HUDIKSVALL</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56597-2020</t>
        </is>
      </c>
      <c r="B2940" s="1" t="n">
        <v>44137</v>
      </c>
      <c r="C2940" s="1" t="n">
        <v>45357</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56641-2020</t>
        </is>
      </c>
      <c r="B2941" s="1" t="n">
        <v>44137</v>
      </c>
      <c r="C2941" s="1" t="n">
        <v>45357</v>
      </c>
      <c r="D2941" t="inlineStr">
        <is>
          <t>GÄVLEBORGS LÄN</t>
        </is>
      </c>
      <c r="E2941" t="inlineStr">
        <is>
          <t>BOLLNÄS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56671-2020</t>
        </is>
      </c>
      <c r="B2942" s="1" t="n">
        <v>44137</v>
      </c>
      <c r="C2942" s="1" t="n">
        <v>45357</v>
      </c>
      <c r="D2942" t="inlineStr">
        <is>
          <t>GÄVLEBORGS LÄN</t>
        </is>
      </c>
      <c r="E2942" t="inlineStr">
        <is>
          <t>HOFORS</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56503-2020</t>
        </is>
      </c>
      <c r="B2943" s="1" t="n">
        <v>44137</v>
      </c>
      <c r="C2943" s="1" t="n">
        <v>45357</v>
      </c>
      <c r="D2943" t="inlineStr">
        <is>
          <t>GÄVLEBORGS LÄN</t>
        </is>
      </c>
      <c r="E2943" t="inlineStr">
        <is>
          <t>OVANÅKER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56603-2020</t>
        </is>
      </c>
      <c r="B2944" s="1" t="n">
        <v>44137</v>
      </c>
      <c r="C2944" s="1" t="n">
        <v>45357</v>
      </c>
      <c r="D2944" t="inlineStr">
        <is>
          <t>GÄVLEBORGS LÄN</t>
        </is>
      </c>
      <c r="E2944" t="inlineStr">
        <is>
          <t>HOFORS</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56626-2020</t>
        </is>
      </c>
      <c r="B2945" s="1" t="n">
        <v>44137</v>
      </c>
      <c r="C2945" s="1" t="n">
        <v>45357</v>
      </c>
      <c r="D2945" t="inlineStr">
        <is>
          <t>GÄVLEBORGS LÄN</t>
        </is>
      </c>
      <c r="E2945" t="inlineStr">
        <is>
          <t>OVANÅKER</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56667-2020</t>
        </is>
      </c>
      <c r="B2946" s="1" t="n">
        <v>44137</v>
      </c>
      <c r="C2946" s="1" t="n">
        <v>45357</v>
      </c>
      <c r="D2946" t="inlineStr">
        <is>
          <t>GÄVLEBORGS LÄN</t>
        </is>
      </c>
      <c r="E2946" t="inlineStr">
        <is>
          <t>SANDVIKEN</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56991-2020</t>
        </is>
      </c>
      <c r="B2947" s="1" t="n">
        <v>44138</v>
      </c>
      <c r="C2947" s="1" t="n">
        <v>45357</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57205-2020</t>
        </is>
      </c>
      <c r="B2948" s="1" t="n">
        <v>44139</v>
      </c>
      <c r="C2948" s="1" t="n">
        <v>45357</v>
      </c>
      <c r="D2948" t="inlineStr">
        <is>
          <t>GÄVLEBORGS LÄN</t>
        </is>
      </c>
      <c r="E2948" t="inlineStr">
        <is>
          <t>SÖDERHAMN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57194-2020</t>
        </is>
      </c>
      <c r="B2949" s="1" t="n">
        <v>44139</v>
      </c>
      <c r="C2949" s="1" t="n">
        <v>45357</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57244-2020</t>
        </is>
      </c>
      <c r="B2950" s="1" t="n">
        <v>44139</v>
      </c>
      <c r="C2950" s="1" t="n">
        <v>45357</v>
      </c>
      <c r="D2950" t="inlineStr">
        <is>
          <t>GÄVLEBORGS LÄN</t>
        </is>
      </c>
      <c r="E2950" t="inlineStr">
        <is>
          <t>NORDANSTIG</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57273-2020</t>
        </is>
      </c>
      <c r="B2951" s="1" t="n">
        <v>44139</v>
      </c>
      <c r="C2951" s="1" t="n">
        <v>45357</v>
      </c>
      <c r="D2951" t="inlineStr">
        <is>
          <t>GÄVLEBORGS LÄN</t>
        </is>
      </c>
      <c r="E2951" t="inlineStr">
        <is>
          <t>NORDANSTIG</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57535-2020</t>
        </is>
      </c>
      <c r="B2952" s="1" t="n">
        <v>44140</v>
      </c>
      <c r="C2952" s="1" t="n">
        <v>45357</v>
      </c>
      <c r="D2952" t="inlineStr">
        <is>
          <t>GÄVLEBORGS LÄN</t>
        </is>
      </c>
      <c r="E2952" t="inlineStr">
        <is>
          <t>GÄVLE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57702-2020</t>
        </is>
      </c>
      <c r="B2953" s="1" t="n">
        <v>44140</v>
      </c>
      <c r="C2953" s="1" t="n">
        <v>45357</v>
      </c>
      <c r="D2953" t="inlineStr">
        <is>
          <t>GÄVLEBORGS LÄN</t>
        </is>
      </c>
      <c r="E2953" t="inlineStr">
        <is>
          <t>GÄVLE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57706-2020</t>
        </is>
      </c>
      <c r="B2954" s="1" t="n">
        <v>44140</v>
      </c>
      <c r="C2954" s="1" t="n">
        <v>45357</v>
      </c>
      <c r="D2954" t="inlineStr">
        <is>
          <t>GÄVLEBORGS LÄN</t>
        </is>
      </c>
      <c r="E2954" t="inlineStr">
        <is>
          <t>GÄVLE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57634-2020</t>
        </is>
      </c>
      <c r="B2955" s="1" t="n">
        <v>44140</v>
      </c>
      <c r="C2955" s="1" t="n">
        <v>45357</v>
      </c>
      <c r="D2955" t="inlineStr">
        <is>
          <t>GÄVLEBORGS LÄN</t>
        </is>
      </c>
      <c r="E2955" t="inlineStr">
        <is>
          <t>BOLLNÄS</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57886-2020</t>
        </is>
      </c>
      <c r="B2956" s="1" t="n">
        <v>44140</v>
      </c>
      <c r="C2956" s="1" t="n">
        <v>45357</v>
      </c>
      <c r="D2956" t="inlineStr">
        <is>
          <t>GÄVLEBORGS LÄN</t>
        </is>
      </c>
      <c r="E2956" t="inlineStr">
        <is>
          <t>NORDANSTIG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57826-2020</t>
        </is>
      </c>
      <c r="B2957" s="1" t="n">
        <v>44141</v>
      </c>
      <c r="C2957" s="1" t="n">
        <v>45357</v>
      </c>
      <c r="D2957" t="inlineStr">
        <is>
          <t>GÄVLEBORGS LÄN</t>
        </is>
      </c>
      <c r="E2957" t="inlineStr">
        <is>
          <t>LJUSDAL</t>
        </is>
      </c>
      <c r="F2957" t="inlineStr">
        <is>
          <t>Holmen skog AB</t>
        </is>
      </c>
      <c r="G2957" t="n">
        <v>16.8</v>
      </c>
      <c r="H2957" t="n">
        <v>0</v>
      </c>
      <c r="I2957" t="n">
        <v>0</v>
      </c>
      <c r="J2957" t="n">
        <v>0</v>
      </c>
      <c r="K2957" t="n">
        <v>0</v>
      </c>
      <c r="L2957" t="n">
        <v>0</v>
      </c>
      <c r="M2957" t="n">
        <v>0</v>
      </c>
      <c r="N2957" t="n">
        <v>0</v>
      </c>
      <c r="O2957" t="n">
        <v>0</v>
      </c>
      <c r="P2957" t="n">
        <v>0</v>
      </c>
      <c r="Q2957" t="n">
        <v>0</v>
      </c>
      <c r="R2957" s="2" t="inlineStr"/>
    </row>
    <row r="2958" ht="15" customHeight="1">
      <c r="A2958" t="inlineStr">
        <is>
          <t>A 57885-2020</t>
        </is>
      </c>
      <c r="B2958" s="1" t="n">
        <v>44141</v>
      </c>
      <c r="C2958" s="1" t="n">
        <v>45357</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58001-2020</t>
        </is>
      </c>
      <c r="B2959" s="1" t="n">
        <v>44144</v>
      </c>
      <c r="C2959" s="1" t="n">
        <v>45357</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58030-2020</t>
        </is>
      </c>
      <c r="B2960" s="1" t="n">
        <v>44144</v>
      </c>
      <c r="C2960" s="1" t="n">
        <v>45357</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58189-2020</t>
        </is>
      </c>
      <c r="B2961" s="1" t="n">
        <v>44144</v>
      </c>
      <c r="C2961" s="1" t="n">
        <v>45357</v>
      </c>
      <c r="D2961" t="inlineStr">
        <is>
          <t>GÄVLEBORGS LÄN</t>
        </is>
      </c>
      <c r="E2961" t="inlineStr">
        <is>
          <t>GÄVLE</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58122-2020</t>
        </is>
      </c>
      <c r="B2962" s="1" t="n">
        <v>44144</v>
      </c>
      <c r="C2962" s="1" t="n">
        <v>45357</v>
      </c>
      <c r="D2962" t="inlineStr">
        <is>
          <t>GÄVLEBORGS LÄN</t>
        </is>
      </c>
      <c r="E2962" t="inlineStr">
        <is>
          <t>LJUSDAL</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58375-2020</t>
        </is>
      </c>
      <c r="B2963" s="1" t="n">
        <v>44144</v>
      </c>
      <c r="C2963" s="1" t="n">
        <v>45357</v>
      </c>
      <c r="D2963" t="inlineStr">
        <is>
          <t>GÄVLEBORGS LÄN</t>
        </is>
      </c>
      <c r="E2963" t="inlineStr">
        <is>
          <t>HUDIKSVALL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58377-2020</t>
        </is>
      </c>
      <c r="B2964" s="1" t="n">
        <v>44144</v>
      </c>
      <c r="C2964" s="1" t="n">
        <v>45357</v>
      </c>
      <c r="D2964" t="inlineStr">
        <is>
          <t>GÄVLEBORGS LÄN</t>
        </is>
      </c>
      <c r="E2964" t="inlineStr">
        <is>
          <t>HUDIKSVALL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58352-2020</t>
        </is>
      </c>
      <c r="B2965" s="1" t="n">
        <v>44145</v>
      </c>
      <c r="C2965" s="1" t="n">
        <v>45357</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58387-2020</t>
        </is>
      </c>
      <c r="B2966" s="1" t="n">
        <v>44145</v>
      </c>
      <c r="C2966" s="1" t="n">
        <v>45357</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58322-2020</t>
        </is>
      </c>
      <c r="B2967" s="1" t="n">
        <v>44145</v>
      </c>
      <c r="C2967" s="1" t="n">
        <v>45357</v>
      </c>
      <c r="D2967" t="inlineStr">
        <is>
          <t>GÄVLEBORGS LÄN</t>
        </is>
      </c>
      <c r="E2967" t="inlineStr">
        <is>
          <t>HOFORS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58341-2020</t>
        </is>
      </c>
      <c r="B2968" s="1" t="n">
        <v>44145</v>
      </c>
      <c r="C2968" s="1" t="n">
        <v>45357</v>
      </c>
      <c r="D2968" t="inlineStr">
        <is>
          <t>GÄVLEBORGS LÄN</t>
        </is>
      </c>
      <c r="E2968" t="inlineStr">
        <is>
          <t>OVANÅKER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58398-2020</t>
        </is>
      </c>
      <c r="B2969" s="1" t="n">
        <v>44145</v>
      </c>
      <c r="C2969" s="1" t="n">
        <v>45357</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58511-2020</t>
        </is>
      </c>
      <c r="B2970" s="1" t="n">
        <v>44145</v>
      </c>
      <c r="C2970" s="1" t="n">
        <v>45357</v>
      </c>
      <c r="D2970" t="inlineStr">
        <is>
          <t>GÄVLEBORGS LÄN</t>
        </is>
      </c>
      <c r="E2970" t="inlineStr">
        <is>
          <t>LJUSDAL</t>
        </is>
      </c>
      <c r="F2970" t="inlineStr">
        <is>
          <t>Holmen skog AB</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58338-2020</t>
        </is>
      </c>
      <c r="B2971" s="1" t="n">
        <v>44145</v>
      </c>
      <c r="C2971" s="1" t="n">
        <v>45357</v>
      </c>
      <c r="D2971" t="inlineStr">
        <is>
          <t>GÄVLEBORGS LÄN</t>
        </is>
      </c>
      <c r="E2971" t="inlineStr">
        <is>
          <t>HOFORS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58684-2020</t>
        </is>
      </c>
      <c r="B2972" s="1" t="n">
        <v>44146</v>
      </c>
      <c r="C2972" s="1" t="n">
        <v>45357</v>
      </c>
      <c r="D2972" t="inlineStr">
        <is>
          <t>GÄVLEBORGS LÄN</t>
        </is>
      </c>
      <c r="E2972" t="inlineStr">
        <is>
          <t>LJUSDAL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58690-2020</t>
        </is>
      </c>
      <c r="B2973" s="1" t="n">
        <v>44146</v>
      </c>
      <c r="C2973" s="1" t="n">
        <v>45357</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58732-2020</t>
        </is>
      </c>
      <c r="B2974" s="1" t="n">
        <v>44146</v>
      </c>
      <c r="C2974" s="1" t="n">
        <v>45357</v>
      </c>
      <c r="D2974" t="inlineStr">
        <is>
          <t>GÄVLEBORGS LÄN</t>
        </is>
      </c>
      <c r="E2974" t="inlineStr">
        <is>
          <t>NORDANSTIG</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58814-2020</t>
        </is>
      </c>
      <c r="B2975" s="1" t="n">
        <v>44146</v>
      </c>
      <c r="C2975" s="1" t="n">
        <v>45357</v>
      </c>
      <c r="D2975" t="inlineStr">
        <is>
          <t>GÄVLEBORGS LÄN</t>
        </is>
      </c>
      <c r="E2975" t="inlineStr">
        <is>
          <t>OVANÅKER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58853-2020</t>
        </is>
      </c>
      <c r="B2976" s="1" t="n">
        <v>44146</v>
      </c>
      <c r="C2976" s="1" t="n">
        <v>45357</v>
      </c>
      <c r="D2976" t="inlineStr">
        <is>
          <t>GÄVLEBORGS LÄN</t>
        </is>
      </c>
      <c r="E2976" t="inlineStr">
        <is>
          <t>OVANÅKER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58883-2020</t>
        </is>
      </c>
      <c r="B2977" s="1" t="n">
        <v>44146</v>
      </c>
      <c r="C2977" s="1" t="n">
        <v>45357</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58841-2020</t>
        </is>
      </c>
      <c r="B2978" s="1" t="n">
        <v>44146</v>
      </c>
      <c r="C2978" s="1" t="n">
        <v>45357</v>
      </c>
      <c r="D2978" t="inlineStr">
        <is>
          <t>GÄVLEBORGS LÄN</t>
        </is>
      </c>
      <c r="E2978" t="inlineStr">
        <is>
          <t>OVANÅKER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59057-2020</t>
        </is>
      </c>
      <c r="B2979" s="1" t="n">
        <v>44147</v>
      </c>
      <c r="C2979" s="1" t="n">
        <v>45357</v>
      </c>
      <c r="D2979" t="inlineStr">
        <is>
          <t>GÄVLEBORGS LÄN</t>
        </is>
      </c>
      <c r="E2979" t="inlineStr">
        <is>
          <t>LJUSDAL</t>
        </is>
      </c>
      <c r="F2979" t="inlineStr">
        <is>
          <t>Holmen skog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59065-2020</t>
        </is>
      </c>
      <c r="B2980" s="1" t="n">
        <v>44147</v>
      </c>
      <c r="C2980" s="1" t="n">
        <v>45357</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59107-2020</t>
        </is>
      </c>
      <c r="B2981" s="1" t="n">
        <v>44147</v>
      </c>
      <c r="C2981" s="1" t="n">
        <v>45357</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59072-2020</t>
        </is>
      </c>
      <c r="B2982" s="1" t="n">
        <v>44147</v>
      </c>
      <c r="C2982" s="1" t="n">
        <v>45357</v>
      </c>
      <c r="D2982" t="inlineStr">
        <is>
          <t>GÄVLEBORGS LÄN</t>
        </is>
      </c>
      <c r="E2982" t="inlineStr">
        <is>
          <t>GÄVLE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59159-2020</t>
        </is>
      </c>
      <c r="B2983" s="1" t="n">
        <v>44147</v>
      </c>
      <c r="C2983" s="1" t="n">
        <v>45357</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59154-2020</t>
        </is>
      </c>
      <c r="B2984" s="1" t="n">
        <v>44147</v>
      </c>
      <c r="C2984" s="1" t="n">
        <v>45357</v>
      </c>
      <c r="D2984" t="inlineStr">
        <is>
          <t>GÄVLEBORGS LÄN</t>
        </is>
      </c>
      <c r="E2984" t="inlineStr">
        <is>
          <t>BOLLNÄS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59235-2020</t>
        </is>
      </c>
      <c r="B2985" s="1" t="n">
        <v>44147</v>
      </c>
      <c r="C2985" s="1" t="n">
        <v>45357</v>
      </c>
      <c r="D2985" t="inlineStr">
        <is>
          <t>GÄVLEBORGS LÄN</t>
        </is>
      </c>
      <c r="E2985" t="inlineStr">
        <is>
          <t>SÖDERHAMN</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59161-2020</t>
        </is>
      </c>
      <c r="B2986" s="1" t="n">
        <v>44147</v>
      </c>
      <c r="C2986" s="1" t="n">
        <v>45357</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59213-2020</t>
        </is>
      </c>
      <c r="B2987" s="1" t="n">
        <v>44147</v>
      </c>
      <c r="C2987" s="1" t="n">
        <v>45357</v>
      </c>
      <c r="D2987" t="inlineStr">
        <is>
          <t>GÄVLEBORGS LÄN</t>
        </is>
      </c>
      <c r="E2987" t="inlineStr">
        <is>
          <t>NORDANSTIG</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59270-2020</t>
        </is>
      </c>
      <c r="B2988" s="1" t="n">
        <v>44147</v>
      </c>
      <c r="C2988" s="1" t="n">
        <v>45357</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59311-2020</t>
        </is>
      </c>
      <c r="B2989" s="1" t="n">
        <v>44147</v>
      </c>
      <c r="C2989" s="1" t="n">
        <v>45357</v>
      </c>
      <c r="D2989" t="inlineStr">
        <is>
          <t>GÄVLEBORGS LÄN</t>
        </is>
      </c>
      <c r="E2989" t="inlineStr">
        <is>
          <t>BOLLNÄS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59271-2020</t>
        </is>
      </c>
      <c r="B2990" s="1" t="n">
        <v>44147</v>
      </c>
      <c r="C2990" s="1" t="n">
        <v>45357</v>
      </c>
      <c r="D2990" t="inlineStr">
        <is>
          <t>GÄVLEBORGS LÄN</t>
        </is>
      </c>
      <c r="E2990" t="inlineStr">
        <is>
          <t>SÖDERHAMN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59348-2020</t>
        </is>
      </c>
      <c r="B2991" s="1" t="n">
        <v>44148</v>
      </c>
      <c r="C2991" s="1" t="n">
        <v>45357</v>
      </c>
      <c r="D2991" t="inlineStr">
        <is>
          <t>GÄVLEBORGS LÄN</t>
        </is>
      </c>
      <c r="E2991" t="inlineStr">
        <is>
          <t>LJUSDAL</t>
        </is>
      </c>
      <c r="F2991" t="inlineStr">
        <is>
          <t>Sveaskog</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59463-2020</t>
        </is>
      </c>
      <c r="B2992" s="1" t="n">
        <v>44148</v>
      </c>
      <c r="C2992" s="1" t="n">
        <v>45357</v>
      </c>
      <c r="D2992" t="inlineStr">
        <is>
          <t>GÄVLEBORGS LÄN</t>
        </is>
      </c>
      <c r="E2992" t="inlineStr">
        <is>
          <t>BOLLNÄS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59573-2020</t>
        </is>
      </c>
      <c r="B2993" s="1" t="n">
        <v>44148</v>
      </c>
      <c r="C2993" s="1" t="n">
        <v>45357</v>
      </c>
      <c r="D2993" t="inlineStr">
        <is>
          <t>GÄVLEBORGS LÄN</t>
        </is>
      </c>
      <c r="E2993" t="inlineStr">
        <is>
          <t>BOLLNÄS</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59481-2020</t>
        </is>
      </c>
      <c r="B2994" s="1" t="n">
        <v>44148</v>
      </c>
      <c r="C2994" s="1" t="n">
        <v>45357</v>
      </c>
      <c r="D2994" t="inlineStr">
        <is>
          <t>GÄVLEBORGS LÄN</t>
        </is>
      </c>
      <c r="E2994" t="inlineStr">
        <is>
          <t>BOLLNÄS</t>
        </is>
      </c>
      <c r="G2994" t="n">
        <v>11.3</v>
      </c>
      <c r="H2994" t="n">
        <v>0</v>
      </c>
      <c r="I2994" t="n">
        <v>0</v>
      </c>
      <c r="J2994" t="n">
        <v>0</v>
      </c>
      <c r="K2994" t="n">
        <v>0</v>
      </c>
      <c r="L2994" t="n">
        <v>0</v>
      </c>
      <c r="M2994" t="n">
        <v>0</v>
      </c>
      <c r="N2994" t="n">
        <v>0</v>
      </c>
      <c r="O2994" t="n">
        <v>0</v>
      </c>
      <c r="P2994" t="n">
        <v>0</v>
      </c>
      <c r="Q2994" t="n">
        <v>0</v>
      </c>
      <c r="R2994" s="2" t="inlineStr"/>
    </row>
    <row r="2995" ht="15" customHeight="1">
      <c r="A2995" t="inlineStr">
        <is>
          <t>A 59581-2020</t>
        </is>
      </c>
      <c r="B2995" s="1" t="n">
        <v>44148</v>
      </c>
      <c r="C2995" s="1" t="n">
        <v>45357</v>
      </c>
      <c r="D2995" t="inlineStr">
        <is>
          <t>GÄVLEBORGS LÄN</t>
        </is>
      </c>
      <c r="E2995" t="inlineStr">
        <is>
          <t>SÖDERHAMN</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59803-2020</t>
        </is>
      </c>
      <c r="B2996" s="1" t="n">
        <v>44148</v>
      </c>
      <c r="C2996" s="1" t="n">
        <v>45357</v>
      </c>
      <c r="D2996" t="inlineStr">
        <is>
          <t>GÄVLEBORGS LÄN</t>
        </is>
      </c>
      <c r="E2996" t="inlineStr">
        <is>
          <t>LJUSDAL</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59631-2020</t>
        </is>
      </c>
      <c r="B2997" s="1" t="n">
        <v>44150</v>
      </c>
      <c r="C2997" s="1" t="n">
        <v>45357</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59646-2020</t>
        </is>
      </c>
      <c r="B2998" s="1" t="n">
        <v>44150</v>
      </c>
      <c r="C2998" s="1" t="n">
        <v>45357</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59728-2020</t>
        </is>
      </c>
      <c r="B2999" s="1" t="n">
        <v>44151</v>
      </c>
      <c r="C2999" s="1" t="n">
        <v>45357</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59690-2020</t>
        </is>
      </c>
      <c r="B3000" s="1" t="n">
        <v>44151</v>
      </c>
      <c r="C3000" s="1" t="n">
        <v>45357</v>
      </c>
      <c r="D3000" t="inlineStr">
        <is>
          <t>GÄVLEBORGS LÄN</t>
        </is>
      </c>
      <c r="E3000" t="inlineStr">
        <is>
          <t>BOLLNÄS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59754-2020</t>
        </is>
      </c>
      <c r="B3001" s="1" t="n">
        <v>44151</v>
      </c>
      <c r="C3001" s="1" t="n">
        <v>45357</v>
      </c>
      <c r="D3001" t="inlineStr">
        <is>
          <t>GÄVLEBORGS LÄN</t>
        </is>
      </c>
      <c r="E3001" t="inlineStr">
        <is>
          <t>BOLLNÄS</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59659-2020</t>
        </is>
      </c>
      <c r="B3002" s="1" t="n">
        <v>44151</v>
      </c>
      <c r="C3002" s="1" t="n">
        <v>45357</v>
      </c>
      <c r="D3002" t="inlineStr">
        <is>
          <t>GÄVLEBORGS LÄN</t>
        </is>
      </c>
      <c r="E3002" t="inlineStr">
        <is>
          <t>HUDIKSVALL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59723-2020</t>
        </is>
      </c>
      <c r="B3003" s="1" t="n">
        <v>44151</v>
      </c>
      <c r="C3003" s="1" t="n">
        <v>45357</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59734-2020</t>
        </is>
      </c>
      <c r="B3004" s="1" t="n">
        <v>44151</v>
      </c>
      <c r="C3004" s="1" t="n">
        <v>45357</v>
      </c>
      <c r="D3004" t="inlineStr">
        <is>
          <t>GÄVLEBORGS LÄN</t>
        </is>
      </c>
      <c r="E3004" t="inlineStr">
        <is>
          <t>BOLLNÄS</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59910-2020</t>
        </is>
      </c>
      <c r="B3005" s="1" t="n">
        <v>44151</v>
      </c>
      <c r="C3005" s="1" t="n">
        <v>45357</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60071-2020</t>
        </is>
      </c>
      <c r="B3006" s="1" t="n">
        <v>44151</v>
      </c>
      <c r="C3006" s="1" t="n">
        <v>45357</v>
      </c>
      <c r="D3006" t="inlineStr">
        <is>
          <t>GÄVLEBORGS LÄN</t>
        </is>
      </c>
      <c r="E3006" t="inlineStr">
        <is>
          <t>BOLLNÄS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59924-2020</t>
        </is>
      </c>
      <c r="B3007" s="1" t="n">
        <v>44151</v>
      </c>
      <c r="C3007" s="1" t="n">
        <v>45357</v>
      </c>
      <c r="D3007" t="inlineStr">
        <is>
          <t>GÄVLEBORGS LÄN</t>
        </is>
      </c>
      <c r="E3007" t="inlineStr">
        <is>
          <t>LJUSDAL</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60067-2020</t>
        </is>
      </c>
      <c r="B3008" s="1" t="n">
        <v>44151</v>
      </c>
      <c r="C3008" s="1" t="n">
        <v>45357</v>
      </c>
      <c r="D3008" t="inlineStr">
        <is>
          <t>GÄVLEBORGS LÄN</t>
        </is>
      </c>
      <c r="E3008" t="inlineStr">
        <is>
          <t>OCKELBO</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60085-2020</t>
        </is>
      </c>
      <c r="B3009" s="1" t="n">
        <v>44152</v>
      </c>
      <c r="C3009" s="1" t="n">
        <v>45357</v>
      </c>
      <c r="D3009" t="inlineStr">
        <is>
          <t>GÄVLEBORGS LÄN</t>
        </is>
      </c>
      <c r="E3009" t="inlineStr">
        <is>
          <t>NORDANSTIG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60075-2020</t>
        </is>
      </c>
      <c r="B3010" s="1" t="n">
        <v>44152</v>
      </c>
      <c r="C3010" s="1" t="n">
        <v>45357</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60249-2020</t>
        </is>
      </c>
      <c r="B3011" s="1" t="n">
        <v>44152</v>
      </c>
      <c r="C3011" s="1" t="n">
        <v>45357</v>
      </c>
      <c r="D3011" t="inlineStr">
        <is>
          <t>GÄVLEBORGS LÄN</t>
        </is>
      </c>
      <c r="E3011" t="inlineStr">
        <is>
          <t>GÄVLE</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60414-2020</t>
        </is>
      </c>
      <c r="B3012" s="1" t="n">
        <v>44153</v>
      </c>
      <c r="C3012" s="1" t="n">
        <v>45357</v>
      </c>
      <c r="D3012" t="inlineStr">
        <is>
          <t>GÄVLEBORGS LÄN</t>
        </is>
      </c>
      <c r="E3012" t="inlineStr">
        <is>
          <t>HUDIKSVALL</t>
        </is>
      </c>
      <c r="F3012" t="inlineStr">
        <is>
          <t>Holmen skog AB</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60720-2020</t>
        </is>
      </c>
      <c r="B3013" s="1" t="n">
        <v>44153</v>
      </c>
      <c r="C3013" s="1" t="n">
        <v>45357</v>
      </c>
      <c r="D3013" t="inlineStr">
        <is>
          <t>GÄVLEBORGS LÄN</t>
        </is>
      </c>
      <c r="E3013" t="inlineStr">
        <is>
          <t>BOLLNÄS</t>
        </is>
      </c>
      <c r="F3013" t="inlineStr">
        <is>
          <t>Kommuner</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60729-2020</t>
        </is>
      </c>
      <c r="B3014" s="1" t="n">
        <v>44153</v>
      </c>
      <c r="C3014" s="1" t="n">
        <v>45357</v>
      </c>
      <c r="D3014" t="inlineStr">
        <is>
          <t>GÄVLEBORGS LÄN</t>
        </is>
      </c>
      <c r="E3014" t="inlineStr">
        <is>
          <t>BOLLNÄS</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60737-2020</t>
        </is>
      </c>
      <c r="B3015" s="1" t="n">
        <v>44153</v>
      </c>
      <c r="C3015" s="1" t="n">
        <v>45357</v>
      </c>
      <c r="D3015" t="inlineStr">
        <is>
          <t>GÄVLEBORGS LÄN</t>
        </is>
      </c>
      <c r="E3015" t="inlineStr">
        <is>
          <t>HUDIKSVALL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60726-2020</t>
        </is>
      </c>
      <c r="B3016" s="1" t="n">
        <v>44153</v>
      </c>
      <c r="C3016" s="1" t="n">
        <v>45357</v>
      </c>
      <c r="D3016" t="inlineStr">
        <is>
          <t>GÄVLEBORGS LÄN</t>
        </is>
      </c>
      <c r="E3016" t="inlineStr">
        <is>
          <t>BOLLNÄS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60717-2020</t>
        </is>
      </c>
      <c r="B3017" s="1" t="n">
        <v>44153</v>
      </c>
      <c r="C3017" s="1" t="n">
        <v>45357</v>
      </c>
      <c r="D3017" t="inlineStr">
        <is>
          <t>GÄVLEBORGS LÄN</t>
        </is>
      </c>
      <c r="E3017" t="inlineStr">
        <is>
          <t>BOLLNÄS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60743-2020</t>
        </is>
      </c>
      <c r="B3018" s="1" t="n">
        <v>44153</v>
      </c>
      <c r="C3018" s="1" t="n">
        <v>45357</v>
      </c>
      <c r="D3018" t="inlineStr">
        <is>
          <t>GÄVLEBORGS LÄN</t>
        </is>
      </c>
      <c r="E3018" t="inlineStr">
        <is>
          <t>OVANÅKER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60908-2020</t>
        </is>
      </c>
      <c r="B3019" s="1" t="n">
        <v>44154</v>
      </c>
      <c r="C3019" s="1" t="n">
        <v>45357</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60951-2020</t>
        </is>
      </c>
      <c r="B3020" s="1" t="n">
        <v>44154</v>
      </c>
      <c r="C3020" s="1" t="n">
        <v>45357</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60953-2020</t>
        </is>
      </c>
      <c r="B3021" s="1" t="n">
        <v>44154</v>
      </c>
      <c r="C3021" s="1" t="n">
        <v>45357</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61313-2020</t>
        </is>
      </c>
      <c r="B3022" s="1" t="n">
        <v>44155</v>
      </c>
      <c r="C3022" s="1" t="n">
        <v>45357</v>
      </c>
      <c r="D3022" t="inlineStr">
        <is>
          <t>GÄVLEBORGS LÄN</t>
        </is>
      </c>
      <c r="E3022" t="inlineStr">
        <is>
          <t>SÖDERHAMN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61668-2020</t>
        </is>
      </c>
      <c r="B3023" s="1" t="n">
        <v>44158</v>
      </c>
      <c r="C3023" s="1" t="n">
        <v>45357</v>
      </c>
      <c r="D3023" t="inlineStr">
        <is>
          <t>GÄVLEBORGS LÄN</t>
        </is>
      </c>
      <c r="E3023" t="inlineStr">
        <is>
          <t>HUDIKSVALL</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61694-2020</t>
        </is>
      </c>
      <c r="B3024" s="1" t="n">
        <v>44158</v>
      </c>
      <c r="C3024" s="1" t="n">
        <v>45357</v>
      </c>
      <c r="D3024" t="inlineStr">
        <is>
          <t>GÄVLEBORGS LÄN</t>
        </is>
      </c>
      <c r="E3024" t="inlineStr">
        <is>
          <t>GÄVLE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61704-2020</t>
        </is>
      </c>
      <c r="B3025" s="1" t="n">
        <v>44158</v>
      </c>
      <c r="C3025" s="1" t="n">
        <v>45357</v>
      </c>
      <c r="D3025" t="inlineStr">
        <is>
          <t>GÄVLEBORGS LÄN</t>
        </is>
      </c>
      <c r="E3025" t="inlineStr">
        <is>
          <t>GÄVLE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61747-2020</t>
        </is>
      </c>
      <c r="B3026" s="1" t="n">
        <v>44158</v>
      </c>
      <c r="C3026" s="1" t="n">
        <v>45357</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61760-2020</t>
        </is>
      </c>
      <c r="B3027" s="1" t="n">
        <v>44158</v>
      </c>
      <c r="C3027" s="1" t="n">
        <v>45357</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62044-2020</t>
        </is>
      </c>
      <c r="B3028" s="1" t="n">
        <v>44158</v>
      </c>
      <c r="C3028" s="1" t="n">
        <v>45357</v>
      </c>
      <c r="D3028" t="inlineStr">
        <is>
          <t>GÄVLEBORGS LÄN</t>
        </is>
      </c>
      <c r="E3028" t="inlineStr">
        <is>
          <t>SÖDERHAMN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61836-2020</t>
        </is>
      </c>
      <c r="B3029" s="1" t="n">
        <v>44159</v>
      </c>
      <c r="C3029" s="1" t="n">
        <v>45357</v>
      </c>
      <c r="D3029" t="inlineStr">
        <is>
          <t>GÄVLEBORGS LÄN</t>
        </is>
      </c>
      <c r="E3029" t="inlineStr">
        <is>
          <t>HOFORS</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61835-2020</t>
        </is>
      </c>
      <c r="B3030" s="1" t="n">
        <v>44159</v>
      </c>
      <c r="C3030" s="1" t="n">
        <v>45357</v>
      </c>
      <c r="D3030" t="inlineStr">
        <is>
          <t>GÄVLEBORGS LÄN</t>
        </is>
      </c>
      <c r="E3030" t="inlineStr">
        <is>
          <t>HOFORS</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61984-2020</t>
        </is>
      </c>
      <c r="B3031" s="1" t="n">
        <v>44159</v>
      </c>
      <c r="C3031" s="1" t="n">
        <v>45357</v>
      </c>
      <c r="D3031" t="inlineStr">
        <is>
          <t>GÄVLEBORGS LÄN</t>
        </is>
      </c>
      <c r="E3031" t="inlineStr">
        <is>
          <t>OVANÅKER</t>
        </is>
      </c>
      <c r="F3031" t="inlineStr">
        <is>
          <t>Bergvik skog öst AB</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62033-2020</t>
        </is>
      </c>
      <c r="B3032" s="1" t="n">
        <v>44159</v>
      </c>
      <c r="C3032" s="1" t="n">
        <v>45357</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62146-2020</t>
        </is>
      </c>
      <c r="B3033" s="1" t="n">
        <v>44159</v>
      </c>
      <c r="C3033" s="1" t="n">
        <v>45357</v>
      </c>
      <c r="D3033" t="inlineStr">
        <is>
          <t>GÄVLEBORGS LÄN</t>
        </is>
      </c>
      <c r="E3033" t="inlineStr">
        <is>
          <t>SÖDERHAMN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62191-2020</t>
        </is>
      </c>
      <c r="B3034" s="1" t="n">
        <v>44159</v>
      </c>
      <c r="C3034" s="1" t="n">
        <v>45357</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62426-2020</t>
        </is>
      </c>
      <c r="B3035" s="1" t="n">
        <v>44160</v>
      </c>
      <c r="C3035" s="1" t="n">
        <v>45357</v>
      </c>
      <c r="D3035" t="inlineStr">
        <is>
          <t>GÄVLEBORGS LÄN</t>
        </is>
      </c>
      <c r="E3035" t="inlineStr">
        <is>
          <t>LJUSDAL</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62475-2020</t>
        </is>
      </c>
      <c r="B3036" s="1" t="n">
        <v>44160</v>
      </c>
      <c r="C3036" s="1" t="n">
        <v>45357</v>
      </c>
      <c r="D3036" t="inlineStr">
        <is>
          <t>GÄVLEBORGS LÄN</t>
        </is>
      </c>
      <c r="E3036" t="inlineStr">
        <is>
          <t>HOFORS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62478-2020</t>
        </is>
      </c>
      <c r="B3037" s="1" t="n">
        <v>44160</v>
      </c>
      <c r="C3037" s="1" t="n">
        <v>45357</v>
      </c>
      <c r="D3037" t="inlineStr">
        <is>
          <t>GÄVLEBORGS LÄN</t>
        </is>
      </c>
      <c r="E3037" t="inlineStr">
        <is>
          <t>OVANÅKER</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62423-2020</t>
        </is>
      </c>
      <c r="B3038" s="1" t="n">
        <v>44160</v>
      </c>
      <c r="C3038" s="1" t="n">
        <v>45357</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62495-2020</t>
        </is>
      </c>
      <c r="B3039" s="1" t="n">
        <v>44160</v>
      </c>
      <c r="C3039" s="1" t="n">
        <v>45357</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62635-2020</t>
        </is>
      </c>
      <c r="B3040" s="1" t="n">
        <v>44161</v>
      </c>
      <c r="C3040" s="1" t="n">
        <v>45357</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62654-2020</t>
        </is>
      </c>
      <c r="B3041" s="1" t="n">
        <v>44161</v>
      </c>
      <c r="C3041" s="1" t="n">
        <v>45357</v>
      </c>
      <c r="D3041" t="inlineStr">
        <is>
          <t>GÄVLEBORGS LÄN</t>
        </is>
      </c>
      <c r="E3041" t="inlineStr">
        <is>
          <t>GÄVLE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62636-2020</t>
        </is>
      </c>
      <c r="B3042" s="1" t="n">
        <v>44161</v>
      </c>
      <c r="C3042" s="1" t="n">
        <v>45357</v>
      </c>
      <c r="D3042" t="inlineStr">
        <is>
          <t>GÄVLEBORGS LÄN</t>
        </is>
      </c>
      <c r="E3042" t="inlineStr">
        <is>
          <t>BOLLNÄS</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62829-2020</t>
        </is>
      </c>
      <c r="B3043" s="1" t="n">
        <v>44161</v>
      </c>
      <c r="C3043" s="1" t="n">
        <v>45357</v>
      </c>
      <c r="D3043" t="inlineStr">
        <is>
          <t>GÄVLEBORGS LÄN</t>
        </is>
      </c>
      <c r="E3043" t="inlineStr">
        <is>
          <t>LJUSDAL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62947-2020</t>
        </is>
      </c>
      <c r="B3044" s="1" t="n">
        <v>44162</v>
      </c>
      <c r="C3044" s="1" t="n">
        <v>45357</v>
      </c>
      <c r="D3044" t="inlineStr">
        <is>
          <t>GÄVLEBORGS LÄN</t>
        </is>
      </c>
      <c r="E3044" t="inlineStr">
        <is>
          <t>LJUSDAL</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62986-2020</t>
        </is>
      </c>
      <c r="B3045" s="1" t="n">
        <v>44162</v>
      </c>
      <c r="C3045" s="1" t="n">
        <v>45357</v>
      </c>
      <c r="D3045" t="inlineStr">
        <is>
          <t>GÄVLEBORGS LÄN</t>
        </is>
      </c>
      <c r="E3045" t="inlineStr">
        <is>
          <t>GÄVLE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63108-2020</t>
        </is>
      </c>
      <c r="B3046" s="1" t="n">
        <v>44162</v>
      </c>
      <c r="C3046" s="1" t="n">
        <v>45357</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62959-2020</t>
        </is>
      </c>
      <c r="B3047" s="1" t="n">
        <v>44162</v>
      </c>
      <c r="C3047" s="1" t="n">
        <v>45357</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63128-2020</t>
        </is>
      </c>
      <c r="B3048" s="1" t="n">
        <v>44162</v>
      </c>
      <c r="C3048" s="1" t="n">
        <v>45357</v>
      </c>
      <c r="D3048" t="inlineStr">
        <is>
          <t>GÄVLEBORGS LÄN</t>
        </is>
      </c>
      <c r="E3048" t="inlineStr">
        <is>
          <t>OVANÅKER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63081-2020</t>
        </is>
      </c>
      <c r="B3049" s="1" t="n">
        <v>44162</v>
      </c>
      <c r="C3049" s="1" t="n">
        <v>45357</v>
      </c>
      <c r="D3049" t="inlineStr">
        <is>
          <t>GÄVLEBORGS LÄN</t>
        </is>
      </c>
      <c r="E3049" t="inlineStr">
        <is>
          <t>LJUSDAL</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63359-2020</t>
        </is>
      </c>
      <c r="B3050" s="1" t="n">
        <v>44165</v>
      </c>
      <c r="C3050" s="1" t="n">
        <v>45357</v>
      </c>
      <c r="D3050" t="inlineStr">
        <is>
          <t>GÄVLEBORGS LÄN</t>
        </is>
      </c>
      <c r="E3050" t="inlineStr">
        <is>
          <t>OCKELBO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63370-2020</t>
        </is>
      </c>
      <c r="B3051" s="1" t="n">
        <v>44165</v>
      </c>
      <c r="C3051" s="1" t="n">
        <v>45357</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63366-2020</t>
        </is>
      </c>
      <c r="B3052" s="1" t="n">
        <v>44165</v>
      </c>
      <c r="C3052" s="1" t="n">
        <v>45357</v>
      </c>
      <c r="D3052" t="inlineStr">
        <is>
          <t>GÄVLEBORGS LÄN</t>
        </is>
      </c>
      <c r="E3052" t="inlineStr">
        <is>
          <t>OCKELBO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63361-2020</t>
        </is>
      </c>
      <c r="B3053" s="1" t="n">
        <v>44165</v>
      </c>
      <c r="C3053" s="1" t="n">
        <v>45357</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63519-2020</t>
        </is>
      </c>
      <c r="B3054" s="1" t="n">
        <v>44165</v>
      </c>
      <c r="C3054" s="1" t="n">
        <v>45357</v>
      </c>
      <c r="D3054" t="inlineStr">
        <is>
          <t>GÄVLEBORGS LÄN</t>
        </is>
      </c>
      <c r="E3054" t="inlineStr">
        <is>
          <t>OCKELBO</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63877-2020</t>
        </is>
      </c>
      <c r="B3055" s="1" t="n">
        <v>44166</v>
      </c>
      <c r="C3055" s="1" t="n">
        <v>45357</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63812-2020</t>
        </is>
      </c>
      <c r="B3056" s="1" t="n">
        <v>44166</v>
      </c>
      <c r="C3056" s="1" t="n">
        <v>45357</v>
      </c>
      <c r="D3056" t="inlineStr">
        <is>
          <t>GÄVLEBORGS LÄN</t>
        </is>
      </c>
      <c r="E3056" t="inlineStr">
        <is>
          <t>OCKELBO</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64307-2020</t>
        </is>
      </c>
      <c r="B3057" s="1" t="n">
        <v>44166</v>
      </c>
      <c r="C3057" s="1" t="n">
        <v>45357</v>
      </c>
      <c r="D3057" t="inlineStr">
        <is>
          <t>GÄVLEBORGS LÄN</t>
        </is>
      </c>
      <c r="E3057" t="inlineStr">
        <is>
          <t>LJUSDAL</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64088-2020</t>
        </is>
      </c>
      <c r="B3058" s="1" t="n">
        <v>44167</v>
      </c>
      <c r="C3058" s="1" t="n">
        <v>45357</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64117-2020</t>
        </is>
      </c>
      <c r="B3059" s="1" t="n">
        <v>44167</v>
      </c>
      <c r="C3059" s="1" t="n">
        <v>45357</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63951-2020</t>
        </is>
      </c>
      <c r="B3060" s="1" t="n">
        <v>44167</v>
      </c>
      <c r="C3060" s="1" t="n">
        <v>45357</v>
      </c>
      <c r="D3060" t="inlineStr">
        <is>
          <t>GÄVLEBORGS LÄN</t>
        </is>
      </c>
      <c r="E3060" t="inlineStr">
        <is>
          <t>HOFORS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63963-2020</t>
        </is>
      </c>
      <c r="B3061" s="1" t="n">
        <v>44167</v>
      </c>
      <c r="C3061" s="1" t="n">
        <v>45357</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64008-2020</t>
        </is>
      </c>
      <c r="B3062" s="1" t="n">
        <v>44167</v>
      </c>
      <c r="C3062" s="1" t="n">
        <v>45357</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64044-2020</t>
        </is>
      </c>
      <c r="B3063" s="1" t="n">
        <v>44167</v>
      </c>
      <c r="C3063" s="1" t="n">
        <v>45357</v>
      </c>
      <c r="D3063" t="inlineStr">
        <is>
          <t>GÄVLEBORGS LÄN</t>
        </is>
      </c>
      <c r="E3063" t="inlineStr">
        <is>
          <t>OVANÅKER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64010-2020</t>
        </is>
      </c>
      <c r="B3064" s="1" t="n">
        <v>44167</v>
      </c>
      <c r="C3064" s="1" t="n">
        <v>45357</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64040-2020</t>
        </is>
      </c>
      <c r="B3065" s="1" t="n">
        <v>44167</v>
      </c>
      <c r="C3065" s="1" t="n">
        <v>45357</v>
      </c>
      <c r="D3065" t="inlineStr">
        <is>
          <t>GÄVLEBORGS LÄN</t>
        </is>
      </c>
      <c r="E3065" t="inlineStr">
        <is>
          <t>LJUSDAL</t>
        </is>
      </c>
      <c r="F3065" t="inlineStr">
        <is>
          <t>Bergvik skog väst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64175-2020</t>
        </is>
      </c>
      <c r="B3066" s="1" t="n">
        <v>44167</v>
      </c>
      <c r="C3066" s="1" t="n">
        <v>45357</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64173-2020</t>
        </is>
      </c>
      <c r="B3067" s="1" t="n">
        <v>44167</v>
      </c>
      <c r="C3067" s="1" t="n">
        <v>45357</v>
      </c>
      <c r="D3067" t="inlineStr">
        <is>
          <t>GÄVLEBORGS LÄN</t>
        </is>
      </c>
      <c r="E3067" t="inlineStr">
        <is>
          <t>NORDANSTIG</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64284-2020</t>
        </is>
      </c>
      <c r="B3068" s="1" t="n">
        <v>44168</v>
      </c>
      <c r="C3068" s="1" t="n">
        <v>45357</v>
      </c>
      <c r="D3068" t="inlineStr">
        <is>
          <t>GÄVLEBORGS LÄN</t>
        </is>
      </c>
      <c r="E3068" t="inlineStr">
        <is>
          <t>OCKELBO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64289-2020</t>
        </is>
      </c>
      <c r="B3069" s="1" t="n">
        <v>44168</v>
      </c>
      <c r="C3069" s="1" t="n">
        <v>45357</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64350-2020</t>
        </is>
      </c>
      <c r="B3070" s="1" t="n">
        <v>44168</v>
      </c>
      <c r="C3070" s="1" t="n">
        <v>45357</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64387-2020</t>
        </is>
      </c>
      <c r="B3071" s="1" t="n">
        <v>44168</v>
      </c>
      <c r="C3071" s="1" t="n">
        <v>45357</v>
      </c>
      <c r="D3071" t="inlineStr">
        <is>
          <t>GÄVLEBORGS LÄN</t>
        </is>
      </c>
      <c r="E3071" t="inlineStr">
        <is>
          <t>SANDVIKEN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64512-2020</t>
        </is>
      </c>
      <c r="B3072" s="1" t="n">
        <v>44168</v>
      </c>
      <c r="C3072" s="1" t="n">
        <v>45357</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64685-2020</t>
        </is>
      </c>
      <c r="B3073" s="1" t="n">
        <v>44169</v>
      </c>
      <c r="C3073" s="1" t="n">
        <v>45357</v>
      </c>
      <c r="D3073" t="inlineStr">
        <is>
          <t>GÄVLEBORGS LÄN</t>
        </is>
      </c>
      <c r="E3073" t="inlineStr">
        <is>
          <t>BOLLNÄS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64654-2020</t>
        </is>
      </c>
      <c r="B3074" s="1" t="n">
        <v>44169</v>
      </c>
      <c r="C3074" s="1" t="n">
        <v>45357</v>
      </c>
      <c r="D3074" t="inlineStr">
        <is>
          <t>GÄVLEBORGS LÄN</t>
        </is>
      </c>
      <c r="E3074" t="inlineStr">
        <is>
          <t>OVANÅKER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64730-2020</t>
        </is>
      </c>
      <c r="B3075" s="1" t="n">
        <v>44169</v>
      </c>
      <c r="C3075" s="1" t="n">
        <v>45357</v>
      </c>
      <c r="D3075" t="inlineStr">
        <is>
          <t>GÄVLEBORGS LÄN</t>
        </is>
      </c>
      <c r="E3075" t="inlineStr">
        <is>
          <t>OVANÅKER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64860-2020</t>
        </is>
      </c>
      <c r="B3076" s="1" t="n">
        <v>44171</v>
      </c>
      <c r="C3076" s="1" t="n">
        <v>45357</v>
      </c>
      <c r="D3076" t="inlineStr">
        <is>
          <t>GÄVLEBORGS LÄN</t>
        </is>
      </c>
      <c r="E3076" t="inlineStr">
        <is>
          <t>SANDVIKEN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64905-2020</t>
        </is>
      </c>
      <c r="B3077" s="1" t="n">
        <v>44172</v>
      </c>
      <c r="C3077" s="1" t="n">
        <v>45357</v>
      </c>
      <c r="D3077" t="inlineStr">
        <is>
          <t>GÄVLEBORGS LÄN</t>
        </is>
      </c>
      <c r="E3077" t="inlineStr">
        <is>
          <t>HUDIKSVALL</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64967-2020</t>
        </is>
      </c>
      <c r="B3078" s="1" t="n">
        <v>44172</v>
      </c>
      <c r="C3078" s="1" t="n">
        <v>45357</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65221-2020</t>
        </is>
      </c>
      <c r="B3079" s="1" t="n">
        <v>44172</v>
      </c>
      <c r="C3079" s="1" t="n">
        <v>45357</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65025-2020</t>
        </is>
      </c>
      <c r="B3080" s="1" t="n">
        <v>44172</v>
      </c>
      <c r="C3080" s="1" t="n">
        <v>45357</v>
      </c>
      <c r="D3080" t="inlineStr">
        <is>
          <t>GÄVLEBORGS LÄN</t>
        </is>
      </c>
      <c r="E3080" t="inlineStr">
        <is>
          <t>SANDVIKEN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65038-2020</t>
        </is>
      </c>
      <c r="B3081" s="1" t="n">
        <v>44172</v>
      </c>
      <c r="C3081" s="1" t="n">
        <v>45357</v>
      </c>
      <c r="D3081" t="inlineStr">
        <is>
          <t>GÄVLEBORGS LÄN</t>
        </is>
      </c>
      <c r="E3081" t="inlineStr">
        <is>
          <t>HUDIKSVALL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65089-2020</t>
        </is>
      </c>
      <c r="B3082" s="1" t="n">
        <v>44172</v>
      </c>
      <c r="C3082" s="1" t="n">
        <v>45357</v>
      </c>
      <c r="D3082" t="inlineStr">
        <is>
          <t>GÄVLEBORGS LÄN</t>
        </is>
      </c>
      <c r="E3082" t="inlineStr">
        <is>
          <t>NORDANSTIG</t>
        </is>
      </c>
      <c r="F3082" t="inlineStr">
        <is>
          <t>Holmen skog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65259-2020</t>
        </is>
      </c>
      <c r="B3083" s="1" t="n">
        <v>44172</v>
      </c>
      <c r="C3083" s="1" t="n">
        <v>45357</v>
      </c>
      <c r="D3083" t="inlineStr">
        <is>
          <t>GÄVLEBORGS LÄN</t>
        </is>
      </c>
      <c r="E3083" t="inlineStr">
        <is>
          <t>NORDANSTIG</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65684-2020</t>
        </is>
      </c>
      <c r="B3084" s="1" t="n">
        <v>44172</v>
      </c>
      <c r="C3084" s="1" t="n">
        <v>45357</v>
      </c>
      <c r="D3084" t="inlineStr">
        <is>
          <t>GÄVLEBORGS LÄN</t>
        </is>
      </c>
      <c r="E3084" t="inlineStr">
        <is>
          <t>OCKELBO</t>
        </is>
      </c>
      <c r="G3084" t="n">
        <v>2.8</v>
      </c>
      <c r="H3084" t="n">
        <v>0</v>
      </c>
      <c r="I3084" t="n">
        <v>0</v>
      </c>
      <c r="J3084" t="n">
        <v>0</v>
      </c>
      <c r="K3084" t="n">
        <v>0</v>
      </c>
      <c r="L3084" t="n">
        <v>0</v>
      </c>
      <c r="M3084" t="n">
        <v>0</v>
      </c>
      <c r="N3084" t="n">
        <v>0</v>
      </c>
      <c r="O3084" t="n">
        <v>0</v>
      </c>
      <c r="P3084" t="n">
        <v>0</v>
      </c>
      <c r="Q3084" t="n">
        <v>0</v>
      </c>
      <c r="R3084" s="2" t="inlineStr"/>
      <c r="U3084">
        <f>HYPERLINK("https://klasma.github.io/Logging_2101/knärot/A 65684-2020 karta knärot.png", "A 65684-2020")</f>
        <v/>
      </c>
      <c r="V3084">
        <f>HYPERLINK("https://klasma.github.io/Logging_2101/klagomål/A 65684-2020 FSC-klagomål.docx", "A 65684-2020")</f>
        <v/>
      </c>
      <c r="W3084">
        <f>HYPERLINK("https://klasma.github.io/Logging_2101/klagomålsmail/A 65684-2020 FSC-klagomål mail.docx", "A 65684-2020")</f>
        <v/>
      </c>
      <c r="X3084">
        <f>HYPERLINK("https://klasma.github.io/Logging_2101/tillsyn/A 65684-2020 tillsynsbegäran.docx", "A 65684-2020")</f>
        <v/>
      </c>
      <c r="Y3084">
        <f>HYPERLINK("https://klasma.github.io/Logging_2101/tillsynsmail/A 65684-2020 tillsynsbegäran mail.docx", "A 65684-2020")</f>
        <v/>
      </c>
    </row>
    <row r="3085" ht="15" customHeight="1">
      <c r="A3085" t="inlineStr">
        <is>
          <t>A 65531-2020</t>
        </is>
      </c>
      <c r="B3085" s="1" t="n">
        <v>44173</v>
      </c>
      <c r="C3085" s="1" t="n">
        <v>45357</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65806-2020</t>
        </is>
      </c>
      <c r="B3086" s="1" t="n">
        <v>44174</v>
      </c>
      <c r="C3086" s="1" t="n">
        <v>45357</v>
      </c>
      <c r="D3086" t="inlineStr">
        <is>
          <t>GÄVLEBORGS LÄN</t>
        </is>
      </c>
      <c r="E3086" t="inlineStr">
        <is>
          <t>OVANÅKER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65835-2020</t>
        </is>
      </c>
      <c r="B3087" s="1" t="n">
        <v>44174</v>
      </c>
      <c r="C3087" s="1" t="n">
        <v>45357</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65689-2020</t>
        </is>
      </c>
      <c r="B3088" s="1" t="n">
        <v>44174</v>
      </c>
      <c r="C3088" s="1" t="n">
        <v>45357</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65802-2020</t>
        </is>
      </c>
      <c r="B3089" s="1" t="n">
        <v>44174</v>
      </c>
      <c r="C3089" s="1" t="n">
        <v>45357</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65837-2020</t>
        </is>
      </c>
      <c r="B3090" s="1" t="n">
        <v>44174</v>
      </c>
      <c r="C3090" s="1" t="n">
        <v>45357</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65862-2020</t>
        </is>
      </c>
      <c r="B3091" s="1" t="n">
        <v>44174</v>
      </c>
      <c r="C3091" s="1" t="n">
        <v>45357</v>
      </c>
      <c r="D3091" t="inlineStr">
        <is>
          <t>GÄVLEBORGS LÄN</t>
        </is>
      </c>
      <c r="E3091" t="inlineStr">
        <is>
          <t>LJUSDAL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65842-2020</t>
        </is>
      </c>
      <c r="B3092" s="1" t="n">
        <v>44174</v>
      </c>
      <c r="C3092" s="1" t="n">
        <v>45357</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65841-2020</t>
        </is>
      </c>
      <c r="B3093" s="1" t="n">
        <v>44174</v>
      </c>
      <c r="C3093" s="1" t="n">
        <v>45357</v>
      </c>
      <c r="D3093" t="inlineStr">
        <is>
          <t>GÄVLEBORGS LÄN</t>
        </is>
      </c>
      <c r="E3093" t="inlineStr">
        <is>
          <t>HUDIKSVALL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65865-2020</t>
        </is>
      </c>
      <c r="B3094" s="1" t="n">
        <v>44174</v>
      </c>
      <c r="C3094" s="1" t="n">
        <v>45357</v>
      </c>
      <c r="D3094" t="inlineStr">
        <is>
          <t>GÄVLEBORGS LÄN</t>
        </is>
      </c>
      <c r="E3094" t="inlineStr">
        <is>
          <t>LJUSDAL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66101-2020</t>
        </is>
      </c>
      <c r="B3095" s="1" t="n">
        <v>44175</v>
      </c>
      <c r="C3095" s="1" t="n">
        <v>45357</v>
      </c>
      <c r="D3095" t="inlineStr">
        <is>
          <t>GÄVLEBORGS LÄN</t>
        </is>
      </c>
      <c r="E3095" t="inlineStr">
        <is>
          <t>SÖDERHAMN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66006-2020</t>
        </is>
      </c>
      <c r="B3096" s="1" t="n">
        <v>44175</v>
      </c>
      <c r="C3096" s="1" t="n">
        <v>45357</v>
      </c>
      <c r="D3096" t="inlineStr">
        <is>
          <t>GÄVLEBORGS LÄN</t>
        </is>
      </c>
      <c r="E3096" t="inlineStr">
        <is>
          <t>GÄVLE</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66346-2020</t>
        </is>
      </c>
      <c r="B3097" s="1" t="n">
        <v>44176</v>
      </c>
      <c r="C3097" s="1" t="n">
        <v>45357</v>
      </c>
      <c r="D3097" t="inlineStr">
        <is>
          <t>GÄVLEBORGS LÄN</t>
        </is>
      </c>
      <c r="E3097" t="inlineStr">
        <is>
          <t>GÄVLE</t>
        </is>
      </c>
      <c r="F3097" t="inlineStr">
        <is>
          <t>Bergvik skog öst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66343-2020</t>
        </is>
      </c>
      <c r="B3098" s="1" t="n">
        <v>44176</v>
      </c>
      <c r="C3098" s="1" t="n">
        <v>45357</v>
      </c>
      <c r="D3098" t="inlineStr">
        <is>
          <t>GÄVLEBORGS LÄN</t>
        </is>
      </c>
      <c r="E3098" t="inlineStr">
        <is>
          <t>GÄVLE</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66442-2020</t>
        </is>
      </c>
      <c r="B3099" s="1" t="n">
        <v>44176</v>
      </c>
      <c r="C3099" s="1" t="n">
        <v>45357</v>
      </c>
      <c r="D3099" t="inlineStr">
        <is>
          <t>GÄVLEBORGS LÄN</t>
        </is>
      </c>
      <c r="E3099" t="inlineStr">
        <is>
          <t>OCKELBO</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66342-2020</t>
        </is>
      </c>
      <c r="B3100" s="1" t="n">
        <v>44176</v>
      </c>
      <c r="C3100" s="1" t="n">
        <v>45357</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66279-2020</t>
        </is>
      </c>
      <c r="B3101" s="1" t="n">
        <v>44176</v>
      </c>
      <c r="C3101" s="1" t="n">
        <v>45357</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67015-2020</t>
        </is>
      </c>
      <c r="B3102" s="1" t="n">
        <v>44176</v>
      </c>
      <c r="C3102" s="1" t="n">
        <v>45357</v>
      </c>
      <c r="D3102" t="inlineStr">
        <is>
          <t>GÄVLEBORGS LÄN</t>
        </is>
      </c>
      <c r="E3102" t="inlineStr">
        <is>
          <t>OCKELBO</t>
        </is>
      </c>
      <c r="G3102" t="n">
        <v>21.8</v>
      </c>
      <c r="H3102" t="n">
        <v>0</v>
      </c>
      <c r="I3102" t="n">
        <v>0</v>
      </c>
      <c r="J3102" t="n">
        <v>0</v>
      </c>
      <c r="K3102" t="n">
        <v>0</v>
      </c>
      <c r="L3102" t="n">
        <v>0</v>
      </c>
      <c r="M3102" t="n">
        <v>0</v>
      </c>
      <c r="N3102" t="n">
        <v>0</v>
      </c>
      <c r="O3102" t="n">
        <v>0</v>
      </c>
      <c r="P3102" t="n">
        <v>0</v>
      </c>
      <c r="Q3102" t="n">
        <v>0</v>
      </c>
      <c r="R3102" s="2" t="inlineStr"/>
    </row>
    <row r="3103" ht="15" customHeight="1">
      <c r="A3103" t="inlineStr">
        <is>
          <t>A 66458-2020</t>
        </is>
      </c>
      <c r="B3103" s="1" t="n">
        <v>44176</v>
      </c>
      <c r="C3103" s="1" t="n">
        <v>45357</v>
      </c>
      <c r="D3103" t="inlineStr">
        <is>
          <t>GÄVLEBORGS LÄN</t>
        </is>
      </c>
      <c r="E3103" t="inlineStr">
        <is>
          <t>SÖDERHAMN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66468-2020</t>
        </is>
      </c>
      <c r="B3104" s="1" t="n">
        <v>44176</v>
      </c>
      <c r="C3104" s="1" t="n">
        <v>45357</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66274-2020</t>
        </is>
      </c>
      <c r="B3105" s="1" t="n">
        <v>44176</v>
      </c>
      <c r="C3105" s="1" t="n">
        <v>45357</v>
      </c>
      <c r="D3105" t="inlineStr">
        <is>
          <t>GÄVLEBORGS LÄN</t>
        </is>
      </c>
      <c r="E3105" t="inlineStr">
        <is>
          <t>OCKELBO</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66490-2020</t>
        </is>
      </c>
      <c r="B3106" s="1" t="n">
        <v>44177</v>
      </c>
      <c r="C3106" s="1" t="n">
        <v>45357</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66491-2020</t>
        </is>
      </c>
      <c r="B3107" s="1" t="n">
        <v>44177</v>
      </c>
      <c r="C3107" s="1" t="n">
        <v>45357</v>
      </c>
      <c r="D3107" t="inlineStr">
        <is>
          <t>GÄVLEBORGS LÄN</t>
        </is>
      </c>
      <c r="E3107" t="inlineStr">
        <is>
          <t>HUDIKSVALL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66577-2020</t>
        </is>
      </c>
      <c r="B3108" s="1" t="n">
        <v>44179</v>
      </c>
      <c r="C3108" s="1" t="n">
        <v>45357</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66584-2020</t>
        </is>
      </c>
      <c r="B3109" s="1" t="n">
        <v>44179</v>
      </c>
      <c r="C3109" s="1" t="n">
        <v>45357</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66611-2020</t>
        </is>
      </c>
      <c r="B3110" s="1" t="n">
        <v>44179</v>
      </c>
      <c r="C3110" s="1" t="n">
        <v>45357</v>
      </c>
      <c r="D3110" t="inlineStr">
        <is>
          <t>GÄVLEBORGS LÄN</t>
        </is>
      </c>
      <c r="E3110" t="inlineStr">
        <is>
          <t>OCKELBO</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66690-2020</t>
        </is>
      </c>
      <c r="B3111" s="1" t="n">
        <v>44179</v>
      </c>
      <c r="C3111" s="1" t="n">
        <v>45357</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66735-2020</t>
        </is>
      </c>
      <c r="B3112" s="1" t="n">
        <v>44179</v>
      </c>
      <c r="C3112" s="1" t="n">
        <v>45357</v>
      </c>
      <c r="D3112" t="inlineStr">
        <is>
          <t>GÄVLEBORGS LÄN</t>
        </is>
      </c>
      <c r="E3112" t="inlineStr">
        <is>
          <t>LJUSDAL</t>
        </is>
      </c>
      <c r="F3112" t="inlineStr">
        <is>
          <t>Holmen skog AB</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66800-2020</t>
        </is>
      </c>
      <c r="B3113" s="1" t="n">
        <v>44179</v>
      </c>
      <c r="C3113" s="1" t="n">
        <v>45357</v>
      </c>
      <c r="D3113" t="inlineStr">
        <is>
          <t>GÄVLEBORGS LÄN</t>
        </is>
      </c>
      <c r="E3113" t="inlineStr">
        <is>
          <t>SÖDERHAMN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67069-2020</t>
        </is>
      </c>
      <c r="B3114" s="1" t="n">
        <v>44180</v>
      </c>
      <c r="C3114" s="1" t="n">
        <v>45357</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67128-2020</t>
        </is>
      </c>
      <c r="B3115" s="1" t="n">
        <v>44180</v>
      </c>
      <c r="C3115" s="1" t="n">
        <v>45357</v>
      </c>
      <c r="D3115" t="inlineStr">
        <is>
          <t>GÄVLEBORGS LÄN</t>
        </is>
      </c>
      <c r="E3115" t="inlineStr">
        <is>
          <t>BOLLNÄS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66902-2020</t>
        </is>
      </c>
      <c r="B3116" s="1" t="n">
        <v>44180</v>
      </c>
      <c r="C3116" s="1" t="n">
        <v>45357</v>
      </c>
      <c r="D3116" t="inlineStr">
        <is>
          <t>GÄVLEBORGS LÄN</t>
        </is>
      </c>
      <c r="E3116" t="inlineStr">
        <is>
          <t>SANDVIKEN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66980-2020</t>
        </is>
      </c>
      <c r="B3117" s="1" t="n">
        <v>44180</v>
      </c>
      <c r="C3117" s="1" t="n">
        <v>45357</v>
      </c>
      <c r="D3117" t="inlineStr">
        <is>
          <t>GÄVLEBORGS LÄN</t>
        </is>
      </c>
      <c r="E3117" t="inlineStr">
        <is>
          <t>BOLLNÄS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66995-2020</t>
        </is>
      </c>
      <c r="B3118" s="1" t="n">
        <v>44180</v>
      </c>
      <c r="C3118" s="1" t="n">
        <v>45357</v>
      </c>
      <c r="D3118" t="inlineStr">
        <is>
          <t>GÄVLEBORGS LÄN</t>
        </is>
      </c>
      <c r="E3118" t="inlineStr">
        <is>
          <t>HUDIKSVALL</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67064-2020</t>
        </is>
      </c>
      <c r="B3119" s="1" t="n">
        <v>44180</v>
      </c>
      <c r="C3119" s="1" t="n">
        <v>45357</v>
      </c>
      <c r="D3119" t="inlineStr">
        <is>
          <t>GÄVLEBORGS LÄN</t>
        </is>
      </c>
      <c r="E3119" t="inlineStr">
        <is>
          <t>BOLLNÄS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67146-2020</t>
        </is>
      </c>
      <c r="B3120" s="1" t="n">
        <v>44180</v>
      </c>
      <c r="C3120" s="1" t="n">
        <v>45357</v>
      </c>
      <c r="D3120" t="inlineStr">
        <is>
          <t>GÄVLEBORGS LÄN</t>
        </is>
      </c>
      <c r="E3120" t="inlineStr">
        <is>
          <t>HUDIKSVALL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67152-2020</t>
        </is>
      </c>
      <c r="B3121" s="1" t="n">
        <v>44180</v>
      </c>
      <c r="C3121" s="1" t="n">
        <v>45357</v>
      </c>
      <c r="D3121" t="inlineStr">
        <is>
          <t>GÄVLEBORGS LÄN</t>
        </is>
      </c>
      <c r="E3121" t="inlineStr">
        <is>
          <t>HUDIKSVALL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67171-2020</t>
        </is>
      </c>
      <c r="B3122" s="1" t="n">
        <v>44180</v>
      </c>
      <c r="C3122" s="1" t="n">
        <v>45357</v>
      </c>
      <c r="D3122" t="inlineStr">
        <is>
          <t>GÄVLEBORGS LÄN</t>
        </is>
      </c>
      <c r="E3122" t="inlineStr">
        <is>
          <t>LJUSDAL</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67475-2020</t>
        </is>
      </c>
      <c r="B3123" s="1" t="n">
        <v>44181</v>
      </c>
      <c r="C3123" s="1" t="n">
        <v>45357</v>
      </c>
      <c r="D3123" t="inlineStr">
        <is>
          <t>GÄVLEBORGS LÄN</t>
        </is>
      </c>
      <c r="E3123" t="inlineStr">
        <is>
          <t>OVANÅKER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67558-2020</t>
        </is>
      </c>
      <c r="B3124" s="1" t="n">
        <v>44181</v>
      </c>
      <c r="C3124" s="1" t="n">
        <v>45357</v>
      </c>
      <c r="D3124" t="inlineStr">
        <is>
          <t>GÄVLEBORGS LÄN</t>
        </is>
      </c>
      <c r="E3124" t="inlineStr">
        <is>
          <t>HUDIKSVALL</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67779-2020</t>
        </is>
      </c>
      <c r="B3125" s="1" t="n">
        <v>44182</v>
      </c>
      <c r="C3125" s="1" t="n">
        <v>45357</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67761-2020</t>
        </is>
      </c>
      <c r="B3126" s="1" t="n">
        <v>44182</v>
      </c>
      <c r="C3126" s="1" t="n">
        <v>45357</v>
      </c>
      <c r="D3126" t="inlineStr">
        <is>
          <t>GÄVLEBORGS LÄN</t>
        </is>
      </c>
      <c r="E3126" t="inlineStr">
        <is>
          <t>OCKELBO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68137-2020</t>
        </is>
      </c>
      <c r="B3127" s="1" t="n">
        <v>44183</v>
      </c>
      <c r="C3127" s="1" t="n">
        <v>45357</v>
      </c>
      <c r="D3127" t="inlineStr">
        <is>
          <t>GÄVLEBORGS LÄN</t>
        </is>
      </c>
      <c r="E3127" t="inlineStr">
        <is>
          <t>HUDIKSVALL</t>
        </is>
      </c>
      <c r="F3127" t="inlineStr">
        <is>
          <t>Holmen skog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68228-2020</t>
        </is>
      </c>
      <c r="B3128" s="1" t="n">
        <v>44183</v>
      </c>
      <c r="C3128" s="1" t="n">
        <v>45357</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68382-2020</t>
        </is>
      </c>
      <c r="B3129" s="1" t="n">
        <v>44186</v>
      </c>
      <c r="C3129" s="1" t="n">
        <v>45357</v>
      </c>
      <c r="D3129" t="inlineStr">
        <is>
          <t>GÄVLEBORGS LÄN</t>
        </is>
      </c>
      <c r="E3129" t="inlineStr">
        <is>
          <t>BOLLNÄS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68397-2020</t>
        </is>
      </c>
      <c r="B3130" s="1" t="n">
        <v>44186</v>
      </c>
      <c r="C3130" s="1" t="n">
        <v>45357</v>
      </c>
      <c r="D3130" t="inlineStr">
        <is>
          <t>GÄVLEBORGS LÄN</t>
        </is>
      </c>
      <c r="E3130" t="inlineStr">
        <is>
          <t>HOFORS</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68599-2020</t>
        </is>
      </c>
      <c r="B3131" s="1" t="n">
        <v>44186</v>
      </c>
      <c r="C3131" s="1" t="n">
        <v>45357</v>
      </c>
      <c r="D3131" t="inlineStr">
        <is>
          <t>GÄVLEBORGS LÄN</t>
        </is>
      </c>
      <c r="E3131" t="inlineStr">
        <is>
          <t>HUDIKSVALL</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68578-2020</t>
        </is>
      </c>
      <c r="B3132" s="1" t="n">
        <v>44186</v>
      </c>
      <c r="C3132" s="1" t="n">
        <v>45357</v>
      </c>
      <c r="D3132" t="inlineStr">
        <is>
          <t>GÄVLEBORGS LÄN</t>
        </is>
      </c>
      <c r="E3132" t="inlineStr">
        <is>
          <t>OCKELBO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68574-2020</t>
        </is>
      </c>
      <c r="B3133" s="1" t="n">
        <v>44186</v>
      </c>
      <c r="C3133" s="1" t="n">
        <v>45357</v>
      </c>
      <c r="D3133" t="inlineStr">
        <is>
          <t>GÄVLEBORGS LÄN</t>
        </is>
      </c>
      <c r="E3133" t="inlineStr">
        <is>
          <t>OCKELBO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68728-2020</t>
        </is>
      </c>
      <c r="B3134" s="1" t="n">
        <v>44187</v>
      </c>
      <c r="C3134" s="1" t="n">
        <v>45357</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68723-2020</t>
        </is>
      </c>
      <c r="B3135" s="1" t="n">
        <v>44187</v>
      </c>
      <c r="C3135" s="1" t="n">
        <v>45357</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68735-2020</t>
        </is>
      </c>
      <c r="B3136" s="1" t="n">
        <v>44187</v>
      </c>
      <c r="C3136" s="1" t="n">
        <v>45357</v>
      </c>
      <c r="D3136" t="inlineStr">
        <is>
          <t>GÄVLEBORGS LÄN</t>
        </is>
      </c>
      <c r="E3136" t="inlineStr">
        <is>
          <t>BOLLNÄS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68781-2020</t>
        </is>
      </c>
      <c r="B3137" s="1" t="n">
        <v>44187</v>
      </c>
      <c r="C3137" s="1" t="n">
        <v>45357</v>
      </c>
      <c r="D3137" t="inlineStr">
        <is>
          <t>GÄVLEBORGS LÄN</t>
        </is>
      </c>
      <c r="E3137" t="inlineStr">
        <is>
          <t>SÖDERHAMN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68791-2020</t>
        </is>
      </c>
      <c r="B3138" s="1" t="n">
        <v>44187</v>
      </c>
      <c r="C3138" s="1" t="n">
        <v>45357</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68734-2020</t>
        </is>
      </c>
      <c r="B3139" s="1" t="n">
        <v>44187</v>
      </c>
      <c r="C3139" s="1" t="n">
        <v>45357</v>
      </c>
      <c r="D3139" t="inlineStr">
        <is>
          <t>GÄVLEBORGS LÄN</t>
        </is>
      </c>
      <c r="E3139" t="inlineStr">
        <is>
          <t>BOLLNÄS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68787-2020</t>
        </is>
      </c>
      <c r="B3140" s="1" t="n">
        <v>44187</v>
      </c>
      <c r="C3140" s="1" t="n">
        <v>45357</v>
      </c>
      <c r="D3140" t="inlineStr">
        <is>
          <t>GÄVLEBORGS LÄN</t>
        </is>
      </c>
      <c r="E3140" t="inlineStr">
        <is>
          <t>SANDVIKEN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69304-2020</t>
        </is>
      </c>
      <c r="B3141" s="1" t="n">
        <v>44188</v>
      </c>
      <c r="C3141" s="1" t="n">
        <v>45357</v>
      </c>
      <c r="D3141" t="inlineStr">
        <is>
          <t>GÄVLEBORGS LÄN</t>
        </is>
      </c>
      <c r="E3141" t="inlineStr">
        <is>
          <t>OVANÅKER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69010-2020</t>
        </is>
      </c>
      <c r="B3142" s="1" t="n">
        <v>44188</v>
      </c>
      <c r="C3142" s="1" t="n">
        <v>45357</v>
      </c>
      <c r="D3142" t="inlineStr">
        <is>
          <t>GÄVLEBORGS LÄN</t>
        </is>
      </c>
      <c r="E3142" t="inlineStr">
        <is>
          <t>OCKELBO</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69086-2020</t>
        </is>
      </c>
      <c r="B3143" s="1" t="n">
        <v>44188</v>
      </c>
      <c r="C3143" s="1" t="n">
        <v>45357</v>
      </c>
      <c r="D3143" t="inlineStr">
        <is>
          <t>GÄVLEBORGS LÄN</t>
        </is>
      </c>
      <c r="E3143" t="inlineStr">
        <is>
          <t>NORDANSTIG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68989-2020</t>
        </is>
      </c>
      <c r="B3144" s="1" t="n">
        <v>44188</v>
      </c>
      <c r="C3144" s="1" t="n">
        <v>45357</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69185-2020</t>
        </is>
      </c>
      <c r="B3145" s="1" t="n">
        <v>44190</v>
      </c>
      <c r="C3145" s="1" t="n">
        <v>45357</v>
      </c>
      <c r="D3145" t="inlineStr">
        <is>
          <t>GÄVLEBORGS LÄN</t>
        </is>
      </c>
      <c r="E3145" t="inlineStr">
        <is>
          <t>NORDANSTIG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69186-2020</t>
        </is>
      </c>
      <c r="B3146" s="1" t="n">
        <v>44190</v>
      </c>
      <c r="C3146" s="1" t="n">
        <v>45357</v>
      </c>
      <c r="D3146" t="inlineStr">
        <is>
          <t>GÄVLEBORGS LÄN</t>
        </is>
      </c>
      <c r="E3146" t="inlineStr">
        <is>
          <t>NORDANSTIG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69187-2020</t>
        </is>
      </c>
      <c r="B3147" s="1" t="n">
        <v>44190</v>
      </c>
      <c r="C3147" s="1" t="n">
        <v>45357</v>
      </c>
      <c r="D3147" t="inlineStr">
        <is>
          <t>GÄVLEBORGS LÄN</t>
        </is>
      </c>
      <c r="E3147" t="inlineStr">
        <is>
          <t>NORDANSTIG</t>
        </is>
      </c>
      <c r="G3147" t="n">
        <v>15.6</v>
      </c>
      <c r="H3147" t="n">
        <v>0</v>
      </c>
      <c r="I3147" t="n">
        <v>0</v>
      </c>
      <c r="J3147" t="n">
        <v>0</v>
      </c>
      <c r="K3147" t="n">
        <v>0</v>
      </c>
      <c r="L3147" t="n">
        <v>0</v>
      </c>
      <c r="M3147" t="n">
        <v>0</v>
      </c>
      <c r="N3147" t="n">
        <v>0</v>
      </c>
      <c r="O3147" t="n">
        <v>0</v>
      </c>
      <c r="P3147" t="n">
        <v>0</v>
      </c>
      <c r="Q3147" t="n">
        <v>0</v>
      </c>
      <c r="R3147" s="2" t="inlineStr"/>
    </row>
    <row r="3148" ht="15" customHeight="1">
      <c r="A3148" t="inlineStr">
        <is>
          <t>A 69184-2020</t>
        </is>
      </c>
      <c r="B3148" s="1" t="n">
        <v>44190</v>
      </c>
      <c r="C3148" s="1" t="n">
        <v>45357</v>
      </c>
      <c r="D3148" t="inlineStr">
        <is>
          <t>GÄVLEBORGS LÄN</t>
        </is>
      </c>
      <c r="E3148" t="inlineStr">
        <is>
          <t>NORDANSTIG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69210-2020</t>
        </is>
      </c>
      <c r="B3149" s="1" t="n">
        <v>44191</v>
      </c>
      <c r="C3149" s="1" t="n">
        <v>45357</v>
      </c>
      <c r="D3149" t="inlineStr">
        <is>
          <t>GÄVLEBORGS LÄN</t>
        </is>
      </c>
      <c r="E3149" t="inlineStr">
        <is>
          <t>GÄVLE</t>
        </is>
      </c>
      <c r="F3149" t="inlineStr">
        <is>
          <t>Kommuner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69206-2020</t>
        </is>
      </c>
      <c r="B3150" s="1" t="n">
        <v>44191</v>
      </c>
      <c r="C3150" s="1" t="n">
        <v>45357</v>
      </c>
      <c r="D3150" t="inlineStr">
        <is>
          <t>GÄVLEBORGS LÄN</t>
        </is>
      </c>
      <c r="E3150" t="inlineStr">
        <is>
          <t>GÄVLE</t>
        </is>
      </c>
      <c r="F3150" t="inlineStr">
        <is>
          <t>Kommuner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69216-2020</t>
        </is>
      </c>
      <c r="B3151" s="1" t="n">
        <v>44192</v>
      </c>
      <c r="C3151" s="1" t="n">
        <v>45357</v>
      </c>
      <c r="D3151" t="inlineStr">
        <is>
          <t>GÄVLEBORGS LÄN</t>
        </is>
      </c>
      <c r="E3151" t="inlineStr">
        <is>
          <t>GÄVLE</t>
        </is>
      </c>
      <c r="F3151" t="inlineStr">
        <is>
          <t>Kommuner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69254-2020</t>
        </is>
      </c>
      <c r="B3152" s="1" t="n">
        <v>44192</v>
      </c>
      <c r="C3152" s="1" t="n">
        <v>45357</v>
      </c>
      <c r="D3152" t="inlineStr">
        <is>
          <t>GÄVLEBORGS LÄN</t>
        </is>
      </c>
      <c r="E3152" t="inlineStr">
        <is>
          <t>GÄVLE</t>
        </is>
      </c>
      <c r="F3152" t="inlineStr">
        <is>
          <t>Kommuner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69252-2020</t>
        </is>
      </c>
      <c r="B3153" s="1" t="n">
        <v>44192</v>
      </c>
      <c r="C3153" s="1" t="n">
        <v>45357</v>
      </c>
      <c r="D3153" t="inlineStr">
        <is>
          <t>GÄVLEBORGS LÄN</t>
        </is>
      </c>
      <c r="E3153" t="inlineStr">
        <is>
          <t>GÄVLE</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69262-2020</t>
        </is>
      </c>
      <c r="B3154" s="1" t="n">
        <v>44192</v>
      </c>
      <c r="C3154" s="1" t="n">
        <v>45357</v>
      </c>
      <c r="D3154" t="inlineStr">
        <is>
          <t>GÄVLEBORGS LÄN</t>
        </is>
      </c>
      <c r="E3154" t="inlineStr">
        <is>
          <t>SÖDERHAMN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69215-2020</t>
        </is>
      </c>
      <c r="B3155" s="1" t="n">
        <v>44192</v>
      </c>
      <c r="C3155" s="1" t="n">
        <v>45357</v>
      </c>
      <c r="D3155" t="inlineStr">
        <is>
          <t>GÄVLEBORGS LÄN</t>
        </is>
      </c>
      <c r="E3155" t="inlineStr">
        <is>
          <t>GÄVLE</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69253-2020</t>
        </is>
      </c>
      <c r="B3156" s="1" t="n">
        <v>44192</v>
      </c>
      <c r="C3156" s="1" t="n">
        <v>45357</v>
      </c>
      <c r="D3156" t="inlineStr">
        <is>
          <t>GÄVLEBORGS LÄN</t>
        </is>
      </c>
      <c r="E3156" t="inlineStr">
        <is>
          <t>GÄVLE</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69219-2020</t>
        </is>
      </c>
      <c r="B3157" s="1" t="n">
        <v>44192</v>
      </c>
      <c r="C3157" s="1" t="n">
        <v>45357</v>
      </c>
      <c r="D3157" t="inlineStr">
        <is>
          <t>GÄVLEBORGS LÄN</t>
        </is>
      </c>
      <c r="E3157" t="inlineStr">
        <is>
          <t>GÄVLE</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69251-2020</t>
        </is>
      </c>
      <c r="B3158" s="1" t="n">
        <v>44192</v>
      </c>
      <c r="C3158" s="1" t="n">
        <v>45357</v>
      </c>
      <c r="D3158" t="inlineStr">
        <is>
          <t>GÄVLEBORGS LÄN</t>
        </is>
      </c>
      <c r="E3158" t="inlineStr">
        <is>
          <t>GÄVLE</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69255-2020</t>
        </is>
      </c>
      <c r="B3159" s="1" t="n">
        <v>44192</v>
      </c>
      <c r="C3159" s="1" t="n">
        <v>45357</v>
      </c>
      <c r="D3159" t="inlineStr">
        <is>
          <t>GÄVLEBORGS LÄN</t>
        </is>
      </c>
      <c r="E3159" t="inlineStr">
        <is>
          <t>GÄVLE</t>
        </is>
      </c>
      <c r="F3159" t="inlineStr">
        <is>
          <t>Kommuner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69302-2020</t>
        </is>
      </c>
      <c r="B3160" s="1" t="n">
        <v>44193</v>
      </c>
      <c r="C3160" s="1" t="n">
        <v>45357</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69432-2020</t>
        </is>
      </c>
      <c r="B3161" s="1" t="n">
        <v>44194</v>
      </c>
      <c r="C3161" s="1" t="n">
        <v>45357</v>
      </c>
      <c r="D3161" t="inlineStr">
        <is>
          <t>GÄVLEBORGS LÄN</t>
        </is>
      </c>
      <c r="E3161" t="inlineStr">
        <is>
          <t>BOLLNÄS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69571-2020</t>
        </is>
      </c>
      <c r="B3162" s="1" t="n">
        <v>44194</v>
      </c>
      <c r="C3162" s="1" t="n">
        <v>45357</v>
      </c>
      <c r="D3162" t="inlineStr">
        <is>
          <t>GÄVLEBORGS LÄN</t>
        </is>
      </c>
      <c r="E3162" t="inlineStr">
        <is>
          <t>LJUSDAL</t>
        </is>
      </c>
      <c r="G3162" t="n">
        <v>2.2</v>
      </c>
      <c r="H3162" t="n">
        <v>0</v>
      </c>
      <c r="I3162" t="n">
        <v>0</v>
      </c>
      <c r="J3162" t="n">
        <v>0</v>
      </c>
      <c r="K3162" t="n">
        <v>0</v>
      </c>
      <c r="L3162" t="n">
        <v>0</v>
      </c>
      <c r="M3162" t="n">
        <v>0</v>
      </c>
      <c r="N3162" t="n">
        <v>0</v>
      </c>
      <c r="O3162" t="n">
        <v>0</v>
      </c>
      <c r="P3162" t="n">
        <v>0</v>
      </c>
      <c r="Q3162" t="n">
        <v>0</v>
      </c>
      <c r="R3162" s="2" t="inlineStr"/>
      <c r="U3162">
        <f>HYPERLINK("https://klasma.github.io/Logging_2161/knärot/A 69571-2020 karta knärot.png", "A 69571-2020")</f>
        <v/>
      </c>
      <c r="V3162">
        <f>HYPERLINK("https://klasma.github.io/Logging_2161/klagomål/A 69571-2020 FSC-klagomål.docx", "A 69571-2020")</f>
        <v/>
      </c>
      <c r="W3162">
        <f>HYPERLINK("https://klasma.github.io/Logging_2161/klagomålsmail/A 69571-2020 FSC-klagomål mail.docx", "A 69571-2020")</f>
        <v/>
      </c>
      <c r="X3162">
        <f>HYPERLINK("https://klasma.github.io/Logging_2161/tillsyn/A 69571-2020 tillsynsbegäran.docx", "A 69571-2020")</f>
        <v/>
      </c>
      <c r="Y3162">
        <f>HYPERLINK("https://klasma.github.io/Logging_2161/tillsynsmail/A 69571-2020 tillsynsbegäran mail.docx", "A 69571-2020")</f>
        <v/>
      </c>
    </row>
    <row r="3163" ht="15" customHeight="1">
      <c r="A3163" t="inlineStr">
        <is>
          <t>A 69569-2020</t>
        </is>
      </c>
      <c r="B3163" s="1" t="n">
        <v>44194</v>
      </c>
      <c r="C3163" s="1" t="n">
        <v>45357</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69627-2020</t>
        </is>
      </c>
      <c r="B3164" s="1" t="n">
        <v>44195</v>
      </c>
      <c r="C3164" s="1" t="n">
        <v>45357</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69656-2020</t>
        </is>
      </c>
      <c r="B3165" s="1" t="n">
        <v>44195</v>
      </c>
      <c r="C3165" s="1" t="n">
        <v>45357</v>
      </c>
      <c r="D3165" t="inlineStr">
        <is>
          <t>GÄVLEBORGS LÄN</t>
        </is>
      </c>
      <c r="E3165" t="inlineStr">
        <is>
          <t>HUDIKSVALL</t>
        </is>
      </c>
      <c r="F3165" t="inlineStr">
        <is>
          <t>Holmen skog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69660-2020</t>
        </is>
      </c>
      <c r="B3166" s="1" t="n">
        <v>44195</v>
      </c>
      <c r="C3166" s="1" t="n">
        <v>45357</v>
      </c>
      <c r="D3166" t="inlineStr">
        <is>
          <t>GÄVLEBORGS LÄN</t>
        </is>
      </c>
      <c r="E3166" t="inlineStr">
        <is>
          <t>HUDIKSVALL</t>
        </is>
      </c>
      <c r="F3166" t="inlineStr">
        <is>
          <t>Holmen skog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69675-2020</t>
        </is>
      </c>
      <c r="B3167" s="1" t="n">
        <v>44196</v>
      </c>
      <c r="C3167" s="1" t="n">
        <v>45357</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54-2021</t>
        </is>
      </c>
      <c r="B3168" s="1" t="n">
        <v>44199</v>
      </c>
      <c r="C3168" s="1" t="n">
        <v>45357</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219-2021</t>
        </is>
      </c>
      <c r="B3169" s="1" t="n">
        <v>44200</v>
      </c>
      <c r="C3169" s="1" t="n">
        <v>45357</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237-2021</t>
        </is>
      </c>
      <c r="B3170" s="1" t="n">
        <v>44200</v>
      </c>
      <c r="C3170" s="1" t="n">
        <v>45357</v>
      </c>
      <c r="D3170" t="inlineStr">
        <is>
          <t>GÄVLEBORGS LÄN</t>
        </is>
      </c>
      <c r="E3170" t="inlineStr">
        <is>
          <t>SÖDERHAMN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242-2021</t>
        </is>
      </c>
      <c r="B3171" s="1" t="n">
        <v>44200</v>
      </c>
      <c r="C3171" s="1" t="n">
        <v>45357</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220-2021</t>
        </is>
      </c>
      <c r="B3172" s="1" t="n">
        <v>44200</v>
      </c>
      <c r="C3172" s="1" t="n">
        <v>45357</v>
      </c>
      <c r="D3172" t="inlineStr">
        <is>
          <t>GÄVLEBORGS LÄN</t>
        </is>
      </c>
      <c r="E3172" t="inlineStr">
        <is>
          <t>SANDVIKEN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247-2021</t>
        </is>
      </c>
      <c r="B3173" s="1" t="n">
        <v>44200</v>
      </c>
      <c r="C3173" s="1" t="n">
        <v>45357</v>
      </c>
      <c r="D3173" t="inlineStr">
        <is>
          <t>GÄVLEBORGS LÄN</t>
        </is>
      </c>
      <c r="E3173" t="inlineStr">
        <is>
          <t>GÄVLE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404-2021</t>
        </is>
      </c>
      <c r="B3174" s="1" t="n">
        <v>44201</v>
      </c>
      <c r="C3174" s="1" t="n">
        <v>45357</v>
      </c>
      <c r="D3174" t="inlineStr">
        <is>
          <t>GÄVLEBORGS LÄN</t>
        </is>
      </c>
      <c r="E3174" t="inlineStr">
        <is>
          <t>HUDIKSVALL</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399-2021</t>
        </is>
      </c>
      <c r="B3175" s="1" t="n">
        <v>44201</v>
      </c>
      <c r="C3175" s="1" t="n">
        <v>45357</v>
      </c>
      <c r="D3175" t="inlineStr">
        <is>
          <t>GÄVLEBORGS LÄN</t>
        </is>
      </c>
      <c r="E3175" t="inlineStr">
        <is>
          <t>SÖDERHAMN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580-2021</t>
        </is>
      </c>
      <c r="B3176" s="1" t="n">
        <v>44201</v>
      </c>
      <c r="C3176" s="1" t="n">
        <v>45357</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541-2021</t>
        </is>
      </c>
      <c r="B3177" s="1" t="n">
        <v>44203</v>
      </c>
      <c r="C3177" s="1" t="n">
        <v>45357</v>
      </c>
      <c r="D3177" t="inlineStr">
        <is>
          <t>GÄVLEBORGS LÄN</t>
        </is>
      </c>
      <c r="E3177" t="inlineStr">
        <is>
          <t>BOLLNÄS</t>
        </is>
      </c>
      <c r="F3177" t="inlineStr">
        <is>
          <t>Bergvik skog väst AB</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605-2021</t>
        </is>
      </c>
      <c r="B3178" s="1" t="n">
        <v>44203</v>
      </c>
      <c r="C3178" s="1" t="n">
        <v>45357</v>
      </c>
      <c r="D3178" t="inlineStr">
        <is>
          <t>GÄVLEBORGS LÄN</t>
        </is>
      </c>
      <c r="E3178" t="inlineStr">
        <is>
          <t>NORDANSTIG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629-2021</t>
        </is>
      </c>
      <c r="B3179" s="1" t="n">
        <v>44203</v>
      </c>
      <c r="C3179" s="1" t="n">
        <v>45357</v>
      </c>
      <c r="D3179" t="inlineStr">
        <is>
          <t>GÄVLEBORGS LÄN</t>
        </is>
      </c>
      <c r="E3179" t="inlineStr">
        <is>
          <t>BOLLNÄS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545-2021</t>
        </is>
      </c>
      <c r="B3180" s="1" t="n">
        <v>44203</v>
      </c>
      <c r="C3180" s="1" t="n">
        <v>45357</v>
      </c>
      <c r="D3180" t="inlineStr">
        <is>
          <t>GÄVLEBORGS LÄN</t>
        </is>
      </c>
      <c r="E3180" t="inlineStr">
        <is>
          <t>BOLLNÄS</t>
        </is>
      </c>
      <c r="F3180" t="inlineStr">
        <is>
          <t>Bergvik skog väst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652-2021</t>
        </is>
      </c>
      <c r="B3181" s="1" t="n">
        <v>44203</v>
      </c>
      <c r="C3181" s="1" t="n">
        <v>45357</v>
      </c>
      <c r="D3181" t="inlineStr">
        <is>
          <t>GÄVLEBORGS LÄN</t>
        </is>
      </c>
      <c r="E3181" t="inlineStr">
        <is>
          <t>BOLLNÄS</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546-2021</t>
        </is>
      </c>
      <c r="B3182" s="1" t="n">
        <v>44203</v>
      </c>
      <c r="C3182" s="1" t="n">
        <v>45357</v>
      </c>
      <c r="D3182" t="inlineStr">
        <is>
          <t>GÄVLEBORGS LÄN</t>
        </is>
      </c>
      <c r="E3182" t="inlineStr">
        <is>
          <t>BOLLNÄS</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783-2021</t>
        </is>
      </c>
      <c r="B3183" s="1" t="n">
        <v>44203</v>
      </c>
      <c r="C3183" s="1" t="n">
        <v>45357</v>
      </c>
      <c r="D3183" t="inlineStr">
        <is>
          <t>GÄVLEBORGS LÄN</t>
        </is>
      </c>
      <c r="E3183" t="inlineStr">
        <is>
          <t>LJUSDAL</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777-2021</t>
        </is>
      </c>
      <c r="B3184" s="1" t="n">
        <v>44203</v>
      </c>
      <c r="C3184" s="1" t="n">
        <v>45357</v>
      </c>
      <c r="D3184" t="inlineStr">
        <is>
          <t>GÄVLEBORGS LÄN</t>
        </is>
      </c>
      <c r="E3184" t="inlineStr">
        <is>
          <t>HUDIKSVALL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748-2021</t>
        </is>
      </c>
      <c r="B3185" s="1" t="n">
        <v>44204</v>
      </c>
      <c r="C3185" s="1" t="n">
        <v>45357</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795-2021</t>
        </is>
      </c>
      <c r="B3186" s="1" t="n">
        <v>44204</v>
      </c>
      <c r="C3186" s="1" t="n">
        <v>45357</v>
      </c>
      <c r="D3186" t="inlineStr">
        <is>
          <t>GÄVLEBORGS LÄN</t>
        </is>
      </c>
      <c r="E3186" t="inlineStr">
        <is>
          <t>GÄVLE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730-2021</t>
        </is>
      </c>
      <c r="B3187" s="1" t="n">
        <v>44204</v>
      </c>
      <c r="C3187" s="1" t="n">
        <v>45357</v>
      </c>
      <c r="D3187" t="inlineStr">
        <is>
          <t>GÄVLEBORGS LÄN</t>
        </is>
      </c>
      <c r="E3187" t="inlineStr">
        <is>
          <t>BOLLNÄS</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840-2021</t>
        </is>
      </c>
      <c r="B3188" s="1" t="n">
        <v>44204</v>
      </c>
      <c r="C3188" s="1" t="n">
        <v>45357</v>
      </c>
      <c r="D3188" t="inlineStr">
        <is>
          <t>GÄVLEBORGS LÄN</t>
        </is>
      </c>
      <c r="E3188" t="inlineStr">
        <is>
          <t>BOLLNÄS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955-2021</t>
        </is>
      </c>
      <c r="B3189" s="1" t="n">
        <v>44207</v>
      </c>
      <c r="C3189" s="1" t="n">
        <v>45357</v>
      </c>
      <c r="D3189" t="inlineStr">
        <is>
          <t>GÄVLEBORGS LÄN</t>
        </is>
      </c>
      <c r="E3189" t="inlineStr">
        <is>
          <t>BOLLNÄS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1024-2021</t>
        </is>
      </c>
      <c r="B3190" s="1" t="n">
        <v>44207</v>
      </c>
      <c r="C3190" s="1" t="n">
        <v>45357</v>
      </c>
      <c r="D3190" t="inlineStr">
        <is>
          <t>GÄVLEBORGS LÄN</t>
        </is>
      </c>
      <c r="E3190" t="inlineStr">
        <is>
          <t>NORDANSTIG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1081-2021</t>
        </is>
      </c>
      <c r="B3191" s="1" t="n">
        <v>44207</v>
      </c>
      <c r="C3191" s="1" t="n">
        <v>45357</v>
      </c>
      <c r="D3191" t="inlineStr">
        <is>
          <t>GÄVLEBORGS LÄN</t>
        </is>
      </c>
      <c r="E3191" t="inlineStr">
        <is>
          <t>BOLLNÄS</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1196-2021</t>
        </is>
      </c>
      <c r="B3192" s="1" t="n">
        <v>44208</v>
      </c>
      <c r="C3192" s="1" t="n">
        <v>45357</v>
      </c>
      <c r="D3192" t="inlineStr">
        <is>
          <t>GÄVLEBORGS LÄN</t>
        </is>
      </c>
      <c r="E3192" t="inlineStr">
        <is>
          <t>LJUSDAL</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1236-2021</t>
        </is>
      </c>
      <c r="B3193" s="1" t="n">
        <v>44208</v>
      </c>
      <c r="C3193" s="1" t="n">
        <v>45357</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1204-2021</t>
        </is>
      </c>
      <c r="B3194" s="1" t="n">
        <v>44208</v>
      </c>
      <c r="C3194" s="1" t="n">
        <v>45357</v>
      </c>
      <c r="D3194" t="inlineStr">
        <is>
          <t>GÄVLEBORGS LÄN</t>
        </is>
      </c>
      <c r="E3194" t="inlineStr">
        <is>
          <t>BOLLNÄS</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1190-2021</t>
        </is>
      </c>
      <c r="B3195" s="1" t="n">
        <v>44208</v>
      </c>
      <c r="C3195" s="1" t="n">
        <v>45357</v>
      </c>
      <c r="D3195" t="inlineStr">
        <is>
          <t>GÄVLEBORGS LÄN</t>
        </is>
      </c>
      <c r="E3195" t="inlineStr">
        <is>
          <t>NORDANSTIG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1373-2021</t>
        </is>
      </c>
      <c r="B3196" s="1" t="n">
        <v>44208</v>
      </c>
      <c r="C3196" s="1" t="n">
        <v>45357</v>
      </c>
      <c r="D3196" t="inlineStr">
        <is>
          <t>GÄVLEBORGS LÄN</t>
        </is>
      </c>
      <c r="E3196" t="inlineStr">
        <is>
          <t>NORDANSTIG</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1354-2021</t>
        </is>
      </c>
      <c r="B3197" s="1" t="n">
        <v>44208</v>
      </c>
      <c r="C3197" s="1" t="n">
        <v>45357</v>
      </c>
      <c r="D3197" t="inlineStr">
        <is>
          <t>GÄVLEBORGS LÄN</t>
        </is>
      </c>
      <c r="E3197" t="inlineStr">
        <is>
          <t>OCKELBO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1408-2021</t>
        </is>
      </c>
      <c r="B3198" s="1" t="n">
        <v>44208</v>
      </c>
      <c r="C3198" s="1" t="n">
        <v>45357</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1569-2021</t>
        </is>
      </c>
      <c r="B3199" s="1" t="n">
        <v>44208</v>
      </c>
      <c r="C3199" s="1" t="n">
        <v>45357</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1358-2021</t>
        </is>
      </c>
      <c r="B3200" s="1" t="n">
        <v>44208</v>
      </c>
      <c r="C3200" s="1" t="n">
        <v>45357</v>
      </c>
      <c r="D3200" t="inlineStr">
        <is>
          <t>GÄVLEBORGS LÄN</t>
        </is>
      </c>
      <c r="E3200" t="inlineStr">
        <is>
          <t>BOLLNÄS</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1509-2021</t>
        </is>
      </c>
      <c r="B3201" s="1" t="n">
        <v>44209</v>
      </c>
      <c r="C3201" s="1" t="n">
        <v>45357</v>
      </c>
      <c r="D3201" t="inlineStr">
        <is>
          <t>GÄVLEBORGS LÄN</t>
        </is>
      </c>
      <c r="E3201" t="inlineStr">
        <is>
          <t>SÖDERHAMN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1520-2021</t>
        </is>
      </c>
      <c r="B3202" s="1" t="n">
        <v>44209</v>
      </c>
      <c r="C3202" s="1" t="n">
        <v>45357</v>
      </c>
      <c r="D3202" t="inlineStr">
        <is>
          <t>GÄVLEBORGS LÄN</t>
        </is>
      </c>
      <c r="E3202" t="inlineStr">
        <is>
          <t>BOLLNÄS</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1537-2021</t>
        </is>
      </c>
      <c r="B3203" s="1" t="n">
        <v>44209</v>
      </c>
      <c r="C3203" s="1" t="n">
        <v>45357</v>
      </c>
      <c r="D3203" t="inlineStr">
        <is>
          <t>GÄVLEBORGS LÄN</t>
        </is>
      </c>
      <c r="E3203" t="inlineStr">
        <is>
          <t>SÖDERHAMN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1850-2021</t>
        </is>
      </c>
      <c r="B3204" s="1" t="n">
        <v>44210</v>
      </c>
      <c r="C3204" s="1" t="n">
        <v>45357</v>
      </c>
      <c r="D3204" t="inlineStr">
        <is>
          <t>GÄVLEBORGS LÄN</t>
        </is>
      </c>
      <c r="E3204" t="inlineStr">
        <is>
          <t>BOLLNÄS</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1842-2021</t>
        </is>
      </c>
      <c r="B3205" s="1" t="n">
        <v>44210</v>
      </c>
      <c r="C3205" s="1" t="n">
        <v>45357</v>
      </c>
      <c r="D3205" t="inlineStr">
        <is>
          <t>GÄVLEBORGS LÄN</t>
        </is>
      </c>
      <c r="E3205" t="inlineStr">
        <is>
          <t>HUDIKSVALL</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2158-2021</t>
        </is>
      </c>
      <c r="B3206" s="1" t="n">
        <v>44211</v>
      </c>
      <c r="C3206" s="1" t="n">
        <v>45357</v>
      </c>
      <c r="D3206" t="inlineStr">
        <is>
          <t>GÄVLEBORGS LÄN</t>
        </is>
      </c>
      <c r="E3206" t="inlineStr">
        <is>
          <t>BOLLNÄS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2152-2021</t>
        </is>
      </c>
      <c r="B3207" s="1" t="n">
        <v>44211</v>
      </c>
      <c r="C3207" s="1" t="n">
        <v>45357</v>
      </c>
      <c r="D3207" t="inlineStr">
        <is>
          <t>GÄVLEBORGS LÄN</t>
        </is>
      </c>
      <c r="E3207" t="inlineStr">
        <is>
          <t>HUDIKSVALL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2167-2021</t>
        </is>
      </c>
      <c r="B3208" s="1" t="n">
        <v>44211</v>
      </c>
      <c r="C3208" s="1" t="n">
        <v>45357</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2450-2021</t>
        </is>
      </c>
      <c r="B3209" s="1" t="n">
        <v>44214</v>
      </c>
      <c r="C3209" s="1" t="n">
        <v>45357</v>
      </c>
      <c r="D3209" t="inlineStr">
        <is>
          <t>GÄVLEBORGS LÄN</t>
        </is>
      </c>
      <c r="E3209" t="inlineStr">
        <is>
          <t>SÖDERHAMN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2901-2021</t>
        </is>
      </c>
      <c r="B3210" s="1" t="n">
        <v>44216</v>
      </c>
      <c r="C3210" s="1" t="n">
        <v>45357</v>
      </c>
      <c r="D3210" t="inlineStr">
        <is>
          <t>GÄVLEBORGS LÄN</t>
        </is>
      </c>
      <c r="E3210" t="inlineStr">
        <is>
          <t>GÄVLE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2993-2021</t>
        </is>
      </c>
      <c r="B3211" s="1" t="n">
        <v>44216</v>
      </c>
      <c r="C3211" s="1" t="n">
        <v>45357</v>
      </c>
      <c r="D3211" t="inlineStr">
        <is>
          <t>GÄVLEBORGS LÄN</t>
        </is>
      </c>
      <c r="E3211" t="inlineStr">
        <is>
          <t>HUDIKSVALL</t>
        </is>
      </c>
      <c r="F3211" t="inlineStr">
        <is>
          <t>Naturvårdsverket</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2994-2021</t>
        </is>
      </c>
      <c r="B3212" s="1" t="n">
        <v>44216</v>
      </c>
      <c r="C3212" s="1" t="n">
        <v>45357</v>
      </c>
      <c r="D3212" t="inlineStr">
        <is>
          <t>GÄVLEBORGS LÄN</t>
        </is>
      </c>
      <c r="E3212" t="inlineStr">
        <is>
          <t>HUDIKSVALL</t>
        </is>
      </c>
      <c r="F3212" t="inlineStr">
        <is>
          <t>Naturvårdsverket</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3121-2021</t>
        </is>
      </c>
      <c r="B3213" s="1" t="n">
        <v>44217</v>
      </c>
      <c r="C3213" s="1" t="n">
        <v>45357</v>
      </c>
      <c r="D3213" t="inlineStr">
        <is>
          <t>GÄVLEBORGS LÄN</t>
        </is>
      </c>
      <c r="E3213" t="inlineStr">
        <is>
          <t>SÖDERHAMN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3207-2021</t>
        </is>
      </c>
      <c r="B3214" s="1" t="n">
        <v>44217</v>
      </c>
      <c r="C3214" s="1" t="n">
        <v>45357</v>
      </c>
      <c r="D3214" t="inlineStr">
        <is>
          <t>GÄVLEBORGS LÄN</t>
        </is>
      </c>
      <c r="E3214" t="inlineStr">
        <is>
          <t>LJUSDAL</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3136-2021</t>
        </is>
      </c>
      <c r="B3215" s="1" t="n">
        <v>44217</v>
      </c>
      <c r="C3215" s="1" t="n">
        <v>45357</v>
      </c>
      <c r="D3215" t="inlineStr">
        <is>
          <t>GÄVLEBORGS LÄN</t>
        </is>
      </c>
      <c r="E3215" t="inlineStr">
        <is>
          <t>SÖDERHAMN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3400-2021</t>
        </is>
      </c>
      <c r="B3216" s="1" t="n">
        <v>44218</v>
      </c>
      <c r="C3216" s="1" t="n">
        <v>45357</v>
      </c>
      <c r="D3216" t="inlineStr">
        <is>
          <t>GÄVLEBORGS LÄN</t>
        </is>
      </c>
      <c r="E3216" t="inlineStr">
        <is>
          <t>BOLLNÄS</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3427-2021</t>
        </is>
      </c>
      <c r="B3217" s="1" t="n">
        <v>44218</v>
      </c>
      <c r="C3217" s="1" t="n">
        <v>45357</v>
      </c>
      <c r="D3217" t="inlineStr">
        <is>
          <t>GÄVLEBORGS LÄN</t>
        </is>
      </c>
      <c r="E3217" t="inlineStr">
        <is>
          <t>SÖDERHAMN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3401-2021</t>
        </is>
      </c>
      <c r="B3218" s="1" t="n">
        <v>44218</v>
      </c>
      <c r="C3218" s="1" t="n">
        <v>45357</v>
      </c>
      <c r="D3218" t="inlineStr">
        <is>
          <t>GÄVLEBORGS LÄN</t>
        </is>
      </c>
      <c r="E3218" t="inlineStr">
        <is>
          <t>SÖDERHAMN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3411-2021</t>
        </is>
      </c>
      <c r="B3219" s="1" t="n">
        <v>44218</v>
      </c>
      <c r="C3219" s="1" t="n">
        <v>45357</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3418-2021</t>
        </is>
      </c>
      <c r="B3220" s="1" t="n">
        <v>44218</v>
      </c>
      <c r="C3220" s="1" t="n">
        <v>45357</v>
      </c>
      <c r="D3220" t="inlineStr">
        <is>
          <t>GÄVLEBORGS LÄN</t>
        </is>
      </c>
      <c r="E3220" t="inlineStr">
        <is>
          <t>SÖDERHAMN</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3456-2021</t>
        </is>
      </c>
      <c r="B3221" s="1" t="n">
        <v>44218</v>
      </c>
      <c r="C3221" s="1" t="n">
        <v>45357</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3509-2021</t>
        </is>
      </c>
      <c r="B3222" s="1" t="n">
        <v>44218</v>
      </c>
      <c r="C3222" s="1" t="n">
        <v>45357</v>
      </c>
      <c r="D3222" t="inlineStr">
        <is>
          <t>GÄVLEBORGS LÄN</t>
        </is>
      </c>
      <c r="E3222" t="inlineStr">
        <is>
          <t>NORDANSTIG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4040-2021</t>
        </is>
      </c>
      <c r="B3223" s="1" t="n">
        <v>44218</v>
      </c>
      <c r="C3223" s="1" t="n">
        <v>45357</v>
      </c>
      <c r="D3223" t="inlineStr">
        <is>
          <t>GÄVLEBORGS LÄN</t>
        </is>
      </c>
      <c r="E3223" t="inlineStr">
        <is>
          <t>SÖDERHAMN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4042-2021</t>
        </is>
      </c>
      <c r="B3224" s="1" t="n">
        <v>44218</v>
      </c>
      <c r="C3224" s="1" t="n">
        <v>45357</v>
      </c>
      <c r="D3224" t="inlineStr">
        <is>
          <t>GÄVLEBORGS LÄN</t>
        </is>
      </c>
      <c r="E3224" t="inlineStr">
        <is>
          <t>SÖDERHAMN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4045-2021</t>
        </is>
      </c>
      <c r="B3225" s="1" t="n">
        <v>44218</v>
      </c>
      <c r="C3225" s="1" t="n">
        <v>45357</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4035-2021</t>
        </is>
      </c>
      <c r="B3226" s="1" t="n">
        <v>44218</v>
      </c>
      <c r="C3226" s="1" t="n">
        <v>45357</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4047-2021</t>
        </is>
      </c>
      <c r="B3227" s="1" t="n">
        <v>44218</v>
      </c>
      <c r="C3227" s="1" t="n">
        <v>45357</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3663-2021</t>
        </is>
      </c>
      <c r="B3228" s="1" t="n">
        <v>44221</v>
      </c>
      <c r="C3228" s="1" t="n">
        <v>45357</v>
      </c>
      <c r="D3228" t="inlineStr">
        <is>
          <t>GÄVLEBORGS LÄN</t>
        </is>
      </c>
      <c r="E3228" t="inlineStr">
        <is>
          <t>LJUSDAL</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3698-2021</t>
        </is>
      </c>
      <c r="B3229" s="1" t="n">
        <v>44221</v>
      </c>
      <c r="C3229" s="1" t="n">
        <v>45357</v>
      </c>
      <c r="D3229" t="inlineStr">
        <is>
          <t>GÄVLEBORGS LÄN</t>
        </is>
      </c>
      <c r="E3229" t="inlineStr">
        <is>
          <t>HUDIKSVALL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3705-2021</t>
        </is>
      </c>
      <c r="B3230" s="1" t="n">
        <v>44221</v>
      </c>
      <c r="C3230" s="1" t="n">
        <v>45357</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3802-2021</t>
        </is>
      </c>
      <c r="B3231" s="1" t="n">
        <v>44221</v>
      </c>
      <c r="C3231" s="1" t="n">
        <v>45357</v>
      </c>
      <c r="D3231" t="inlineStr">
        <is>
          <t>GÄVLEBORGS LÄN</t>
        </is>
      </c>
      <c r="E3231" t="inlineStr">
        <is>
          <t>HOFORS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3828-2021</t>
        </is>
      </c>
      <c r="B3232" s="1" t="n">
        <v>44222</v>
      </c>
      <c r="C3232" s="1" t="n">
        <v>45357</v>
      </c>
      <c r="D3232" t="inlineStr">
        <is>
          <t>GÄVLEBORGS LÄN</t>
        </is>
      </c>
      <c r="E3232" t="inlineStr">
        <is>
          <t>OVANÅKER</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4287-2021</t>
        </is>
      </c>
      <c r="B3233" s="1" t="n">
        <v>44223</v>
      </c>
      <c r="C3233" s="1" t="n">
        <v>45357</v>
      </c>
      <c r="D3233" t="inlineStr">
        <is>
          <t>GÄVLEBORGS LÄN</t>
        </is>
      </c>
      <c r="E3233" t="inlineStr">
        <is>
          <t>OVANÅKER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4137-2021</t>
        </is>
      </c>
      <c r="B3234" s="1" t="n">
        <v>44223</v>
      </c>
      <c r="C3234" s="1" t="n">
        <v>45357</v>
      </c>
      <c r="D3234" t="inlineStr">
        <is>
          <t>GÄVLEBORGS LÄN</t>
        </is>
      </c>
      <c r="E3234" t="inlineStr">
        <is>
          <t>HUDIKSVALL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4341-2021</t>
        </is>
      </c>
      <c r="B3235" s="1" t="n">
        <v>44223</v>
      </c>
      <c r="C3235" s="1" t="n">
        <v>45357</v>
      </c>
      <c r="D3235" t="inlineStr">
        <is>
          <t>GÄVLEBORGS LÄN</t>
        </is>
      </c>
      <c r="E3235" t="inlineStr">
        <is>
          <t>LJUSDAL</t>
        </is>
      </c>
      <c r="F3235" t="inlineStr">
        <is>
          <t>Kommuner</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4277-2021</t>
        </is>
      </c>
      <c r="B3236" s="1" t="n">
        <v>44223</v>
      </c>
      <c r="C3236" s="1" t="n">
        <v>45357</v>
      </c>
      <c r="D3236" t="inlineStr">
        <is>
          <t>GÄVLEBORGS LÄN</t>
        </is>
      </c>
      <c r="E3236" t="inlineStr">
        <is>
          <t>GÄVLE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4366-2021</t>
        </is>
      </c>
      <c r="B3237" s="1" t="n">
        <v>44223</v>
      </c>
      <c r="C3237" s="1" t="n">
        <v>45357</v>
      </c>
      <c r="D3237" t="inlineStr">
        <is>
          <t>GÄVLEBORGS LÄN</t>
        </is>
      </c>
      <c r="E3237" t="inlineStr">
        <is>
          <t>NORDANSTIG</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4421-2021</t>
        </is>
      </c>
      <c r="B3238" s="1" t="n">
        <v>44224</v>
      </c>
      <c r="C3238" s="1" t="n">
        <v>45357</v>
      </c>
      <c r="D3238" t="inlineStr">
        <is>
          <t>GÄVLEBORGS LÄN</t>
        </is>
      </c>
      <c r="E3238" t="inlineStr">
        <is>
          <t>BOLLNÄS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4866-2021</t>
        </is>
      </c>
      <c r="B3239" s="1" t="n">
        <v>44225</v>
      </c>
      <c r="C3239" s="1" t="n">
        <v>45357</v>
      </c>
      <c r="D3239" t="inlineStr">
        <is>
          <t>GÄVLEBORGS LÄN</t>
        </is>
      </c>
      <c r="E3239" t="inlineStr">
        <is>
          <t>HUDIKSVALL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5029-2021</t>
        </is>
      </c>
      <c r="B3240" s="1" t="n">
        <v>44228</v>
      </c>
      <c r="C3240" s="1" t="n">
        <v>45357</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5035-2021</t>
        </is>
      </c>
      <c r="B3241" s="1" t="n">
        <v>44228</v>
      </c>
      <c r="C3241" s="1" t="n">
        <v>45357</v>
      </c>
      <c r="D3241" t="inlineStr">
        <is>
          <t>GÄVLEBORGS LÄN</t>
        </is>
      </c>
      <c r="E3241" t="inlineStr">
        <is>
          <t>SÖDERHAMN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5207-2021</t>
        </is>
      </c>
      <c r="B3242" s="1" t="n">
        <v>44228</v>
      </c>
      <c r="C3242" s="1" t="n">
        <v>45357</v>
      </c>
      <c r="D3242" t="inlineStr">
        <is>
          <t>GÄVLEBORGS LÄN</t>
        </is>
      </c>
      <c r="E3242" t="inlineStr">
        <is>
          <t>GÄVLE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4954-2021</t>
        </is>
      </c>
      <c r="B3243" s="1" t="n">
        <v>44228</v>
      </c>
      <c r="C3243" s="1" t="n">
        <v>45357</v>
      </c>
      <c r="D3243" t="inlineStr">
        <is>
          <t>GÄVLEBORGS LÄN</t>
        </is>
      </c>
      <c r="E3243" t="inlineStr">
        <is>
          <t>NORDANSTIG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5219-2021</t>
        </is>
      </c>
      <c r="B3244" s="1" t="n">
        <v>44229</v>
      </c>
      <c r="C3244" s="1" t="n">
        <v>45357</v>
      </c>
      <c r="D3244" t="inlineStr">
        <is>
          <t>GÄVLEBORGS LÄN</t>
        </is>
      </c>
      <c r="E3244" t="inlineStr">
        <is>
          <t>SÖDERHAMN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5431-2021</t>
        </is>
      </c>
      <c r="B3245" s="1" t="n">
        <v>44229</v>
      </c>
      <c r="C3245" s="1" t="n">
        <v>45357</v>
      </c>
      <c r="D3245" t="inlineStr">
        <is>
          <t>GÄVLEBORGS LÄN</t>
        </is>
      </c>
      <c r="E3245" t="inlineStr">
        <is>
          <t>LJUSDAL</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5557-2021</t>
        </is>
      </c>
      <c r="B3246" s="1" t="n">
        <v>44230</v>
      </c>
      <c r="C3246" s="1" t="n">
        <v>45357</v>
      </c>
      <c r="D3246" t="inlineStr">
        <is>
          <t>GÄVLEBORGS LÄN</t>
        </is>
      </c>
      <c r="E3246" t="inlineStr">
        <is>
          <t>HOFORS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5533-2021</t>
        </is>
      </c>
      <c r="B3247" s="1" t="n">
        <v>44230</v>
      </c>
      <c r="C3247" s="1" t="n">
        <v>45357</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5843-2021</t>
        </is>
      </c>
      <c r="B3248" s="1" t="n">
        <v>44231</v>
      </c>
      <c r="C3248" s="1" t="n">
        <v>45357</v>
      </c>
      <c r="D3248" t="inlineStr">
        <is>
          <t>GÄVLEBORGS LÄN</t>
        </is>
      </c>
      <c r="E3248" t="inlineStr">
        <is>
          <t>NORDANSTIG</t>
        </is>
      </c>
      <c r="F3248" t="inlineStr">
        <is>
          <t>Holmen skog AB</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5903-2021</t>
        </is>
      </c>
      <c r="B3249" s="1" t="n">
        <v>44231</v>
      </c>
      <c r="C3249" s="1" t="n">
        <v>45357</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5924-2021</t>
        </is>
      </c>
      <c r="B3250" s="1" t="n">
        <v>44231</v>
      </c>
      <c r="C3250" s="1" t="n">
        <v>45357</v>
      </c>
      <c r="D3250" t="inlineStr">
        <is>
          <t>GÄVLEBORGS LÄN</t>
        </is>
      </c>
      <c r="E3250" t="inlineStr">
        <is>
          <t>SÖDERHAMN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5916-2021</t>
        </is>
      </c>
      <c r="B3251" s="1" t="n">
        <v>44231</v>
      </c>
      <c r="C3251" s="1" t="n">
        <v>45357</v>
      </c>
      <c r="D3251" t="inlineStr">
        <is>
          <t>GÄVLEBORGS LÄN</t>
        </is>
      </c>
      <c r="E3251" t="inlineStr">
        <is>
          <t>NORDANSTIG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5841-2021</t>
        </is>
      </c>
      <c r="B3252" s="1" t="n">
        <v>44231</v>
      </c>
      <c r="C3252" s="1" t="n">
        <v>45357</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5949-2021</t>
        </is>
      </c>
      <c r="B3253" s="1" t="n">
        <v>44231</v>
      </c>
      <c r="C3253" s="1" t="n">
        <v>45357</v>
      </c>
      <c r="D3253" t="inlineStr">
        <is>
          <t>GÄVLEBORGS LÄN</t>
        </is>
      </c>
      <c r="E3253" t="inlineStr">
        <is>
          <t>NORDANSTIG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5972-2021</t>
        </is>
      </c>
      <c r="B3254" s="1" t="n">
        <v>44231</v>
      </c>
      <c r="C3254" s="1" t="n">
        <v>45357</v>
      </c>
      <c r="D3254" t="inlineStr">
        <is>
          <t>GÄVLEBORGS LÄN</t>
        </is>
      </c>
      <c r="E3254" t="inlineStr">
        <is>
          <t>GÄVLE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6077-2021</t>
        </is>
      </c>
      <c r="B3255" s="1" t="n">
        <v>44232</v>
      </c>
      <c r="C3255" s="1" t="n">
        <v>45357</v>
      </c>
      <c r="D3255" t="inlineStr">
        <is>
          <t>GÄVLEBORGS LÄN</t>
        </is>
      </c>
      <c r="E3255" t="inlineStr">
        <is>
          <t>HUDIKSVALL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6166-2021</t>
        </is>
      </c>
      <c r="B3256" s="1" t="n">
        <v>44232</v>
      </c>
      <c r="C3256" s="1" t="n">
        <v>45357</v>
      </c>
      <c r="D3256" t="inlineStr">
        <is>
          <t>GÄVLEBORGS LÄN</t>
        </is>
      </c>
      <c r="E3256" t="inlineStr">
        <is>
          <t>BOLLNÄS</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6349-2021</t>
        </is>
      </c>
      <c r="B3257" s="1" t="n">
        <v>44235</v>
      </c>
      <c r="C3257" s="1" t="n">
        <v>45357</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6468-2021</t>
        </is>
      </c>
      <c r="B3258" s="1" t="n">
        <v>44235</v>
      </c>
      <c r="C3258" s="1" t="n">
        <v>45357</v>
      </c>
      <c r="D3258" t="inlineStr">
        <is>
          <t>GÄVLEBORGS LÄN</t>
        </is>
      </c>
      <c r="E3258" t="inlineStr">
        <is>
          <t>GÄVLE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6344-2021</t>
        </is>
      </c>
      <c r="B3259" s="1" t="n">
        <v>44235</v>
      </c>
      <c r="C3259" s="1" t="n">
        <v>45357</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6467-2021</t>
        </is>
      </c>
      <c r="B3260" s="1" t="n">
        <v>44235</v>
      </c>
      <c r="C3260" s="1" t="n">
        <v>45357</v>
      </c>
      <c r="D3260" t="inlineStr">
        <is>
          <t>GÄVLEBORGS LÄN</t>
        </is>
      </c>
      <c r="E3260" t="inlineStr">
        <is>
          <t>GÄVLE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6587-2021</t>
        </is>
      </c>
      <c r="B3261" s="1" t="n">
        <v>44236</v>
      </c>
      <c r="C3261" s="1" t="n">
        <v>45357</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6512-2021</t>
        </is>
      </c>
      <c r="B3262" s="1" t="n">
        <v>44236</v>
      </c>
      <c r="C3262" s="1" t="n">
        <v>45357</v>
      </c>
      <c r="D3262" t="inlineStr">
        <is>
          <t>GÄVLEBORGS LÄN</t>
        </is>
      </c>
      <c r="E3262" t="inlineStr">
        <is>
          <t>HUDIKSVALL</t>
        </is>
      </c>
      <c r="G3262" t="n">
        <v>46.5</v>
      </c>
      <c r="H3262" t="n">
        <v>0</v>
      </c>
      <c r="I3262" t="n">
        <v>0</v>
      </c>
      <c r="J3262" t="n">
        <v>0</v>
      </c>
      <c r="K3262" t="n">
        <v>0</v>
      </c>
      <c r="L3262" t="n">
        <v>0</v>
      </c>
      <c r="M3262" t="n">
        <v>0</v>
      </c>
      <c r="N3262" t="n">
        <v>0</v>
      </c>
      <c r="O3262" t="n">
        <v>0</v>
      </c>
      <c r="P3262" t="n">
        <v>0</v>
      </c>
      <c r="Q3262" t="n">
        <v>0</v>
      </c>
      <c r="R3262" s="2" t="inlineStr"/>
    </row>
    <row r="3263" ht="15" customHeight="1">
      <c r="A3263" t="inlineStr">
        <is>
          <t>A 6529-2021</t>
        </is>
      </c>
      <c r="B3263" s="1" t="n">
        <v>44236</v>
      </c>
      <c r="C3263" s="1" t="n">
        <v>45357</v>
      </c>
      <c r="D3263" t="inlineStr">
        <is>
          <t>GÄVLEBORGS LÄN</t>
        </is>
      </c>
      <c r="E3263" t="inlineStr">
        <is>
          <t>NORDANSTIG</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6561-2021</t>
        </is>
      </c>
      <c r="B3264" s="1" t="n">
        <v>44236</v>
      </c>
      <c r="C3264" s="1" t="n">
        <v>45357</v>
      </c>
      <c r="D3264" t="inlineStr">
        <is>
          <t>GÄVLEBORGS LÄN</t>
        </is>
      </c>
      <c r="E3264" t="inlineStr">
        <is>
          <t>NORDANSTIG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6673-2021</t>
        </is>
      </c>
      <c r="B3265" s="1" t="n">
        <v>44236</v>
      </c>
      <c r="C3265" s="1" t="n">
        <v>45357</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6678-2021</t>
        </is>
      </c>
      <c r="B3266" s="1" t="n">
        <v>44236</v>
      </c>
      <c r="C3266" s="1" t="n">
        <v>45357</v>
      </c>
      <c r="D3266" t="inlineStr">
        <is>
          <t>GÄVLEBORGS LÄN</t>
        </is>
      </c>
      <c r="E3266" t="inlineStr">
        <is>
          <t>SANDVIKEN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6718-2021</t>
        </is>
      </c>
      <c r="B3267" s="1" t="n">
        <v>44236</v>
      </c>
      <c r="C3267" s="1" t="n">
        <v>45357</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6816-2021</t>
        </is>
      </c>
      <c r="B3268" s="1" t="n">
        <v>44237</v>
      </c>
      <c r="C3268" s="1" t="n">
        <v>45357</v>
      </c>
      <c r="D3268" t="inlineStr">
        <is>
          <t>GÄVLEBORGS LÄN</t>
        </is>
      </c>
      <c r="E3268" t="inlineStr">
        <is>
          <t>SÖDERHAMN</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6983-2021</t>
        </is>
      </c>
      <c r="B3269" s="1" t="n">
        <v>44237</v>
      </c>
      <c r="C3269" s="1" t="n">
        <v>45357</v>
      </c>
      <c r="D3269" t="inlineStr">
        <is>
          <t>GÄVLEBORGS LÄN</t>
        </is>
      </c>
      <c r="E3269" t="inlineStr">
        <is>
          <t>NORDANSTIG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7080-2021</t>
        </is>
      </c>
      <c r="B3270" s="1" t="n">
        <v>44237</v>
      </c>
      <c r="C3270" s="1" t="n">
        <v>45357</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6989-2021</t>
        </is>
      </c>
      <c r="B3271" s="1" t="n">
        <v>44237</v>
      </c>
      <c r="C3271" s="1" t="n">
        <v>45357</v>
      </c>
      <c r="D3271" t="inlineStr">
        <is>
          <t>GÄVLEBORGS LÄN</t>
        </is>
      </c>
      <c r="E3271" t="inlineStr">
        <is>
          <t>HUDIKSVALL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7020-2021</t>
        </is>
      </c>
      <c r="B3272" s="1" t="n">
        <v>44237</v>
      </c>
      <c r="C3272" s="1" t="n">
        <v>45357</v>
      </c>
      <c r="D3272" t="inlineStr">
        <is>
          <t>GÄVLEBORGS LÄN</t>
        </is>
      </c>
      <c r="E3272" t="inlineStr">
        <is>
          <t>HUDIKSVALL</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7102-2021</t>
        </is>
      </c>
      <c r="B3273" s="1" t="n">
        <v>44238</v>
      </c>
      <c r="C3273" s="1" t="n">
        <v>45357</v>
      </c>
      <c r="D3273" t="inlineStr">
        <is>
          <t>GÄVLEBORGS LÄN</t>
        </is>
      </c>
      <c r="E3273" t="inlineStr">
        <is>
          <t>HUDIKSVALL</t>
        </is>
      </c>
      <c r="G3273" t="n">
        <v>23.6</v>
      </c>
      <c r="H3273" t="n">
        <v>0</v>
      </c>
      <c r="I3273" t="n">
        <v>0</v>
      </c>
      <c r="J3273" t="n">
        <v>0</v>
      </c>
      <c r="K3273" t="n">
        <v>0</v>
      </c>
      <c r="L3273" t="n">
        <v>0</v>
      </c>
      <c r="M3273" t="n">
        <v>0</v>
      </c>
      <c r="N3273" t="n">
        <v>0</v>
      </c>
      <c r="O3273" t="n">
        <v>0</v>
      </c>
      <c r="P3273" t="n">
        <v>0</v>
      </c>
      <c r="Q3273" t="n">
        <v>0</v>
      </c>
      <c r="R3273" s="2" t="inlineStr"/>
    </row>
    <row r="3274" ht="15" customHeight="1">
      <c r="A3274" t="inlineStr">
        <is>
          <t>A 7146-2021</t>
        </is>
      </c>
      <c r="B3274" s="1" t="n">
        <v>44238</v>
      </c>
      <c r="C3274" s="1" t="n">
        <v>45357</v>
      </c>
      <c r="D3274" t="inlineStr">
        <is>
          <t>GÄVLEBORGS LÄN</t>
        </is>
      </c>
      <c r="E3274" t="inlineStr">
        <is>
          <t>HUDIKSVALL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7358-2021</t>
        </is>
      </c>
      <c r="B3275" s="1" t="n">
        <v>44239</v>
      </c>
      <c r="C3275" s="1" t="n">
        <v>45357</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7410-2021</t>
        </is>
      </c>
      <c r="B3276" s="1" t="n">
        <v>44239</v>
      </c>
      <c r="C3276" s="1" t="n">
        <v>45357</v>
      </c>
      <c r="D3276" t="inlineStr">
        <is>
          <t>GÄVLEBORGS LÄN</t>
        </is>
      </c>
      <c r="E3276" t="inlineStr">
        <is>
          <t>HUDIKSVALL</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7425-2021</t>
        </is>
      </c>
      <c r="B3277" s="1" t="n">
        <v>44239</v>
      </c>
      <c r="C3277" s="1" t="n">
        <v>45357</v>
      </c>
      <c r="D3277" t="inlineStr">
        <is>
          <t>GÄVLEBORGS LÄN</t>
        </is>
      </c>
      <c r="E3277" t="inlineStr">
        <is>
          <t>OCKELBO</t>
        </is>
      </c>
      <c r="F3277" t="inlineStr">
        <is>
          <t>Bergvik skog väst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7504-2021</t>
        </is>
      </c>
      <c r="B3278" s="1" t="n">
        <v>44239</v>
      </c>
      <c r="C3278" s="1" t="n">
        <v>45357</v>
      </c>
      <c r="D3278" t="inlineStr">
        <is>
          <t>GÄVLEBORGS LÄN</t>
        </is>
      </c>
      <c r="E3278" t="inlineStr">
        <is>
          <t>HUDIKSVALL</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7356-2021</t>
        </is>
      </c>
      <c r="B3279" s="1" t="n">
        <v>44239</v>
      </c>
      <c r="C3279" s="1" t="n">
        <v>45357</v>
      </c>
      <c r="D3279" t="inlineStr">
        <is>
          <t>GÄVLEBORGS LÄN</t>
        </is>
      </c>
      <c r="E3279" t="inlineStr">
        <is>
          <t>SÖDERHAMN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7420-2021</t>
        </is>
      </c>
      <c r="B3280" s="1" t="n">
        <v>44239</v>
      </c>
      <c r="C3280" s="1" t="n">
        <v>45357</v>
      </c>
      <c r="D3280" t="inlineStr">
        <is>
          <t>GÄVLEBORGS LÄN</t>
        </is>
      </c>
      <c r="E3280" t="inlineStr">
        <is>
          <t>OCKELBO</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7464-2021</t>
        </is>
      </c>
      <c r="B3281" s="1" t="n">
        <v>44239</v>
      </c>
      <c r="C3281" s="1" t="n">
        <v>45357</v>
      </c>
      <c r="D3281" t="inlineStr">
        <is>
          <t>GÄVLEBORGS LÄN</t>
        </is>
      </c>
      <c r="E3281" t="inlineStr">
        <is>
          <t>BOLLNÄS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7344-2021</t>
        </is>
      </c>
      <c r="B3282" s="1" t="n">
        <v>44239</v>
      </c>
      <c r="C3282" s="1" t="n">
        <v>45357</v>
      </c>
      <c r="D3282" t="inlineStr">
        <is>
          <t>GÄVLEBORGS LÄN</t>
        </is>
      </c>
      <c r="E3282" t="inlineStr">
        <is>
          <t>OCKELBO</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7379-2021</t>
        </is>
      </c>
      <c r="B3283" s="1" t="n">
        <v>44239</v>
      </c>
      <c r="C3283" s="1" t="n">
        <v>45357</v>
      </c>
      <c r="D3283" t="inlineStr">
        <is>
          <t>GÄVLEBORGS LÄN</t>
        </is>
      </c>
      <c r="E3283" t="inlineStr">
        <is>
          <t>OCKELBO</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7461-2021</t>
        </is>
      </c>
      <c r="B3284" s="1" t="n">
        <v>44239</v>
      </c>
      <c r="C3284" s="1" t="n">
        <v>45357</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7525-2021</t>
        </is>
      </c>
      <c r="B3285" s="1" t="n">
        <v>44239</v>
      </c>
      <c r="C3285" s="1" t="n">
        <v>45357</v>
      </c>
      <c r="D3285" t="inlineStr">
        <is>
          <t>GÄVLEBORGS LÄN</t>
        </is>
      </c>
      <c r="E3285" t="inlineStr">
        <is>
          <t>HUDIKSVALL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7533-2021</t>
        </is>
      </c>
      <c r="B3286" s="1" t="n">
        <v>44239</v>
      </c>
      <c r="C3286" s="1" t="n">
        <v>45357</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7529-2021</t>
        </is>
      </c>
      <c r="B3287" s="1" t="n">
        <v>44239</v>
      </c>
      <c r="C3287" s="1" t="n">
        <v>45357</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7801-2021</t>
        </is>
      </c>
      <c r="B3288" s="1" t="n">
        <v>44242</v>
      </c>
      <c r="C3288" s="1" t="n">
        <v>45357</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7767-2021</t>
        </is>
      </c>
      <c r="B3289" s="1" t="n">
        <v>44242</v>
      </c>
      <c r="C3289" s="1" t="n">
        <v>45357</v>
      </c>
      <c r="D3289" t="inlineStr">
        <is>
          <t>GÄVLEBORGS LÄN</t>
        </is>
      </c>
      <c r="E3289" t="inlineStr">
        <is>
          <t>BOLLNÄS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7804-2021</t>
        </is>
      </c>
      <c r="B3290" s="1" t="n">
        <v>44242</v>
      </c>
      <c r="C3290" s="1" t="n">
        <v>45357</v>
      </c>
      <c r="D3290" t="inlineStr">
        <is>
          <t>GÄVLEBORGS LÄN</t>
        </is>
      </c>
      <c r="E3290" t="inlineStr">
        <is>
          <t>NORDANSTIG</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7925-2021</t>
        </is>
      </c>
      <c r="B3291" s="1" t="n">
        <v>44243</v>
      </c>
      <c r="C3291" s="1" t="n">
        <v>45357</v>
      </c>
      <c r="D3291" t="inlineStr">
        <is>
          <t>GÄVLEBORGS LÄN</t>
        </is>
      </c>
      <c r="E3291" t="inlineStr">
        <is>
          <t>LJUSDAL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8038-2021</t>
        </is>
      </c>
      <c r="B3292" s="1" t="n">
        <v>44243</v>
      </c>
      <c r="C3292" s="1" t="n">
        <v>45357</v>
      </c>
      <c r="D3292" t="inlineStr">
        <is>
          <t>GÄVLEBORGS LÄN</t>
        </is>
      </c>
      <c r="E3292" t="inlineStr">
        <is>
          <t>BOLLNÄS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8031-2021</t>
        </is>
      </c>
      <c r="B3293" s="1" t="n">
        <v>44243</v>
      </c>
      <c r="C3293" s="1" t="n">
        <v>45357</v>
      </c>
      <c r="D3293" t="inlineStr">
        <is>
          <t>GÄVLEBORGS LÄN</t>
        </is>
      </c>
      <c r="E3293" t="inlineStr">
        <is>
          <t>BOLLNÄS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8039-2021</t>
        </is>
      </c>
      <c r="B3294" s="1" t="n">
        <v>44243</v>
      </c>
      <c r="C3294" s="1" t="n">
        <v>45357</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8572-2021</t>
        </is>
      </c>
      <c r="B3295" s="1" t="n">
        <v>44244</v>
      </c>
      <c r="C3295" s="1" t="n">
        <v>45357</v>
      </c>
      <c r="D3295" t="inlineStr">
        <is>
          <t>GÄVLEBORGS LÄN</t>
        </is>
      </c>
      <c r="E3295" t="inlineStr">
        <is>
          <t>HUDIKSVALL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8570-2021</t>
        </is>
      </c>
      <c r="B3296" s="1" t="n">
        <v>44244</v>
      </c>
      <c r="C3296" s="1" t="n">
        <v>45357</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8569-2021</t>
        </is>
      </c>
      <c r="B3297" s="1" t="n">
        <v>44245</v>
      </c>
      <c r="C3297" s="1" t="n">
        <v>45357</v>
      </c>
      <c r="D3297" t="inlineStr">
        <is>
          <t>GÄVLEBORGS LÄN</t>
        </is>
      </c>
      <c r="E3297" t="inlineStr">
        <is>
          <t>HUDIKSVALL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8432-2021</t>
        </is>
      </c>
      <c r="B3298" s="1" t="n">
        <v>44245</v>
      </c>
      <c r="C3298" s="1" t="n">
        <v>45357</v>
      </c>
      <c r="D3298" t="inlineStr">
        <is>
          <t>GÄVLEBORGS LÄN</t>
        </is>
      </c>
      <c r="E3298" t="inlineStr">
        <is>
          <t>OVANÅKER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8881-2021</t>
        </is>
      </c>
      <c r="B3299" s="1" t="n">
        <v>44247</v>
      </c>
      <c r="C3299" s="1" t="n">
        <v>45357</v>
      </c>
      <c r="D3299" t="inlineStr">
        <is>
          <t>GÄVLEBORGS LÄN</t>
        </is>
      </c>
      <c r="E3299" t="inlineStr">
        <is>
          <t>SANDVIKEN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8942-2021</t>
        </is>
      </c>
      <c r="B3300" s="1" t="n">
        <v>44249</v>
      </c>
      <c r="C3300" s="1" t="n">
        <v>45357</v>
      </c>
      <c r="D3300" t="inlineStr">
        <is>
          <t>GÄVLEBORGS LÄN</t>
        </is>
      </c>
      <c r="E3300" t="inlineStr">
        <is>
          <t>NORDANSTIG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8924-2021</t>
        </is>
      </c>
      <c r="B3301" s="1" t="n">
        <v>44249</v>
      </c>
      <c r="C3301" s="1" t="n">
        <v>45357</v>
      </c>
      <c r="D3301" t="inlineStr">
        <is>
          <t>GÄVLEBORGS LÄN</t>
        </is>
      </c>
      <c r="E3301" t="inlineStr">
        <is>
          <t>NORDANSTIG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9094-2021</t>
        </is>
      </c>
      <c r="B3302" s="1" t="n">
        <v>44249</v>
      </c>
      <c r="C3302" s="1" t="n">
        <v>45357</v>
      </c>
      <c r="D3302" t="inlineStr">
        <is>
          <t>GÄVLEBORGS LÄN</t>
        </is>
      </c>
      <c r="E3302" t="inlineStr">
        <is>
          <t>HUDIKSVALL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9288-2021</t>
        </is>
      </c>
      <c r="B3303" s="1" t="n">
        <v>44250</v>
      </c>
      <c r="C3303" s="1" t="n">
        <v>45357</v>
      </c>
      <c r="D3303" t="inlineStr">
        <is>
          <t>GÄVLEBORGS LÄN</t>
        </is>
      </c>
      <c r="E3303" t="inlineStr">
        <is>
          <t>LJUSDAL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9287-2021</t>
        </is>
      </c>
      <c r="B3304" s="1" t="n">
        <v>44250</v>
      </c>
      <c r="C3304" s="1" t="n">
        <v>45357</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9540-2021</t>
        </is>
      </c>
      <c r="B3305" s="1" t="n">
        <v>44251</v>
      </c>
      <c r="C3305" s="1" t="n">
        <v>45357</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9506-2021</t>
        </is>
      </c>
      <c r="B3306" s="1" t="n">
        <v>44251</v>
      </c>
      <c r="C3306" s="1" t="n">
        <v>45357</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9714-2021</t>
        </is>
      </c>
      <c r="B3307" s="1" t="n">
        <v>44252</v>
      </c>
      <c r="C3307" s="1" t="n">
        <v>45357</v>
      </c>
      <c r="D3307" t="inlineStr">
        <is>
          <t>GÄVLEBORGS LÄN</t>
        </is>
      </c>
      <c r="E3307" t="inlineStr">
        <is>
          <t>LJUSDAL</t>
        </is>
      </c>
      <c r="F3307" t="inlineStr">
        <is>
          <t>Bergvik skog väst AB</t>
        </is>
      </c>
      <c r="G3307" t="n">
        <v>20.7</v>
      </c>
      <c r="H3307" t="n">
        <v>0</v>
      </c>
      <c r="I3307" t="n">
        <v>0</v>
      </c>
      <c r="J3307" t="n">
        <v>0</v>
      </c>
      <c r="K3307" t="n">
        <v>0</v>
      </c>
      <c r="L3307" t="n">
        <v>0</v>
      </c>
      <c r="M3307" t="n">
        <v>0</v>
      </c>
      <c r="N3307" t="n">
        <v>0</v>
      </c>
      <c r="O3307" t="n">
        <v>0</v>
      </c>
      <c r="P3307" t="n">
        <v>0</v>
      </c>
      <c r="Q3307" t="n">
        <v>0</v>
      </c>
      <c r="R3307" s="2" t="inlineStr"/>
    </row>
    <row r="3308" ht="15" customHeight="1">
      <c r="A3308" t="inlineStr">
        <is>
          <t>A 9738-2021</t>
        </is>
      </c>
      <c r="B3308" s="1" t="n">
        <v>44252</v>
      </c>
      <c r="C3308" s="1" t="n">
        <v>45357</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9736-2021</t>
        </is>
      </c>
      <c r="B3309" s="1" t="n">
        <v>44252</v>
      </c>
      <c r="C3309" s="1" t="n">
        <v>45357</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9733-2021</t>
        </is>
      </c>
      <c r="B3310" s="1" t="n">
        <v>44252</v>
      </c>
      <c r="C3310" s="1" t="n">
        <v>45357</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9982-2021</t>
        </is>
      </c>
      <c r="B3311" s="1" t="n">
        <v>44253</v>
      </c>
      <c r="C3311" s="1" t="n">
        <v>45357</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10030-2021</t>
        </is>
      </c>
      <c r="B3312" s="1" t="n">
        <v>44256</v>
      </c>
      <c r="C3312" s="1" t="n">
        <v>45357</v>
      </c>
      <c r="D3312" t="inlineStr">
        <is>
          <t>GÄVLEBORGS LÄN</t>
        </is>
      </c>
      <c r="E3312" t="inlineStr">
        <is>
          <t>HUDIKSVALL</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10100-2021</t>
        </is>
      </c>
      <c r="B3313" s="1" t="n">
        <v>44256</v>
      </c>
      <c r="C3313" s="1" t="n">
        <v>45357</v>
      </c>
      <c r="D3313" t="inlineStr">
        <is>
          <t>GÄVLEBORGS LÄN</t>
        </is>
      </c>
      <c r="E3313" t="inlineStr">
        <is>
          <t>OCKELBO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10542-2021</t>
        </is>
      </c>
      <c r="B3314" s="1" t="n">
        <v>44258</v>
      </c>
      <c r="C3314" s="1" t="n">
        <v>45357</v>
      </c>
      <c r="D3314" t="inlineStr">
        <is>
          <t>GÄVLEBORGS LÄN</t>
        </is>
      </c>
      <c r="E3314" t="inlineStr">
        <is>
          <t>OVANÅKER</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10548-2021</t>
        </is>
      </c>
      <c r="B3315" s="1" t="n">
        <v>44258</v>
      </c>
      <c r="C3315" s="1" t="n">
        <v>45357</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10632-2021</t>
        </is>
      </c>
      <c r="B3316" s="1" t="n">
        <v>44258</v>
      </c>
      <c r="C3316" s="1" t="n">
        <v>45357</v>
      </c>
      <c r="D3316" t="inlineStr">
        <is>
          <t>GÄVLEBORGS LÄN</t>
        </is>
      </c>
      <c r="E3316" t="inlineStr">
        <is>
          <t>OVANÅKER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10612-2021</t>
        </is>
      </c>
      <c r="B3317" s="1" t="n">
        <v>44258</v>
      </c>
      <c r="C3317" s="1" t="n">
        <v>45357</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10641-2021</t>
        </is>
      </c>
      <c r="B3318" s="1" t="n">
        <v>44258</v>
      </c>
      <c r="C3318" s="1" t="n">
        <v>45357</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10708-2021</t>
        </is>
      </c>
      <c r="B3319" s="1" t="n">
        <v>44258</v>
      </c>
      <c r="C3319" s="1" t="n">
        <v>45357</v>
      </c>
      <c r="D3319" t="inlineStr">
        <is>
          <t>GÄVLEBORGS LÄN</t>
        </is>
      </c>
      <c r="E3319" t="inlineStr">
        <is>
          <t>OVANÅKER</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10704-2021</t>
        </is>
      </c>
      <c r="B3320" s="1" t="n">
        <v>44258</v>
      </c>
      <c r="C3320" s="1" t="n">
        <v>45357</v>
      </c>
      <c r="D3320" t="inlineStr">
        <is>
          <t>GÄVLEBORGS LÄN</t>
        </is>
      </c>
      <c r="E3320" t="inlineStr">
        <is>
          <t>GÄVLE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10683-2021</t>
        </is>
      </c>
      <c r="B3321" s="1" t="n">
        <v>44258</v>
      </c>
      <c r="C3321" s="1" t="n">
        <v>45357</v>
      </c>
      <c r="D3321" t="inlineStr">
        <is>
          <t>GÄVLEBORGS LÄN</t>
        </is>
      </c>
      <c r="E3321" t="inlineStr">
        <is>
          <t>HUDIKSVALL</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10709-2021</t>
        </is>
      </c>
      <c r="B3322" s="1" t="n">
        <v>44258</v>
      </c>
      <c r="C3322" s="1" t="n">
        <v>45357</v>
      </c>
      <c r="D3322" t="inlineStr">
        <is>
          <t>GÄVLEBORGS LÄN</t>
        </is>
      </c>
      <c r="E3322" t="inlineStr">
        <is>
          <t>GÄVLE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10781-2021</t>
        </is>
      </c>
      <c r="B3323" s="1" t="n">
        <v>44259</v>
      </c>
      <c r="C3323" s="1" t="n">
        <v>45357</v>
      </c>
      <c r="D3323" t="inlineStr">
        <is>
          <t>GÄVLEBORGS LÄN</t>
        </is>
      </c>
      <c r="E3323" t="inlineStr">
        <is>
          <t>SÖDERHAMN</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10851-2021</t>
        </is>
      </c>
      <c r="B3324" s="1" t="n">
        <v>44259</v>
      </c>
      <c r="C3324" s="1" t="n">
        <v>45357</v>
      </c>
      <c r="D3324" t="inlineStr">
        <is>
          <t>GÄVLEBORGS LÄN</t>
        </is>
      </c>
      <c r="E3324" t="inlineStr">
        <is>
          <t>HUDIKSVALL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10883-2021</t>
        </is>
      </c>
      <c r="B3325" s="1" t="n">
        <v>44259</v>
      </c>
      <c r="C3325" s="1" t="n">
        <v>45357</v>
      </c>
      <c r="D3325" t="inlineStr">
        <is>
          <t>GÄVLEBORGS LÄN</t>
        </is>
      </c>
      <c r="E3325" t="inlineStr">
        <is>
          <t>LJUSDAL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11020-2021</t>
        </is>
      </c>
      <c r="B3326" s="1" t="n">
        <v>44260</v>
      </c>
      <c r="C3326" s="1" t="n">
        <v>45357</v>
      </c>
      <c r="D3326" t="inlineStr">
        <is>
          <t>GÄVLEBORGS LÄN</t>
        </is>
      </c>
      <c r="E3326" t="inlineStr">
        <is>
          <t>GÄVLE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11051-2021</t>
        </is>
      </c>
      <c r="B3327" s="1" t="n">
        <v>44260</v>
      </c>
      <c r="C3327" s="1" t="n">
        <v>45357</v>
      </c>
      <c r="D3327" t="inlineStr">
        <is>
          <t>GÄVLEBORGS LÄN</t>
        </is>
      </c>
      <c r="E3327" t="inlineStr">
        <is>
          <t>HUDIKSVALL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11214-2021</t>
        </is>
      </c>
      <c r="B3328" s="1" t="n">
        <v>44263</v>
      </c>
      <c r="C3328" s="1" t="n">
        <v>45357</v>
      </c>
      <c r="D3328" t="inlineStr">
        <is>
          <t>GÄVLEBORGS LÄN</t>
        </is>
      </c>
      <c r="E3328" t="inlineStr">
        <is>
          <t>NORDANSTIG</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11188-2021</t>
        </is>
      </c>
      <c r="B3329" s="1" t="n">
        <v>44263</v>
      </c>
      <c r="C3329" s="1" t="n">
        <v>45357</v>
      </c>
      <c r="D3329" t="inlineStr">
        <is>
          <t>GÄVLEBORGS LÄN</t>
        </is>
      </c>
      <c r="E3329" t="inlineStr">
        <is>
          <t>GÄVLE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11393-2021</t>
        </is>
      </c>
      <c r="B3330" s="1" t="n">
        <v>44263</v>
      </c>
      <c r="C3330" s="1" t="n">
        <v>45357</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11190-2021</t>
        </is>
      </c>
      <c r="B3331" s="1" t="n">
        <v>44263</v>
      </c>
      <c r="C3331" s="1" t="n">
        <v>45357</v>
      </c>
      <c r="D3331" t="inlineStr">
        <is>
          <t>GÄVLEBORGS LÄN</t>
        </is>
      </c>
      <c r="E3331" t="inlineStr">
        <is>
          <t>GÄVLE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11308-2021</t>
        </is>
      </c>
      <c r="B3332" s="1" t="n">
        <v>44263</v>
      </c>
      <c r="C3332" s="1" t="n">
        <v>45357</v>
      </c>
      <c r="D3332" t="inlineStr">
        <is>
          <t>GÄVLEBORGS LÄN</t>
        </is>
      </c>
      <c r="E3332" t="inlineStr">
        <is>
          <t>NORDANSTIG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11366-2021</t>
        </is>
      </c>
      <c r="B3333" s="1" t="n">
        <v>44263</v>
      </c>
      <c r="C3333" s="1" t="n">
        <v>45357</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11423-2021</t>
        </is>
      </c>
      <c r="B3334" s="1" t="n">
        <v>44263</v>
      </c>
      <c r="C3334" s="1" t="n">
        <v>45357</v>
      </c>
      <c r="D3334" t="inlineStr">
        <is>
          <t>GÄVLEBORGS LÄN</t>
        </is>
      </c>
      <c r="E3334" t="inlineStr">
        <is>
          <t>HUDIKSVALL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11422-2021</t>
        </is>
      </c>
      <c r="B3335" s="1" t="n">
        <v>44263</v>
      </c>
      <c r="C3335" s="1" t="n">
        <v>45357</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11533-2021</t>
        </is>
      </c>
      <c r="B3336" s="1" t="n">
        <v>44264</v>
      </c>
      <c r="C3336" s="1" t="n">
        <v>45357</v>
      </c>
      <c r="D3336" t="inlineStr">
        <is>
          <t>GÄVLEBORGS LÄN</t>
        </is>
      </c>
      <c r="E3336" t="inlineStr">
        <is>
          <t>OVANÅKER</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11543-2021</t>
        </is>
      </c>
      <c r="B3337" s="1" t="n">
        <v>44264</v>
      </c>
      <c r="C3337" s="1" t="n">
        <v>45357</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11540-2021</t>
        </is>
      </c>
      <c r="B3338" s="1" t="n">
        <v>44264</v>
      </c>
      <c r="C3338" s="1" t="n">
        <v>45357</v>
      </c>
      <c r="D3338" t="inlineStr">
        <is>
          <t>GÄVLEBORGS LÄN</t>
        </is>
      </c>
      <c r="E3338" t="inlineStr">
        <is>
          <t>OVANÅKER</t>
        </is>
      </c>
      <c r="G3338" t="n">
        <v>0</v>
      </c>
      <c r="H3338" t="n">
        <v>0</v>
      </c>
      <c r="I3338" t="n">
        <v>0</v>
      </c>
      <c r="J3338" t="n">
        <v>0</v>
      </c>
      <c r="K3338" t="n">
        <v>0</v>
      </c>
      <c r="L3338" t="n">
        <v>0</v>
      </c>
      <c r="M3338" t="n">
        <v>0</v>
      </c>
      <c r="N3338" t="n">
        <v>0</v>
      </c>
      <c r="O3338" t="n">
        <v>0</v>
      </c>
      <c r="P3338" t="n">
        <v>0</v>
      </c>
      <c r="Q3338" t="n">
        <v>0</v>
      </c>
      <c r="R3338" s="2" t="inlineStr"/>
    </row>
    <row r="3339" ht="15" customHeight="1">
      <c r="A3339" t="inlineStr">
        <is>
          <t>A 11536-2021</t>
        </is>
      </c>
      <c r="B3339" s="1" t="n">
        <v>44264</v>
      </c>
      <c r="C3339" s="1" t="n">
        <v>45357</v>
      </c>
      <c r="D3339" t="inlineStr">
        <is>
          <t>GÄVLEBORGS LÄN</t>
        </is>
      </c>
      <c r="E3339" t="inlineStr">
        <is>
          <t>OVANÅKER</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11586-2021</t>
        </is>
      </c>
      <c r="B3340" s="1" t="n">
        <v>44264</v>
      </c>
      <c r="C3340" s="1" t="n">
        <v>45357</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11766-2021</t>
        </is>
      </c>
      <c r="B3341" s="1" t="n">
        <v>44265</v>
      </c>
      <c r="C3341" s="1" t="n">
        <v>45357</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11770-2021</t>
        </is>
      </c>
      <c r="B3342" s="1" t="n">
        <v>44265</v>
      </c>
      <c r="C3342" s="1" t="n">
        <v>45357</v>
      </c>
      <c r="D3342" t="inlineStr">
        <is>
          <t>GÄVLEBORGS LÄN</t>
        </is>
      </c>
      <c r="E3342" t="inlineStr">
        <is>
          <t>LJUSDAL</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11828-2021</t>
        </is>
      </c>
      <c r="B3343" s="1" t="n">
        <v>44265</v>
      </c>
      <c r="C3343" s="1" t="n">
        <v>45357</v>
      </c>
      <c r="D3343" t="inlineStr">
        <is>
          <t>GÄVLEBORGS LÄN</t>
        </is>
      </c>
      <c r="E3343" t="inlineStr">
        <is>
          <t>SANDVIKEN</t>
        </is>
      </c>
      <c r="F3343" t="inlineStr">
        <is>
          <t>Bergvik skog öst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11795-2021</t>
        </is>
      </c>
      <c r="B3344" s="1" t="n">
        <v>44265</v>
      </c>
      <c r="C3344" s="1" t="n">
        <v>45357</v>
      </c>
      <c r="D3344" t="inlineStr">
        <is>
          <t>GÄVLEBORGS LÄN</t>
        </is>
      </c>
      <c r="E3344" t="inlineStr">
        <is>
          <t>NORDANSTIG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11821-2021</t>
        </is>
      </c>
      <c r="B3345" s="1" t="n">
        <v>44265</v>
      </c>
      <c r="C3345" s="1" t="n">
        <v>45357</v>
      </c>
      <c r="D3345" t="inlineStr">
        <is>
          <t>GÄVLEBORGS LÄN</t>
        </is>
      </c>
      <c r="E3345" t="inlineStr">
        <is>
          <t>SÖDERHAMN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11826-2021</t>
        </is>
      </c>
      <c r="B3346" s="1" t="n">
        <v>44265</v>
      </c>
      <c r="C3346" s="1" t="n">
        <v>45357</v>
      </c>
      <c r="D3346" t="inlineStr">
        <is>
          <t>GÄVLEBORGS LÄN</t>
        </is>
      </c>
      <c r="E3346" t="inlineStr">
        <is>
          <t>SÖDERHAMN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12012-2021</t>
        </is>
      </c>
      <c r="B3347" s="1" t="n">
        <v>44266</v>
      </c>
      <c r="C3347" s="1" t="n">
        <v>45357</v>
      </c>
      <c r="D3347" t="inlineStr">
        <is>
          <t>GÄVLEBORGS LÄN</t>
        </is>
      </c>
      <c r="E3347" t="inlineStr">
        <is>
          <t>LJUSDAL</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12057-2021</t>
        </is>
      </c>
      <c r="B3348" s="1" t="n">
        <v>44266</v>
      </c>
      <c r="C3348" s="1" t="n">
        <v>45357</v>
      </c>
      <c r="D3348" t="inlineStr">
        <is>
          <t>GÄVLEBORGS LÄN</t>
        </is>
      </c>
      <c r="E3348" t="inlineStr">
        <is>
          <t>HOFORS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12142-2021</t>
        </is>
      </c>
      <c r="B3349" s="1" t="n">
        <v>44266</v>
      </c>
      <c r="C3349" s="1" t="n">
        <v>45357</v>
      </c>
      <c r="D3349" t="inlineStr">
        <is>
          <t>GÄVLEBORGS LÄN</t>
        </is>
      </c>
      <c r="E3349" t="inlineStr">
        <is>
          <t>HUDIKSVALL</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12196-2021</t>
        </is>
      </c>
      <c r="B3350" s="1" t="n">
        <v>44266</v>
      </c>
      <c r="C3350" s="1" t="n">
        <v>45357</v>
      </c>
      <c r="D3350" t="inlineStr">
        <is>
          <t>GÄVLEBORGS LÄN</t>
        </is>
      </c>
      <c r="E3350" t="inlineStr">
        <is>
          <t>OVANÅKER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12139-2021</t>
        </is>
      </c>
      <c r="B3351" s="1" t="n">
        <v>44266</v>
      </c>
      <c r="C3351" s="1" t="n">
        <v>45357</v>
      </c>
      <c r="D3351" t="inlineStr">
        <is>
          <t>GÄVLEBORGS LÄN</t>
        </is>
      </c>
      <c r="E3351" t="inlineStr">
        <is>
          <t>OVANÅKER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12146-2021</t>
        </is>
      </c>
      <c r="B3352" s="1" t="n">
        <v>44266</v>
      </c>
      <c r="C3352" s="1" t="n">
        <v>45357</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12226-2021</t>
        </is>
      </c>
      <c r="B3353" s="1" t="n">
        <v>44266</v>
      </c>
      <c r="C3353" s="1" t="n">
        <v>45357</v>
      </c>
      <c r="D3353" t="inlineStr">
        <is>
          <t>GÄVLEBORGS LÄN</t>
        </is>
      </c>
      <c r="E3353" t="inlineStr">
        <is>
          <t>BOLLNÄS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12265-2021</t>
        </is>
      </c>
      <c r="B3354" s="1" t="n">
        <v>44266</v>
      </c>
      <c r="C3354" s="1" t="n">
        <v>45357</v>
      </c>
      <c r="D3354" t="inlineStr">
        <is>
          <t>GÄVLEBORGS LÄN</t>
        </is>
      </c>
      <c r="E3354" t="inlineStr">
        <is>
          <t>SÖDERHAMN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12140-2021</t>
        </is>
      </c>
      <c r="B3355" s="1" t="n">
        <v>44266</v>
      </c>
      <c r="C3355" s="1" t="n">
        <v>45357</v>
      </c>
      <c r="D3355" t="inlineStr">
        <is>
          <t>GÄVLEBORGS LÄN</t>
        </is>
      </c>
      <c r="E3355" t="inlineStr">
        <is>
          <t>OVANÅKER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12207-2021</t>
        </is>
      </c>
      <c r="B3356" s="1" t="n">
        <v>44266</v>
      </c>
      <c r="C3356" s="1" t="n">
        <v>45357</v>
      </c>
      <c r="D3356" t="inlineStr">
        <is>
          <t>GÄVLEBORGS LÄN</t>
        </is>
      </c>
      <c r="E3356" t="inlineStr">
        <is>
          <t>OVANÅKER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12229-2021</t>
        </is>
      </c>
      <c r="B3357" s="1" t="n">
        <v>44266</v>
      </c>
      <c r="C3357" s="1" t="n">
        <v>45357</v>
      </c>
      <c r="D3357" t="inlineStr">
        <is>
          <t>GÄVLEBORGS LÄN</t>
        </is>
      </c>
      <c r="E3357" t="inlineStr">
        <is>
          <t>BOLLNÄS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12330-2021</t>
        </is>
      </c>
      <c r="B3358" s="1" t="n">
        <v>44267</v>
      </c>
      <c r="C3358" s="1" t="n">
        <v>45357</v>
      </c>
      <c r="D3358" t="inlineStr">
        <is>
          <t>GÄVLEBORGS LÄN</t>
        </is>
      </c>
      <c r="E3358" t="inlineStr">
        <is>
          <t>LJUSDAL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12300-2021</t>
        </is>
      </c>
      <c r="B3359" s="1" t="n">
        <v>44267</v>
      </c>
      <c r="C3359" s="1" t="n">
        <v>45357</v>
      </c>
      <c r="D3359" t="inlineStr">
        <is>
          <t>GÄVLEBORGS LÄN</t>
        </is>
      </c>
      <c r="E3359" t="inlineStr">
        <is>
          <t>LJUSDAL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12371-2021</t>
        </is>
      </c>
      <c r="B3360" s="1" t="n">
        <v>44267</v>
      </c>
      <c r="C3360" s="1" t="n">
        <v>45357</v>
      </c>
      <c r="D3360" t="inlineStr">
        <is>
          <t>GÄVLEBORGS LÄN</t>
        </is>
      </c>
      <c r="E3360" t="inlineStr">
        <is>
          <t>OCKELBO</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12390-2021</t>
        </is>
      </c>
      <c r="B3361" s="1" t="n">
        <v>44267</v>
      </c>
      <c r="C3361" s="1" t="n">
        <v>45357</v>
      </c>
      <c r="D3361" t="inlineStr">
        <is>
          <t>GÄVLEBORGS LÄN</t>
        </is>
      </c>
      <c r="E3361" t="inlineStr">
        <is>
          <t>LJUSDAL</t>
        </is>
      </c>
      <c r="F3361" t="inlineStr">
        <is>
          <t>Bergvik skog väst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12358-2021</t>
        </is>
      </c>
      <c r="B3362" s="1" t="n">
        <v>44267</v>
      </c>
      <c r="C3362" s="1" t="n">
        <v>45357</v>
      </c>
      <c r="D3362" t="inlineStr">
        <is>
          <t>GÄVLEBORGS LÄN</t>
        </is>
      </c>
      <c r="E3362" t="inlineStr">
        <is>
          <t>SÖDERHAMN</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12399-2021</t>
        </is>
      </c>
      <c r="B3363" s="1" t="n">
        <v>44267</v>
      </c>
      <c r="C3363" s="1" t="n">
        <v>45357</v>
      </c>
      <c r="D3363" t="inlineStr">
        <is>
          <t>GÄVLEBORGS LÄN</t>
        </is>
      </c>
      <c r="E3363" t="inlineStr">
        <is>
          <t>HOFORS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12391-2021</t>
        </is>
      </c>
      <c r="B3364" s="1" t="n">
        <v>44267</v>
      </c>
      <c r="C3364" s="1" t="n">
        <v>45357</v>
      </c>
      <c r="D3364" t="inlineStr">
        <is>
          <t>GÄVLEBORGS LÄN</t>
        </is>
      </c>
      <c r="E3364" t="inlineStr">
        <is>
          <t>LJUSDAL</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12469-2021</t>
        </is>
      </c>
      <c r="B3365" s="1" t="n">
        <v>44267</v>
      </c>
      <c r="C3365" s="1" t="n">
        <v>45357</v>
      </c>
      <c r="D3365" t="inlineStr">
        <is>
          <t>GÄVLEBORGS LÄN</t>
        </is>
      </c>
      <c r="E3365" t="inlineStr">
        <is>
          <t>SÖDERHAMN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12474-2021</t>
        </is>
      </c>
      <c r="B3366" s="1" t="n">
        <v>44267</v>
      </c>
      <c r="C3366" s="1" t="n">
        <v>45357</v>
      </c>
      <c r="D3366" t="inlineStr">
        <is>
          <t>GÄVLEBORGS LÄN</t>
        </is>
      </c>
      <c r="E3366" t="inlineStr">
        <is>
          <t>BOLLNÄS</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12476-2021</t>
        </is>
      </c>
      <c r="B3367" s="1" t="n">
        <v>44267</v>
      </c>
      <c r="C3367" s="1" t="n">
        <v>45357</v>
      </c>
      <c r="D3367" t="inlineStr">
        <is>
          <t>GÄVLEBORGS LÄN</t>
        </is>
      </c>
      <c r="E3367" t="inlineStr">
        <is>
          <t>BOLLNÄS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12480-2021</t>
        </is>
      </c>
      <c r="B3368" s="1" t="n">
        <v>44267</v>
      </c>
      <c r="C3368" s="1" t="n">
        <v>45357</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12648-2021</t>
        </is>
      </c>
      <c r="B3369" s="1" t="n">
        <v>44270</v>
      </c>
      <c r="C3369" s="1" t="n">
        <v>45357</v>
      </c>
      <c r="D3369" t="inlineStr">
        <is>
          <t>GÄVLEBORGS LÄN</t>
        </is>
      </c>
      <c r="E3369" t="inlineStr">
        <is>
          <t>LJUSDAL</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12723-2021</t>
        </is>
      </c>
      <c r="B3370" s="1" t="n">
        <v>44270</v>
      </c>
      <c r="C3370" s="1" t="n">
        <v>45357</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12775-2021</t>
        </is>
      </c>
      <c r="B3371" s="1" t="n">
        <v>44270</v>
      </c>
      <c r="C3371" s="1" t="n">
        <v>45357</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12825-2021</t>
        </is>
      </c>
      <c r="B3372" s="1" t="n">
        <v>44270</v>
      </c>
      <c r="C3372" s="1" t="n">
        <v>45357</v>
      </c>
      <c r="D3372" t="inlineStr">
        <is>
          <t>GÄVLEBORGS LÄN</t>
        </is>
      </c>
      <c r="E3372" t="inlineStr">
        <is>
          <t>OVANÅKER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12824-2021</t>
        </is>
      </c>
      <c r="B3373" s="1" t="n">
        <v>44271</v>
      </c>
      <c r="C3373" s="1" t="n">
        <v>45357</v>
      </c>
      <c r="D3373" t="inlineStr">
        <is>
          <t>GÄVLEBORGS LÄN</t>
        </is>
      </c>
      <c r="E3373" t="inlineStr">
        <is>
          <t>OVANÅKER</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12841-2021</t>
        </is>
      </c>
      <c r="B3374" s="1" t="n">
        <v>44271</v>
      </c>
      <c r="C3374" s="1" t="n">
        <v>45357</v>
      </c>
      <c r="D3374" t="inlineStr">
        <is>
          <t>GÄVLEBORGS LÄN</t>
        </is>
      </c>
      <c r="E3374" t="inlineStr">
        <is>
          <t>GÄVLE</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12971-2021</t>
        </is>
      </c>
      <c r="B3375" s="1" t="n">
        <v>44271</v>
      </c>
      <c r="C3375" s="1" t="n">
        <v>45357</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13030-2021</t>
        </is>
      </c>
      <c r="B3376" s="1" t="n">
        <v>44271</v>
      </c>
      <c r="C3376" s="1" t="n">
        <v>45357</v>
      </c>
      <c r="D3376" t="inlineStr">
        <is>
          <t>GÄVLEBORGS LÄN</t>
        </is>
      </c>
      <c r="E3376" t="inlineStr">
        <is>
          <t>GÄVLE</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13084-2021</t>
        </is>
      </c>
      <c r="B3377" s="1" t="n">
        <v>44272</v>
      </c>
      <c r="C3377" s="1" t="n">
        <v>45357</v>
      </c>
      <c r="D3377" t="inlineStr">
        <is>
          <t>GÄVLEBORGS LÄN</t>
        </is>
      </c>
      <c r="E3377" t="inlineStr">
        <is>
          <t>SANDVIKEN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13276-2021</t>
        </is>
      </c>
      <c r="B3378" s="1" t="n">
        <v>44272</v>
      </c>
      <c r="C3378" s="1" t="n">
        <v>45357</v>
      </c>
      <c r="D3378" t="inlineStr">
        <is>
          <t>GÄVLEBORGS LÄN</t>
        </is>
      </c>
      <c r="E3378" t="inlineStr">
        <is>
          <t>OVANÅKER</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13297-2021</t>
        </is>
      </c>
      <c r="B3379" s="1" t="n">
        <v>44272</v>
      </c>
      <c r="C3379" s="1" t="n">
        <v>45357</v>
      </c>
      <c r="D3379" t="inlineStr">
        <is>
          <t>GÄVLEBORGS LÄN</t>
        </is>
      </c>
      <c r="E3379" t="inlineStr">
        <is>
          <t>GÄVLE</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13259-2021</t>
        </is>
      </c>
      <c r="B3380" s="1" t="n">
        <v>44272</v>
      </c>
      <c r="C3380" s="1" t="n">
        <v>45357</v>
      </c>
      <c r="D3380" t="inlineStr">
        <is>
          <t>GÄVLEBORGS LÄN</t>
        </is>
      </c>
      <c r="E3380" t="inlineStr">
        <is>
          <t>GÄVLE</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13404-2021</t>
        </is>
      </c>
      <c r="B3381" s="1" t="n">
        <v>44273</v>
      </c>
      <c r="C3381" s="1" t="n">
        <v>45357</v>
      </c>
      <c r="D3381" t="inlineStr">
        <is>
          <t>GÄVLEBORGS LÄN</t>
        </is>
      </c>
      <c r="E3381" t="inlineStr">
        <is>
          <t>OVANÅKER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13348-2021</t>
        </is>
      </c>
      <c r="B3382" s="1" t="n">
        <v>44273</v>
      </c>
      <c r="C3382" s="1" t="n">
        <v>45357</v>
      </c>
      <c r="D3382" t="inlineStr">
        <is>
          <t>GÄVLEBORGS LÄN</t>
        </is>
      </c>
      <c r="E3382" t="inlineStr">
        <is>
          <t>SANDVIKEN</t>
        </is>
      </c>
      <c r="F3382" t="inlineStr">
        <is>
          <t>Bergvik skog öst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13369-2021</t>
        </is>
      </c>
      <c r="B3383" s="1" t="n">
        <v>44273</v>
      </c>
      <c r="C3383" s="1" t="n">
        <v>45357</v>
      </c>
      <c r="D3383" t="inlineStr">
        <is>
          <t>GÄVLEBORGS LÄN</t>
        </is>
      </c>
      <c r="E3383" t="inlineStr">
        <is>
          <t>LJUSDAL</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13519-2021</t>
        </is>
      </c>
      <c r="B3384" s="1" t="n">
        <v>44273</v>
      </c>
      <c r="C3384" s="1" t="n">
        <v>45357</v>
      </c>
      <c r="D3384" t="inlineStr">
        <is>
          <t>GÄVLEBORGS LÄN</t>
        </is>
      </c>
      <c r="E3384" t="inlineStr">
        <is>
          <t>LJUSDAL</t>
        </is>
      </c>
      <c r="F3384" t="inlineStr">
        <is>
          <t>Sveaskog</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13521-2021</t>
        </is>
      </c>
      <c r="B3385" s="1" t="n">
        <v>44273</v>
      </c>
      <c r="C3385" s="1" t="n">
        <v>45357</v>
      </c>
      <c r="D3385" t="inlineStr">
        <is>
          <t>GÄVLEBORGS LÄN</t>
        </is>
      </c>
      <c r="E3385" t="inlineStr">
        <is>
          <t>LJUSDAL</t>
        </is>
      </c>
      <c r="F3385" t="inlineStr">
        <is>
          <t>Sveaskog</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13531-2021</t>
        </is>
      </c>
      <c r="B3386" s="1" t="n">
        <v>44273</v>
      </c>
      <c r="C3386" s="1" t="n">
        <v>45357</v>
      </c>
      <c r="D3386" t="inlineStr">
        <is>
          <t>GÄVLEBORGS LÄN</t>
        </is>
      </c>
      <c r="E3386" t="inlineStr">
        <is>
          <t>SANDVIKEN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13581-2021</t>
        </is>
      </c>
      <c r="B3387" s="1" t="n">
        <v>44274</v>
      </c>
      <c r="C3387" s="1" t="n">
        <v>45357</v>
      </c>
      <c r="D3387" t="inlineStr">
        <is>
          <t>GÄVLEBORGS LÄN</t>
        </is>
      </c>
      <c r="E3387" t="inlineStr">
        <is>
          <t>SÖDERHAMN</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13594-2021</t>
        </is>
      </c>
      <c r="B3388" s="1" t="n">
        <v>44274</v>
      </c>
      <c r="C3388" s="1" t="n">
        <v>45357</v>
      </c>
      <c r="D3388" t="inlineStr">
        <is>
          <t>GÄVLEBORGS LÄN</t>
        </is>
      </c>
      <c r="E3388" t="inlineStr">
        <is>
          <t>GÄVLE</t>
        </is>
      </c>
      <c r="F3388" t="inlineStr">
        <is>
          <t>Bergvik skog öst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13600-2021</t>
        </is>
      </c>
      <c r="B3389" s="1" t="n">
        <v>44274</v>
      </c>
      <c r="C3389" s="1" t="n">
        <v>45357</v>
      </c>
      <c r="D3389" t="inlineStr">
        <is>
          <t>GÄVLEBORGS LÄN</t>
        </is>
      </c>
      <c r="E3389" t="inlineStr">
        <is>
          <t>GÄVLE</t>
        </is>
      </c>
      <c r="F3389" t="inlineStr">
        <is>
          <t>Bergvik skog öst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13582-2021</t>
        </is>
      </c>
      <c r="B3390" s="1" t="n">
        <v>44274</v>
      </c>
      <c r="C3390" s="1" t="n">
        <v>45357</v>
      </c>
      <c r="D3390" t="inlineStr">
        <is>
          <t>GÄVLEBORGS LÄN</t>
        </is>
      </c>
      <c r="E3390" t="inlineStr">
        <is>
          <t>SÖDERHAMN</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13901-2021</t>
        </is>
      </c>
      <c r="B3391" s="1" t="n">
        <v>44277</v>
      </c>
      <c r="C3391" s="1" t="n">
        <v>45357</v>
      </c>
      <c r="D3391" t="inlineStr">
        <is>
          <t>GÄVLEBORGS LÄN</t>
        </is>
      </c>
      <c r="E3391" t="inlineStr">
        <is>
          <t>OVANÅKER</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13838-2021</t>
        </is>
      </c>
      <c r="B3392" s="1" t="n">
        <v>44277</v>
      </c>
      <c r="C3392" s="1" t="n">
        <v>45357</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14057-2021</t>
        </is>
      </c>
      <c r="B3393" s="1" t="n">
        <v>44277</v>
      </c>
      <c r="C3393" s="1" t="n">
        <v>45357</v>
      </c>
      <c r="D3393" t="inlineStr">
        <is>
          <t>GÄVLEBORGS LÄN</t>
        </is>
      </c>
      <c r="E3393" t="inlineStr">
        <is>
          <t>LJUSDAL</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14056-2021</t>
        </is>
      </c>
      <c r="B3394" s="1" t="n">
        <v>44277</v>
      </c>
      <c r="C3394" s="1" t="n">
        <v>45357</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14032-2021</t>
        </is>
      </c>
      <c r="B3395" s="1" t="n">
        <v>44277</v>
      </c>
      <c r="C3395" s="1" t="n">
        <v>45357</v>
      </c>
      <c r="D3395" t="inlineStr">
        <is>
          <t>GÄVLEBORGS LÄN</t>
        </is>
      </c>
      <c r="E3395" t="inlineStr">
        <is>
          <t>GÄVLE</t>
        </is>
      </c>
      <c r="F3395" t="inlineStr">
        <is>
          <t>Bergvik skog öst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14118-2021</t>
        </is>
      </c>
      <c r="B3396" s="1" t="n">
        <v>44278</v>
      </c>
      <c r="C3396" s="1" t="n">
        <v>45357</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14261-2021</t>
        </is>
      </c>
      <c r="B3397" s="1" t="n">
        <v>44278</v>
      </c>
      <c r="C3397" s="1" t="n">
        <v>45357</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14119-2021</t>
        </is>
      </c>
      <c r="B3398" s="1" t="n">
        <v>44278</v>
      </c>
      <c r="C3398" s="1" t="n">
        <v>45357</v>
      </c>
      <c r="D3398" t="inlineStr">
        <is>
          <t>GÄVLEBORGS LÄN</t>
        </is>
      </c>
      <c r="E3398" t="inlineStr">
        <is>
          <t>BOLLNÄS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14212-2021</t>
        </is>
      </c>
      <c r="B3399" s="1" t="n">
        <v>44278</v>
      </c>
      <c r="C3399" s="1" t="n">
        <v>45357</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14277-2021</t>
        </is>
      </c>
      <c r="B3400" s="1" t="n">
        <v>44278</v>
      </c>
      <c r="C3400" s="1" t="n">
        <v>45357</v>
      </c>
      <c r="D3400" t="inlineStr">
        <is>
          <t>GÄVLEBORGS LÄN</t>
        </is>
      </c>
      <c r="E3400" t="inlineStr">
        <is>
          <t>SANDVIKEN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14449-2021</t>
        </is>
      </c>
      <c r="B3401" s="1" t="n">
        <v>44279</v>
      </c>
      <c r="C3401" s="1" t="n">
        <v>45357</v>
      </c>
      <c r="D3401" t="inlineStr">
        <is>
          <t>GÄVLEBORGS LÄN</t>
        </is>
      </c>
      <c r="E3401" t="inlineStr">
        <is>
          <t>GÄVLE</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14462-2021</t>
        </is>
      </c>
      <c r="B3402" s="1" t="n">
        <v>44279</v>
      </c>
      <c r="C3402" s="1" t="n">
        <v>45357</v>
      </c>
      <c r="D3402" t="inlineStr">
        <is>
          <t>GÄVLEBORGS LÄN</t>
        </is>
      </c>
      <c r="E3402" t="inlineStr">
        <is>
          <t>BOLLNÄS</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14413-2021</t>
        </is>
      </c>
      <c r="B3403" s="1" t="n">
        <v>44279</v>
      </c>
      <c r="C3403" s="1" t="n">
        <v>45357</v>
      </c>
      <c r="D3403" t="inlineStr">
        <is>
          <t>GÄVLEBORGS LÄN</t>
        </is>
      </c>
      <c r="E3403" t="inlineStr">
        <is>
          <t>OVANÅKER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14463-2021</t>
        </is>
      </c>
      <c r="B3404" s="1" t="n">
        <v>44279</v>
      </c>
      <c r="C3404" s="1" t="n">
        <v>45357</v>
      </c>
      <c r="D3404" t="inlineStr">
        <is>
          <t>GÄVLEBORGS LÄN</t>
        </is>
      </c>
      <c r="E3404" t="inlineStr">
        <is>
          <t>OCKELBO</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14500-2021</t>
        </is>
      </c>
      <c r="B3405" s="1" t="n">
        <v>44279</v>
      </c>
      <c r="C3405" s="1" t="n">
        <v>45357</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14482-2021</t>
        </is>
      </c>
      <c r="B3406" s="1" t="n">
        <v>44279</v>
      </c>
      <c r="C3406" s="1" t="n">
        <v>45357</v>
      </c>
      <c r="D3406" t="inlineStr">
        <is>
          <t>GÄVLEBORGS LÄN</t>
        </is>
      </c>
      <c r="E3406" t="inlineStr">
        <is>
          <t>BOLLNÄS</t>
        </is>
      </c>
      <c r="F3406" t="inlineStr">
        <is>
          <t>Kommuner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14470-2021</t>
        </is>
      </c>
      <c r="B3407" s="1" t="n">
        <v>44279</v>
      </c>
      <c r="C3407" s="1" t="n">
        <v>45357</v>
      </c>
      <c r="D3407" t="inlineStr">
        <is>
          <t>GÄVLEBORGS LÄN</t>
        </is>
      </c>
      <c r="E3407" t="inlineStr">
        <is>
          <t>BOLLNÄS</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14498-2021</t>
        </is>
      </c>
      <c r="B3408" s="1" t="n">
        <v>44279</v>
      </c>
      <c r="C3408" s="1" t="n">
        <v>45357</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14594-2021</t>
        </is>
      </c>
      <c r="B3409" s="1" t="n">
        <v>44279</v>
      </c>
      <c r="C3409" s="1" t="n">
        <v>45357</v>
      </c>
      <c r="D3409" t="inlineStr">
        <is>
          <t>GÄVLEBORGS LÄN</t>
        </is>
      </c>
      <c r="E3409" t="inlineStr">
        <is>
          <t>GÄVLE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15047-2021</t>
        </is>
      </c>
      <c r="B3410" s="1" t="n">
        <v>44281</v>
      </c>
      <c r="C3410" s="1" t="n">
        <v>45357</v>
      </c>
      <c r="D3410" t="inlineStr">
        <is>
          <t>GÄVLEBORGS LÄN</t>
        </is>
      </c>
      <c r="E3410" t="inlineStr">
        <is>
          <t>GÄVLE</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15173-2021</t>
        </is>
      </c>
      <c r="B3411" s="1" t="n">
        <v>44284</v>
      </c>
      <c r="C3411" s="1" t="n">
        <v>45357</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15292-2021</t>
        </is>
      </c>
      <c r="B3412" s="1" t="n">
        <v>44284</v>
      </c>
      <c r="C3412" s="1" t="n">
        <v>45357</v>
      </c>
      <c r="D3412" t="inlineStr">
        <is>
          <t>GÄVLEBORGS LÄN</t>
        </is>
      </c>
      <c r="E3412" t="inlineStr">
        <is>
          <t>NORDANSTIG</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15304-2021</t>
        </is>
      </c>
      <c r="B3413" s="1" t="n">
        <v>44284</v>
      </c>
      <c r="C3413" s="1" t="n">
        <v>45357</v>
      </c>
      <c r="D3413" t="inlineStr">
        <is>
          <t>GÄVLEBORGS LÄN</t>
        </is>
      </c>
      <c r="E3413" t="inlineStr">
        <is>
          <t>NORDANSTIG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15280-2021</t>
        </is>
      </c>
      <c r="B3414" s="1" t="n">
        <v>44284</v>
      </c>
      <c r="C3414" s="1" t="n">
        <v>45357</v>
      </c>
      <c r="D3414" t="inlineStr">
        <is>
          <t>GÄVLEBORGS LÄN</t>
        </is>
      </c>
      <c r="E3414" t="inlineStr">
        <is>
          <t>GÄVLE</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15372-2021</t>
        </is>
      </c>
      <c r="B3415" s="1" t="n">
        <v>44284</v>
      </c>
      <c r="C3415" s="1" t="n">
        <v>45357</v>
      </c>
      <c r="D3415" t="inlineStr">
        <is>
          <t>GÄVLEBORGS LÄN</t>
        </is>
      </c>
      <c r="E3415" t="inlineStr">
        <is>
          <t>GÄVLE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15615-2021</t>
        </is>
      </c>
      <c r="B3416" s="1" t="n">
        <v>44285</v>
      </c>
      <c r="C3416" s="1" t="n">
        <v>45357</v>
      </c>
      <c r="D3416" t="inlineStr">
        <is>
          <t>GÄVLEBORGS LÄN</t>
        </is>
      </c>
      <c r="E3416" t="inlineStr">
        <is>
          <t>HUDIKSVALL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15534-2021</t>
        </is>
      </c>
      <c r="B3417" s="1" t="n">
        <v>44285</v>
      </c>
      <c r="C3417" s="1" t="n">
        <v>45357</v>
      </c>
      <c r="D3417" t="inlineStr">
        <is>
          <t>GÄVLEBORGS LÄN</t>
        </is>
      </c>
      <c r="E3417" t="inlineStr">
        <is>
          <t>OVANÅKER</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15763-2021</t>
        </is>
      </c>
      <c r="B3418" s="1" t="n">
        <v>44286</v>
      </c>
      <c r="C3418" s="1" t="n">
        <v>45357</v>
      </c>
      <c r="D3418" t="inlineStr">
        <is>
          <t>GÄVLEBORGS LÄN</t>
        </is>
      </c>
      <c r="E3418" t="inlineStr">
        <is>
          <t>GÄVLE</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15824-2021</t>
        </is>
      </c>
      <c r="B3419" s="1" t="n">
        <v>44286</v>
      </c>
      <c r="C3419" s="1" t="n">
        <v>45357</v>
      </c>
      <c r="D3419" t="inlineStr">
        <is>
          <t>GÄVLEBORGS LÄN</t>
        </is>
      </c>
      <c r="E3419" t="inlineStr">
        <is>
          <t>GÄVLE</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15738-2021</t>
        </is>
      </c>
      <c r="B3420" s="1" t="n">
        <v>44286</v>
      </c>
      <c r="C3420" s="1" t="n">
        <v>45357</v>
      </c>
      <c r="D3420" t="inlineStr">
        <is>
          <t>GÄVLEBORGS LÄN</t>
        </is>
      </c>
      <c r="E3420" t="inlineStr">
        <is>
          <t>GÄVLE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15904-2021</t>
        </is>
      </c>
      <c r="B3421" s="1" t="n">
        <v>44286</v>
      </c>
      <c r="C3421" s="1" t="n">
        <v>45357</v>
      </c>
      <c r="D3421" t="inlineStr">
        <is>
          <t>GÄVLEBORGS LÄN</t>
        </is>
      </c>
      <c r="E3421" t="inlineStr">
        <is>
          <t>GÄVLE</t>
        </is>
      </c>
      <c r="F3421" t="inlineStr">
        <is>
          <t>Bergvik skog väst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15982-2021</t>
        </is>
      </c>
      <c r="B3422" s="1" t="n">
        <v>44287</v>
      </c>
      <c r="C3422" s="1" t="n">
        <v>45357</v>
      </c>
      <c r="D3422" t="inlineStr">
        <is>
          <t>GÄVLEBORGS LÄN</t>
        </is>
      </c>
      <c r="E3422" t="inlineStr">
        <is>
          <t>NORDANSTIG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15902-2021</t>
        </is>
      </c>
      <c r="B3423" s="1" t="n">
        <v>44287</v>
      </c>
      <c r="C3423" s="1" t="n">
        <v>45357</v>
      </c>
      <c r="D3423" t="inlineStr">
        <is>
          <t>GÄVLEBORGS LÄN</t>
        </is>
      </c>
      <c r="E3423" t="inlineStr">
        <is>
          <t>OVANÅKER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15929-2021</t>
        </is>
      </c>
      <c r="B3424" s="1" t="n">
        <v>44287</v>
      </c>
      <c r="C3424" s="1" t="n">
        <v>45357</v>
      </c>
      <c r="D3424" t="inlineStr">
        <is>
          <t>GÄVLEBORGS LÄN</t>
        </is>
      </c>
      <c r="E3424" t="inlineStr">
        <is>
          <t>SÖDERHAMN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16154-2021</t>
        </is>
      </c>
      <c r="B3425" s="1" t="n">
        <v>44292</v>
      </c>
      <c r="C3425" s="1" t="n">
        <v>45357</v>
      </c>
      <c r="D3425" t="inlineStr">
        <is>
          <t>GÄVLEBORGS LÄN</t>
        </is>
      </c>
      <c r="E3425" t="inlineStr">
        <is>
          <t>LJUSDAL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16307-2021</t>
        </is>
      </c>
      <c r="B3426" s="1" t="n">
        <v>44292</v>
      </c>
      <c r="C3426" s="1" t="n">
        <v>45357</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16312-2021</t>
        </is>
      </c>
      <c r="B3427" s="1" t="n">
        <v>44292</v>
      </c>
      <c r="C3427" s="1" t="n">
        <v>45357</v>
      </c>
      <c r="D3427" t="inlineStr">
        <is>
          <t>GÄVLEBORGS LÄN</t>
        </is>
      </c>
      <c r="E3427" t="inlineStr">
        <is>
          <t>SÖDERHAMN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16305-2021</t>
        </is>
      </c>
      <c r="B3428" s="1" t="n">
        <v>44292</v>
      </c>
      <c r="C3428" s="1" t="n">
        <v>45357</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16532-2021</t>
        </is>
      </c>
      <c r="B3429" s="1" t="n">
        <v>44293</v>
      </c>
      <c r="C3429" s="1" t="n">
        <v>45357</v>
      </c>
      <c r="D3429" t="inlineStr">
        <is>
          <t>GÄVLEBORGS LÄN</t>
        </is>
      </c>
      <c r="E3429" t="inlineStr">
        <is>
          <t>SÖDERHAMN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16559-2021</t>
        </is>
      </c>
      <c r="B3430" s="1" t="n">
        <v>44294</v>
      </c>
      <c r="C3430" s="1" t="n">
        <v>45357</v>
      </c>
      <c r="D3430" t="inlineStr">
        <is>
          <t>GÄVLEBORGS LÄN</t>
        </is>
      </c>
      <c r="E3430" t="inlineStr">
        <is>
          <t>HUDIKSVALL</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16584-2021</t>
        </is>
      </c>
      <c r="B3431" s="1" t="n">
        <v>44293</v>
      </c>
      <c r="C3431" s="1" t="n">
        <v>45357</v>
      </c>
      <c r="D3431" t="inlineStr">
        <is>
          <t>GÄVLEBORGS LÄN</t>
        </is>
      </c>
      <c r="E3431" t="inlineStr">
        <is>
          <t>SANDVIKEN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16574-2021</t>
        </is>
      </c>
      <c r="B3432" s="1" t="n">
        <v>44294</v>
      </c>
      <c r="C3432" s="1" t="n">
        <v>45357</v>
      </c>
      <c r="D3432" t="inlineStr">
        <is>
          <t>GÄVLEBORGS LÄN</t>
        </is>
      </c>
      <c r="E3432" t="inlineStr">
        <is>
          <t>GÄVLE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16699-2021</t>
        </is>
      </c>
      <c r="B3433" s="1" t="n">
        <v>44294</v>
      </c>
      <c r="C3433" s="1" t="n">
        <v>45357</v>
      </c>
      <c r="D3433" t="inlineStr">
        <is>
          <t>GÄVLEBORGS LÄN</t>
        </is>
      </c>
      <c r="E3433" t="inlineStr">
        <is>
          <t>LJUSDAL</t>
        </is>
      </c>
      <c r="F3433" t="inlineStr">
        <is>
          <t>Kyrkan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16717-2021</t>
        </is>
      </c>
      <c r="B3434" s="1" t="n">
        <v>44294</v>
      </c>
      <c r="C3434" s="1" t="n">
        <v>45357</v>
      </c>
      <c r="D3434" t="inlineStr">
        <is>
          <t>GÄVLEBORGS LÄN</t>
        </is>
      </c>
      <c r="E3434" t="inlineStr">
        <is>
          <t>OCKELBO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16709-2021</t>
        </is>
      </c>
      <c r="B3435" s="1" t="n">
        <v>44294</v>
      </c>
      <c r="C3435" s="1" t="n">
        <v>45357</v>
      </c>
      <c r="D3435" t="inlineStr">
        <is>
          <t>GÄVLEBORGS LÄN</t>
        </is>
      </c>
      <c r="E3435" t="inlineStr">
        <is>
          <t>LJUSDAL</t>
        </is>
      </c>
      <c r="F3435" t="inlineStr">
        <is>
          <t>Kyrkan</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16581-2021</t>
        </is>
      </c>
      <c r="B3436" s="1" t="n">
        <v>44294</v>
      </c>
      <c r="C3436" s="1" t="n">
        <v>45357</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16713-2021</t>
        </is>
      </c>
      <c r="B3437" s="1" t="n">
        <v>44294</v>
      </c>
      <c r="C3437" s="1" t="n">
        <v>45357</v>
      </c>
      <c r="D3437" t="inlineStr">
        <is>
          <t>GÄVLEBORGS LÄN</t>
        </is>
      </c>
      <c r="E3437" t="inlineStr">
        <is>
          <t>GÄVLE</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16714-2021</t>
        </is>
      </c>
      <c r="B3438" s="1" t="n">
        <v>44294</v>
      </c>
      <c r="C3438" s="1" t="n">
        <v>45357</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16980-2021</t>
        </is>
      </c>
      <c r="B3439" s="1" t="n">
        <v>44295</v>
      </c>
      <c r="C3439" s="1" t="n">
        <v>45357</v>
      </c>
      <c r="D3439" t="inlineStr">
        <is>
          <t>GÄVLEBORGS LÄN</t>
        </is>
      </c>
      <c r="E3439" t="inlineStr">
        <is>
          <t>BOLLNÄS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16925-2021</t>
        </is>
      </c>
      <c r="B3440" s="1" t="n">
        <v>44295</v>
      </c>
      <c r="C3440" s="1" t="n">
        <v>45357</v>
      </c>
      <c r="D3440" t="inlineStr">
        <is>
          <t>GÄVLEBORGS LÄN</t>
        </is>
      </c>
      <c r="E3440" t="inlineStr">
        <is>
          <t>LJUSDAL</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16931-2021</t>
        </is>
      </c>
      <c r="B3441" s="1" t="n">
        <v>44295</v>
      </c>
      <c r="C3441" s="1" t="n">
        <v>45357</v>
      </c>
      <c r="D3441" t="inlineStr">
        <is>
          <t>GÄVLEBORGS LÄN</t>
        </is>
      </c>
      <c r="E3441" t="inlineStr">
        <is>
          <t>GÄVLE</t>
        </is>
      </c>
      <c r="F3441" t="inlineStr">
        <is>
          <t>Kyrkan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16985-2021</t>
        </is>
      </c>
      <c r="B3442" s="1" t="n">
        <v>44295</v>
      </c>
      <c r="C3442" s="1" t="n">
        <v>45357</v>
      </c>
      <c r="D3442" t="inlineStr">
        <is>
          <t>GÄVLEBORGS LÄN</t>
        </is>
      </c>
      <c r="E3442" t="inlineStr">
        <is>
          <t>HOFORS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16913-2021</t>
        </is>
      </c>
      <c r="B3443" s="1" t="n">
        <v>44295</v>
      </c>
      <c r="C3443" s="1" t="n">
        <v>45357</v>
      </c>
      <c r="D3443" t="inlineStr">
        <is>
          <t>GÄVLEBORGS LÄN</t>
        </is>
      </c>
      <c r="E3443" t="inlineStr">
        <is>
          <t>HUDIKSVALL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17064-2021</t>
        </is>
      </c>
      <c r="B3444" s="1" t="n">
        <v>44297</v>
      </c>
      <c r="C3444" s="1" t="n">
        <v>45357</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17114-2021</t>
        </is>
      </c>
      <c r="B3445" s="1" t="n">
        <v>44298</v>
      </c>
      <c r="C3445" s="1" t="n">
        <v>45357</v>
      </c>
      <c r="D3445" t="inlineStr">
        <is>
          <t>GÄVLEBORGS LÄN</t>
        </is>
      </c>
      <c r="E3445" t="inlineStr">
        <is>
          <t>LJUSDAL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17215-2021</t>
        </is>
      </c>
      <c r="B3446" s="1" t="n">
        <v>44298</v>
      </c>
      <c r="C3446" s="1" t="n">
        <v>45357</v>
      </c>
      <c r="D3446" t="inlineStr">
        <is>
          <t>GÄVLEBORGS LÄN</t>
        </is>
      </c>
      <c r="E3446" t="inlineStr">
        <is>
          <t>OVANÅKER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17236-2021</t>
        </is>
      </c>
      <c r="B3447" s="1" t="n">
        <v>44298</v>
      </c>
      <c r="C3447" s="1" t="n">
        <v>45357</v>
      </c>
      <c r="D3447" t="inlineStr">
        <is>
          <t>GÄVLEBORGS LÄN</t>
        </is>
      </c>
      <c r="E3447" t="inlineStr">
        <is>
          <t>BOLLNÄS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17290-2021</t>
        </is>
      </c>
      <c r="B3448" s="1" t="n">
        <v>44298</v>
      </c>
      <c r="C3448" s="1" t="n">
        <v>45357</v>
      </c>
      <c r="D3448" t="inlineStr">
        <is>
          <t>GÄVLEBORGS LÄN</t>
        </is>
      </c>
      <c r="E3448" t="inlineStr">
        <is>
          <t>OVANÅKER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17172-2021</t>
        </is>
      </c>
      <c r="B3449" s="1" t="n">
        <v>44298</v>
      </c>
      <c r="C3449" s="1" t="n">
        <v>45357</v>
      </c>
      <c r="D3449" t="inlineStr">
        <is>
          <t>GÄVLEBORGS LÄN</t>
        </is>
      </c>
      <c r="E3449" t="inlineStr">
        <is>
          <t>SÖDERHAMN</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17117-2021</t>
        </is>
      </c>
      <c r="B3450" s="1" t="n">
        <v>44298</v>
      </c>
      <c r="C3450" s="1" t="n">
        <v>45357</v>
      </c>
      <c r="D3450" t="inlineStr">
        <is>
          <t>GÄVLEBORGS LÄN</t>
        </is>
      </c>
      <c r="E3450" t="inlineStr">
        <is>
          <t>LJUSDAL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17557-2021</t>
        </is>
      </c>
      <c r="B3451" s="1" t="n">
        <v>44299</v>
      </c>
      <c r="C3451" s="1" t="n">
        <v>45357</v>
      </c>
      <c r="D3451" t="inlineStr">
        <is>
          <t>GÄVLEBORGS LÄN</t>
        </is>
      </c>
      <c r="E3451" t="inlineStr">
        <is>
          <t>BOLLNÄS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17544-2021</t>
        </is>
      </c>
      <c r="B3452" s="1" t="n">
        <v>44299</v>
      </c>
      <c r="C3452" s="1" t="n">
        <v>45357</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17555-2021</t>
        </is>
      </c>
      <c r="B3453" s="1" t="n">
        <v>44299</v>
      </c>
      <c r="C3453" s="1" t="n">
        <v>45357</v>
      </c>
      <c r="D3453" t="inlineStr">
        <is>
          <t>GÄVLEBORGS LÄN</t>
        </is>
      </c>
      <c r="E3453" t="inlineStr">
        <is>
          <t>BOLLNÄS</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17593-2021</t>
        </is>
      </c>
      <c r="B3454" s="1" t="n">
        <v>44300</v>
      </c>
      <c r="C3454" s="1" t="n">
        <v>45357</v>
      </c>
      <c r="D3454" t="inlineStr">
        <is>
          <t>GÄVLEBORGS LÄN</t>
        </is>
      </c>
      <c r="E3454" t="inlineStr">
        <is>
          <t>GÄVLE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17656-2021</t>
        </is>
      </c>
      <c r="B3455" s="1" t="n">
        <v>44300</v>
      </c>
      <c r="C3455" s="1" t="n">
        <v>45357</v>
      </c>
      <c r="D3455" t="inlineStr">
        <is>
          <t>GÄVLEBORGS LÄN</t>
        </is>
      </c>
      <c r="E3455" t="inlineStr">
        <is>
          <t>GÄVLE</t>
        </is>
      </c>
      <c r="F3455" t="inlineStr">
        <is>
          <t>Bergvik skog väst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17834-2021</t>
        </is>
      </c>
      <c r="B3456" s="1" t="n">
        <v>44300</v>
      </c>
      <c r="C3456" s="1" t="n">
        <v>45357</v>
      </c>
      <c r="D3456" t="inlineStr">
        <is>
          <t>GÄVLEBORGS LÄN</t>
        </is>
      </c>
      <c r="E3456" t="inlineStr">
        <is>
          <t>GÄVLE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17935-2021</t>
        </is>
      </c>
      <c r="B3457" s="1" t="n">
        <v>44301</v>
      </c>
      <c r="C3457" s="1" t="n">
        <v>45357</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17959-2021</t>
        </is>
      </c>
      <c r="B3458" s="1" t="n">
        <v>44301</v>
      </c>
      <c r="C3458" s="1" t="n">
        <v>45357</v>
      </c>
      <c r="D3458" t="inlineStr">
        <is>
          <t>GÄVLEBORGS LÄN</t>
        </is>
      </c>
      <c r="E3458" t="inlineStr">
        <is>
          <t>OVANÅKER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17983-2021</t>
        </is>
      </c>
      <c r="B3459" s="1" t="n">
        <v>44301</v>
      </c>
      <c r="C3459" s="1" t="n">
        <v>45357</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18082-2021</t>
        </is>
      </c>
      <c r="B3460" s="1" t="n">
        <v>44302</v>
      </c>
      <c r="C3460" s="1" t="n">
        <v>45357</v>
      </c>
      <c r="D3460" t="inlineStr">
        <is>
          <t>GÄVLEBORGS LÄN</t>
        </is>
      </c>
      <c r="E3460" t="inlineStr">
        <is>
          <t>HUDIKSVALL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18096-2021</t>
        </is>
      </c>
      <c r="B3461" s="1" t="n">
        <v>44302</v>
      </c>
      <c r="C3461" s="1" t="n">
        <v>45357</v>
      </c>
      <c r="D3461" t="inlineStr">
        <is>
          <t>GÄVLEBORGS LÄN</t>
        </is>
      </c>
      <c r="E3461" t="inlineStr">
        <is>
          <t>LJUSDAL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18108-2021</t>
        </is>
      </c>
      <c r="B3462" s="1" t="n">
        <v>44302</v>
      </c>
      <c r="C3462" s="1" t="n">
        <v>45357</v>
      </c>
      <c r="D3462" t="inlineStr">
        <is>
          <t>GÄVLEBORGS LÄN</t>
        </is>
      </c>
      <c r="E3462" t="inlineStr">
        <is>
          <t>LJUSDAL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18151-2021</t>
        </is>
      </c>
      <c r="B3463" s="1" t="n">
        <v>44302</v>
      </c>
      <c r="C3463" s="1" t="n">
        <v>45357</v>
      </c>
      <c r="D3463" t="inlineStr">
        <is>
          <t>GÄVLEBORGS LÄN</t>
        </is>
      </c>
      <c r="E3463" t="inlineStr">
        <is>
          <t>LJUSDAL</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18078-2021</t>
        </is>
      </c>
      <c r="B3464" s="1" t="n">
        <v>44302</v>
      </c>
      <c r="C3464" s="1" t="n">
        <v>45357</v>
      </c>
      <c r="D3464" t="inlineStr">
        <is>
          <t>GÄVLEBORGS LÄN</t>
        </is>
      </c>
      <c r="E3464" t="inlineStr">
        <is>
          <t>LJUSDAL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18084-2021</t>
        </is>
      </c>
      <c r="B3465" s="1" t="n">
        <v>44302</v>
      </c>
      <c r="C3465" s="1" t="n">
        <v>45357</v>
      </c>
      <c r="D3465" t="inlineStr">
        <is>
          <t>GÄVLEBORGS LÄN</t>
        </is>
      </c>
      <c r="E3465" t="inlineStr">
        <is>
          <t>HUDIKSVALL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18112-2021</t>
        </is>
      </c>
      <c r="B3466" s="1" t="n">
        <v>44302</v>
      </c>
      <c r="C3466" s="1" t="n">
        <v>45357</v>
      </c>
      <c r="D3466" t="inlineStr">
        <is>
          <t>GÄVLEBORGS LÄN</t>
        </is>
      </c>
      <c r="E3466" t="inlineStr">
        <is>
          <t>SÖDERHAMN</t>
        </is>
      </c>
      <c r="F3466" t="inlineStr">
        <is>
          <t>Kyrkan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18176-2021</t>
        </is>
      </c>
      <c r="B3467" s="1" t="n">
        <v>44302</v>
      </c>
      <c r="C3467" s="1" t="n">
        <v>45357</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18039-2021</t>
        </is>
      </c>
      <c r="B3468" s="1" t="n">
        <v>44302</v>
      </c>
      <c r="C3468" s="1" t="n">
        <v>45357</v>
      </c>
      <c r="D3468" t="inlineStr">
        <is>
          <t>GÄVLEBORGS LÄN</t>
        </is>
      </c>
      <c r="E3468" t="inlineStr">
        <is>
          <t>LJUSDAL</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18350-2021</t>
        </is>
      </c>
      <c r="B3469" s="1" t="n">
        <v>44305</v>
      </c>
      <c r="C3469" s="1" t="n">
        <v>45357</v>
      </c>
      <c r="D3469" t="inlineStr">
        <is>
          <t>GÄVLEBORGS LÄN</t>
        </is>
      </c>
      <c r="E3469" t="inlineStr">
        <is>
          <t>OVANÅKER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18417-2021</t>
        </is>
      </c>
      <c r="B3470" s="1" t="n">
        <v>44305</v>
      </c>
      <c r="C3470" s="1" t="n">
        <v>45357</v>
      </c>
      <c r="D3470" t="inlineStr">
        <is>
          <t>GÄVLEBORGS LÄN</t>
        </is>
      </c>
      <c r="E3470" t="inlineStr">
        <is>
          <t>HUDIKSVALL</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18264-2021</t>
        </is>
      </c>
      <c r="B3471" s="1" t="n">
        <v>44305</v>
      </c>
      <c r="C3471" s="1" t="n">
        <v>45357</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18431-2021</t>
        </is>
      </c>
      <c r="B3472" s="1" t="n">
        <v>44305</v>
      </c>
      <c r="C3472" s="1" t="n">
        <v>45357</v>
      </c>
      <c r="D3472" t="inlineStr">
        <is>
          <t>GÄVLEBORGS LÄN</t>
        </is>
      </c>
      <c r="E3472" t="inlineStr">
        <is>
          <t>GÄVLE</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18398-2021</t>
        </is>
      </c>
      <c r="B3473" s="1" t="n">
        <v>44305</v>
      </c>
      <c r="C3473" s="1" t="n">
        <v>45357</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18430-2021</t>
        </is>
      </c>
      <c r="B3474" s="1" t="n">
        <v>44305</v>
      </c>
      <c r="C3474" s="1" t="n">
        <v>45357</v>
      </c>
      <c r="D3474" t="inlineStr">
        <is>
          <t>GÄVLEBORGS LÄN</t>
        </is>
      </c>
      <c r="E3474" t="inlineStr">
        <is>
          <t>NORDANSTIG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18394-2021</t>
        </is>
      </c>
      <c r="B3475" s="1" t="n">
        <v>44305</v>
      </c>
      <c r="C3475" s="1" t="n">
        <v>45357</v>
      </c>
      <c r="D3475" t="inlineStr">
        <is>
          <t>GÄVLEBORGS LÄN</t>
        </is>
      </c>
      <c r="E3475" t="inlineStr">
        <is>
          <t>NORDANSTIG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18483-2021</t>
        </is>
      </c>
      <c r="B3476" s="1" t="n">
        <v>44306</v>
      </c>
      <c r="C3476" s="1" t="n">
        <v>45357</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18496-2021</t>
        </is>
      </c>
      <c r="B3477" s="1" t="n">
        <v>44306</v>
      </c>
      <c r="C3477" s="1" t="n">
        <v>45357</v>
      </c>
      <c r="D3477" t="inlineStr">
        <is>
          <t>GÄVLEBORGS LÄN</t>
        </is>
      </c>
      <c r="E3477" t="inlineStr">
        <is>
          <t>SANDVIKEN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18818-2021</t>
        </is>
      </c>
      <c r="B3478" s="1" t="n">
        <v>44307</v>
      </c>
      <c r="C3478" s="1" t="n">
        <v>45357</v>
      </c>
      <c r="D3478" t="inlineStr">
        <is>
          <t>GÄVLEBORGS LÄN</t>
        </is>
      </c>
      <c r="E3478" t="inlineStr">
        <is>
          <t>HUDIKSVALL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18786-2021</t>
        </is>
      </c>
      <c r="B3479" s="1" t="n">
        <v>44307</v>
      </c>
      <c r="C3479" s="1" t="n">
        <v>45357</v>
      </c>
      <c r="D3479" t="inlineStr">
        <is>
          <t>GÄVLEBORGS LÄN</t>
        </is>
      </c>
      <c r="E3479" t="inlineStr">
        <is>
          <t>LJUSDAL</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18827-2021</t>
        </is>
      </c>
      <c r="B3480" s="1" t="n">
        <v>44307</v>
      </c>
      <c r="C3480" s="1" t="n">
        <v>45357</v>
      </c>
      <c r="D3480" t="inlineStr">
        <is>
          <t>GÄVLEBORGS LÄN</t>
        </is>
      </c>
      <c r="E3480" t="inlineStr">
        <is>
          <t>GÄVLE</t>
        </is>
      </c>
      <c r="F3480" t="inlineStr">
        <is>
          <t>Bergvik skog öst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19100-2021</t>
        </is>
      </c>
      <c r="B3481" s="1" t="n">
        <v>44308</v>
      </c>
      <c r="C3481" s="1" t="n">
        <v>45357</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18983-2021</t>
        </is>
      </c>
      <c r="B3482" s="1" t="n">
        <v>44308</v>
      </c>
      <c r="C3482" s="1" t="n">
        <v>45357</v>
      </c>
      <c r="D3482" t="inlineStr">
        <is>
          <t>GÄVLEBORGS LÄN</t>
        </is>
      </c>
      <c r="E3482" t="inlineStr">
        <is>
          <t>OCKELBO</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19129-2021</t>
        </is>
      </c>
      <c r="B3483" s="1" t="n">
        <v>44308</v>
      </c>
      <c r="C3483" s="1" t="n">
        <v>45357</v>
      </c>
      <c r="D3483" t="inlineStr">
        <is>
          <t>GÄVLEBORGS LÄN</t>
        </is>
      </c>
      <c r="E3483" t="inlineStr">
        <is>
          <t>LJUSDAL</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19117-2021</t>
        </is>
      </c>
      <c r="B3484" s="1" t="n">
        <v>44308</v>
      </c>
      <c r="C3484" s="1" t="n">
        <v>45357</v>
      </c>
      <c r="D3484" t="inlineStr">
        <is>
          <t>GÄVLEBORGS LÄN</t>
        </is>
      </c>
      <c r="E3484" t="inlineStr">
        <is>
          <t>LJUSDAL</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19180-2021</t>
        </is>
      </c>
      <c r="B3485" s="1" t="n">
        <v>44308</v>
      </c>
      <c r="C3485" s="1" t="n">
        <v>45357</v>
      </c>
      <c r="D3485" t="inlineStr">
        <is>
          <t>GÄVLEBORGS LÄN</t>
        </is>
      </c>
      <c r="E3485" t="inlineStr">
        <is>
          <t>GÄVLE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19109-2021</t>
        </is>
      </c>
      <c r="B3486" s="1" t="n">
        <v>44308</v>
      </c>
      <c r="C3486" s="1" t="n">
        <v>45357</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19178-2021</t>
        </is>
      </c>
      <c r="B3487" s="1" t="n">
        <v>44308</v>
      </c>
      <c r="C3487" s="1" t="n">
        <v>45357</v>
      </c>
      <c r="D3487" t="inlineStr">
        <is>
          <t>GÄVLEBORGS LÄN</t>
        </is>
      </c>
      <c r="E3487" t="inlineStr">
        <is>
          <t>GÄVLE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19241-2021</t>
        </is>
      </c>
      <c r="B3488" s="1" t="n">
        <v>44309</v>
      </c>
      <c r="C3488" s="1" t="n">
        <v>45357</v>
      </c>
      <c r="D3488" t="inlineStr">
        <is>
          <t>GÄVLEBORGS LÄN</t>
        </is>
      </c>
      <c r="E3488" t="inlineStr">
        <is>
          <t>OCKELBO</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19264-2021</t>
        </is>
      </c>
      <c r="B3489" s="1" t="n">
        <v>44309</v>
      </c>
      <c r="C3489" s="1" t="n">
        <v>45357</v>
      </c>
      <c r="D3489" t="inlineStr">
        <is>
          <t>GÄVLEBORGS LÄN</t>
        </is>
      </c>
      <c r="E3489" t="inlineStr">
        <is>
          <t>NORDANSTIG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19279-2021</t>
        </is>
      </c>
      <c r="B3490" s="1" t="n">
        <v>44309</v>
      </c>
      <c r="C3490" s="1" t="n">
        <v>45357</v>
      </c>
      <c r="D3490" t="inlineStr">
        <is>
          <t>GÄVLEBORGS LÄN</t>
        </is>
      </c>
      <c r="E3490" t="inlineStr">
        <is>
          <t>SANDVIKEN</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19405-2021</t>
        </is>
      </c>
      <c r="B3491" s="1" t="n">
        <v>44309</v>
      </c>
      <c r="C3491" s="1" t="n">
        <v>45357</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19441-2021</t>
        </is>
      </c>
      <c r="B3492" s="1" t="n">
        <v>44310</v>
      </c>
      <c r="C3492" s="1" t="n">
        <v>45357</v>
      </c>
      <c r="D3492" t="inlineStr">
        <is>
          <t>GÄVLEBORGS LÄN</t>
        </is>
      </c>
      <c r="E3492" t="inlineStr">
        <is>
          <t>OVANÅKER</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19442-2021</t>
        </is>
      </c>
      <c r="B3493" s="1" t="n">
        <v>44310</v>
      </c>
      <c r="C3493" s="1" t="n">
        <v>45357</v>
      </c>
      <c r="D3493" t="inlineStr">
        <is>
          <t>GÄVLEBORGS LÄN</t>
        </is>
      </c>
      <c r="E3493" t="inlineStr">
        <is>
          <t>OVANÅKER</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19496-2021</t>
        </is>
      </c>
      <c r="B3494" s="1" t="n">
        <v>44312</v>
      </c>
      <c r="C3494" s="1" t="n">
        <v>45357</v>
      </c>
      <c r="D3494" t="inlineStr">
        <is>
          <t>GÄVLEBORGS LÄN</t>
        </is>
      </c>
      <c r="E3494" t="inlineStr">
        <is>
          <t>NORDANSTIG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19655-2021</t>
        </is>
      </c>
      <c r="B3495" s="1" t="n">
        <v>44312</v>
      </c>
      <c r="C3495" s="1" t="n">
        <v>45357</v>
      </c>
      <c r="D3495" t="inlineStr">
        <is>
          <t>GÄVLEBORGS LÄN</t>
        </is>
      </c>
      <c r="E3495" t="inlineStr">
        <is>
          <t>HUDIKSVALL</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19728-2021</t>
        </is>
      </c>
      <c r="B3496" s="1" t="n">
        <v>44313</v>
      </c>
      <c r="C3496" s="1" t="n">
        <v>45357</v>
      </c>
      <c r="D3496" t="inlineStr">
        <is>
          <t>GÄVLEBORGS LÄN</t>
        </is>
      </c>
      <c r="E3496" t="inlineStr">
        <is>
          <t>NORDANSTIG</t>
        </is>
      </c>
      <c r="G3496" t="n">
        <v>69.09999999999999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19661-2021</t>
        </is>
      </c>
      <c r="B3497" s="1" t="n">
        <v>44312</v>
      </c>
      <c r="C3497" s="1" t="n">
        <v>45357</v>
      </c>
      <c r="D3497" t="inlineStr">
        <is>
          <t>GÄVLEBORGS LÄN</t>
        </is>
      </c>
      <c r="E3497" t="inlineStr">
        <is>
          <t>OVANÅKER</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19919-2021</t>
        </is>
      </c>
      <c r="B3498" s="1" t="n">
        <v>44313</v>
      </c>
      <c r="C3498" s="1" t="n">
        <v>45357</v>
      </c>
      <c r="D3498" t="inlineStr">
        <is>
          <t>GÄVLEBORGS LÄN</t>
        </is>
      </c>
      <c r="E3498" t="inlineStr">
        <is>
          <t>OVANÅKER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19775-2021</t>
        </is>
      </c>
      <c r="B3499" s="1" t="n">
        <v>44313</v>
      </c>
      <c r="C3499" s="1" t="n">
        <v>45357</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19995-2021</t>
        </is>
      </c>
      <c r="B3500" s="1" t="n">
        <v>44313</v>
      </c>
      <c r="C3500" s="1" t="n">
        <v>45357</v>
      </c>
      <c r="D3500" t="inlineStr">
        <is>
          <t>GÄVLEBORGS LÄN</t>
        </is>
      </c>
      <c r="E3500" t="inlineStr">
        <is>
          <t>HUDIKSVALL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19973-2021</t>
        </is>
      </c>
      <c r="B3501" s="1" t="n">
        <v>44313</v>
      </c>
      <c r="C3501" s="1" t="n">
        <v>45357</v>
      </c>
      <c r="D3501" t="inlineStr">
        <is>
          <t>GÄVLEBORGS LÄN</t>
        </is>
      </c>
      <c r="E3501" t="inlineStr">
        <is>
          <t>LJUSDAL</t>
        </is>
      </c>
      <c r="F3501" t="inlineStr">
        <is>
          <t>Sveaskog</t>
        </is>
      </c>
      <c r="G3501" t="n">
        <v>38.9</v>
      </c>
      <c r="H3501" t="n">
        <v>0</v>
      </c>
      <c r="I3501" t="n">
        <v>0</v>
      </c>
      <c r="J3501" t="n">
        <v>0</v>
      </c>
      <c r="K3501" t="n">
        <v>0</v>
      </c>
      <c r="L3501" t="n">
        <v>0</v>
      </c>
      <c r="M3501" t="n">
        <v>0</v>
      </c>
      <c r="N3501" t="n">
        <v>0</v>
      </c>
      <c r="O3501" t="n">
        <v>0</v>
      </c>
      <c r="P3501" t="n">
        <v>0</v>
      </c>
      <c r="Q3501" t="n">
        <v>0</v>
      </c>
      <c r="R3501" s="2" t="inlineStr"/>
    </row>
    <row r="3502" ht="15" customHeight="1">
      <c r="A3502" t="inlineStr">
        <is>
          <t>A 19976-2021</t>
        </is>
      </c>
      <c r="B3502" s="1" t="n">
        <v>44313</v>
      </c>
      <c r="C3502" s="1" t="n">
        <v>45357</v>
      </c>
      <c r="D3502" t="inlineStr">
        <is>
          <t>GÄVLEBORGS LÄN</t>
        </is>
      </c>
      <c r="E3502" t="inlineStr">
        <is>
          <t>LJUSDAL</t>
        </is>
      </c>
      <c r="F3502" t="inlineStr">
        <is>
          <t>Sveaskog</t>
        </is>
      </c>
      <c r="G3502" t="n">
        <v>40.1</v>
      </c>
      <c r="H3502" t="n">
        <v>0</v>
      </c>
      <c r="I3502" t="n">
        <v>0</v>
      </c>
      <c r="J3502" t="n">
        <v>0</v>
      </c>
      <c r="K3502" t="n">
        <v>0</v>
      </c>
      <c r="L3502" t="n">
        <v>0</v>
      </c>
      <c r="M3502" t="n">
        <v>0</v>
      </c>
      <c r="N3502" t="n">
        <v>0</v>
      </c>
      <c r="O3502" t="n">
        <v>0</v>
      </c>
      <c r="P3502" t="n">
        <v>0</v>
      </c>
      <c r="Q3502" t="n">
        <v>0</v>
      </c>
      <c r="R3502" s="2" t="inlineStr"/>
    </row>
    <row r="3503" ht="15" customHeight="1">
      <c r="A3503" t="inlineStr">
        <is>
          <t>A 20119-2021</t>
        </is>
      </c>
      <c r="B3503" s="1" t="n">
        <v>44314</v>
      </c>
      <c r="C3503" s="1" t="n">
        <v>45357</v>
      </c>
      <c r="D3503" t="inlineStr">
        <is>
          <t>GÄVLEBORGS LÄN</t>
        </is>
      </c>
      <c r="E3503" t="inlineStr">
        <is>
          <t>HOFORS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20021-2021</t>
        </is>
      </c>
      <c r="B3504" s="1" t="n">
        <v>44314</v>
      </c>
      <c r="C3504" s="1" t="n">
        <v>45357</v>
      </c>
      <c r="D3504" t="inlineStr">
        <is>
          <t>GÄVLEBORGS LÄN</t>
        </is>
      </c>
      <c r="E3504" t="inlineStr">
        <is>
          <t>BOLLNÄS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20058-2021</t>
        </is>
      </c>
      <c r="B3505" s="1" t="n">
        <v>44314</v>
      </c>
      <c r="C3505" s="1" t="n">
        <v>45357</v>
      </c>
      <c r="D3505" t="inlineStr">
        <is>
          <t>GÄVLEBORGS LÄN</t>
        </is>
      </c>
      <c r="E3505" t="inlineStr">
        <is>
          <t>LJUSDAL</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20089-2021</t>
        </is>
      </c>
      <c r="B3506" s="1" t="n">
        <v>44314</v>
      </c>
      <c r="C3506" s="1" t="n">
        <v>45357</v>
      </c>
      <c r="D3506" t="inlineStr">
        <is>
          <t>GÄVLEBORGS LÄN</t>
        </is>
      </c>
      <c r="E3506" t="inlineStr">
        <is>
          <t>OVANÅKER</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20112-2021</t>
        </is>
      </c>
      <c r="B3507" s="1" t="n">
        <v>44314</v>
      </c>
      <c r="C3507" s="1" t="n">
        <v>45357</v>
      </c>
      <c r="D3507" t="inlineStr">
        <is>
          <t>GÄVLEBORGS LÄN</t>
        </is>
      </c>
      <c r="E3507" t="inlineStr">
        <is>
          <t>LJUSDAL</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20205-2021</t>
        </is>
      </c>
      <c r="B3508" s="1" t="n">
        <v>44314</v>
      </c>
      <c r="C3508" s="1" t="n">
        <v>45357</v>
      </c>
      <c r="D3508" t="inlineStr">
        <is>
          <t>GÄVLEBORGS LÄN</t>
        </is>
      </c>
      <c r="E3508" t="inlineStr">
        <is>
          <t>BOLLNÄS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20018-2021</t>
        </is>
      </c>
      <c r="B3509" s="1" t="n">
        <v>44314</v>
      </c>
      <c r="C3509" s="1" t="n">
        <v>45357</v>
      </c>
      <c r="D3509" t="inlineStr">
        <is>
          <t>GÄVLEBORGS LÄN</t>
        </is>
      </c>
      <c r="E3509" t="inlineStr">
        <is>
          <t>BOLLNÄS</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20101-2021</t>
        </is>
      </c>
      <c r="B3510" s="1" t="n">
        <v>44314</v>
      </c>
      <c r="C3510" s="1" t="n">
        <v>45357</v>
      </c>
      <c r="D3510" t="inlineStr">
        <is>
          <t>GÄVLEBORGS LÄN</t>
        </is>
      </c>
      <c r="E3510" t="inlineStr">
        <is>
          <t>OVANÅKER</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20017-2021</t>
        </is>
      </c>
      <c r="B3511" s="1" t="n">
        <v>44314</v>
      </c>
      <c r="C3511" s="1" t="n">
        <v>45357</v>
      </c>
      <c r="D3511" t="inlineStr">
        <is>
          <t>GÄVLEBORGS LÄN</t>
        </is>
      </c>
      <c r="E3511" t="inlineStr">
        <is>
          <t>BOLLNÄS</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20095-2021</t>
        </is>
      </c>
      <c r="B3512" s="1" t="n">
        <v>44314</v>
      </c>
      <c r="C3512" s="1" t="n">
        <v>45357</v>
      </c>
      <c r="D3512" t="inlineStr">
        <is>
          <t>GÄVLEBORGS LÄN</t>
        </is>
      </c>
      <c r="E3512" t="inlineStr">
        <is>
          <t>OVANÅKER</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20108-2021</t>
        </is>
      </c>
      <c r="B3513" s="1" t="n">
        <v>44314</v>
      </c>
      <c r="C3513" s="1" t="n">
        <v>45357</v>
      </c>
      <c r="D3513" t="inlineStr">
        <is>
          <t>GÄVLEBORGS LÄN</t>
        </is>
      </c>
      <c r="E3513" t="inlineStr">
        <is>
          <t>OVANÅKER</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20193-2021</t>
        </is>
      </c>
      <c r="B3514" s="1" t="n">
        <v>44314</v>
      </c>
      <c r="C3514" s="1" t="n">
        <v>45357</v>
      </c>
      <c r="D3514" t="inlineStr">
        <is>
          <t>GÄVLEBORGS LÄN</t>
        </is>
      </c>
      <c r="E3514" t="inlineStr">
        <is>
          <t>BOLLNÄS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20020-2021</t>
        </is>
      </c>
      <c r="B3515" s="1" t="n">
        <v>44314</v>
      </c>
      <c r="C3515" s="1" t="n">
        <v>45357</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20409-2021</t>
        </is>
      </c>
      <c r="B3516" s="1" t="n">
        <v>44315</v>
      </c>
      <c r="C3516" s="1" t="n">
        <v>45357</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20356-2021</t>
        </is>
      </c>
      <c r="B3517" s="1" t="n">
        <v>44315</v>
      </c>
      <c r="C3517" s="1" t="n">
        <v>45357</v>
      </c>
      <c r="D3517" t="inlineStr">
        <is>
          <t>GÄVLEBORGS LÄN</t>
        </is>
      </c>
      <c r="E3517" t="inlineStr">
        <is>
          <t>OVANÅKER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20632-2021</t>
        </is>
      </c>
      <c r="B3518" s="1" t="n">
        <v>44316</v>
      </c>
      <c r="C3518" s="1" t="n">
        <v>45357</v>
      </c>
      <c r="D3518" t="inlineStr">
        <is>
          <t>GÄVLEBORGS LÄN</t>
        </is>
      </c>
      <c r="E3518" t="inlineStr">
        <is>
          <t>GÄVLE</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20616-2021</t>
        </is>
      </c>
      <c r="B3519" s="1" t="n">
        <v>44316</v>
      </c>
      <c r="C3519" s="1" t="n">
        <v>45357</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20657-2021</t>
        </is>
      </c>
      <c r="B3520" s="1" t="n">
        <v>44316</v>
      </c>
      <c r="C3520" s="1" t="n">
        <v>45357</v>
      </c>
      <c r="D3520" t="inlineStr">
        <is>
          <t>GÄVLEBORGS LÄN</t>
        </is>
      </c>
      <c r="E3520" t="inlineStr">
        <is>
          <t>GÄVLE</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20643-2021</t>
        </is>
      </c>
      <c r="B3521" s="1" t="n">
        <v>44316</v>
      </c>
      <c r="C3521" s="1" t="n">
        <v>45357</v>
      </c>
      <c r="D3521" t="inlineStr">
        <is>
          <t>GÄVLEBORGS LÄN</t>
        </is>
      </c>
      <c r="E3521" t="inlineStr">
        <is>
          <t>BOLLNÄS</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20647-2021</t>
        </is>
      </c>
      <c r="B3522" s="1" t="n">
        <v>44316</v>
      </c>
      <c r="C3522" s="1" t="n">
        <v>45357</v>
      </c>
      <c r="D3522" t="inlineStr">
        <is>
          <t>GÄVLEBORGS LÄN</t>
        </is>
      </c>
      <c r="E3522" t="inlineStr">
        <is>
          <t>BOLLNÄS</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20708-2021</t>
        </is>
      </c>
      <c r="B3523" s="1" t="n">
        <v>44316</v>
      </c>
      <c r="C3523" s="1" t="n">
        <v>45357</v>
      </c>
      <c r="D3523" t="inlineStr">
        <is>
          <t>GÄVLEBORGS LÄN</t>
        </is>
      </c>
      <c r="E3523" t="inlineStr">
        <is>
          <t>HUDIKSVALL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20780-2021</t>
        </is>
      </c>
      <c r="B3524" s="1" t="n">
        <v>44316</v>
      </c>
      <c r="C3524" s="1" t="n">
        <v>45357</v>
      </c>
      <c r="D3524" t="inlineStr">
        <is>
          <t>GÄVLEBORGS LÄN</t>
        </is>
      </c>
      <c r="E3524" t="inlineStr">
        <is>
          <t>SANDVIKEN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20742-2021</t>
        </is>
      </c>
      <c r="B3525" s="1" t="n">
        <v>44316</v>
      </c>
      <c r="C3525" s="1" t="n">
        <v>45357</v>
      </c>
      <c r="D3525" t="inlineStr">
        <is>
          <t>GÄVLEBORGS LÄN</t>
        </is>
      </c>
      <c r="E3525" t="inlineStr">
        <is>
          <t>BOLLNÄS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21004-2021</t>
        </is>
      </c>
      <c r="B3526" s="1" t="n">
        <v>44319</v>
      </c>
      <c r="C3526" s="1" t="n">
        <v>45357</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20906-2021</t>
        </is>
      </c>
      <c r="B3527" s="1" t="n">
        <v>44319</v>
      </c>
      <c r="C3527" s="1" t="n">
        <v>45357</v>
      </c>
      <c r="D3527" t="inlineStr">
        <is>
          <t>GÄVLEBORGS LÄN</t>
        </is>
      </c>
      <c r="E3527" t="inlineStr">
        <is>
          <t>BOLLNÄS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20934-2021</t>
        </is>
      </c>
      <c r="B3528" s="1" t="n">
        <v>44319</v>
      </c>
      <c r="C3528" s="1" t="n">
        <v>45357</v>
      </c>
      <c r="D3528" t="inlineStr">
        <is>
          <t>GÄVLEBORGS LÄN</t>
        </is>
      </c>
      <c r="E3528" t="inlineStr">
        <is>
          <t>SANDVIKEN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20995-2021</t>
        </is>
      </c>
      <c r="B3529" s="1" t="n">
        <v>44319</v>
      </c>
      <c r="C3529" s="1" t="n">
        <v>45357</v>
      </c>
      <c r="D3529" t="inlineStr">
        <is>
          <t>GÄVLEBORGS LÄN</t>
        </is>
      </c>
      <c r="E3529" t="inlineStr">
        <is>
          <t>NORDANSTIG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21175-2021</t>
        </is>
      </c>
      <c r="B3530" s="1" t="n">
        <v>44320</v>
      </c>
      <c r="C3530" s="1" t="n">
        <v>45357</v>
      </c>
      <c r="D3530" t="inlineStr">
        <is>
          <t>GÄVLEBORGS LÄN</t>
        </is>
      </c>
      <c r="E3530" t="inlineStr">
        <is>
          <t>NORDANSTIG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21259-2021</t>
        </is>
      </c>
      <c r="B3531" s="1" t="n">
        <v>44320</v>
      </c>
      <c r="C3531" s="1" t="n">
        <v>45357</v>
      </c>
      <c r="D3531" t="inlineStr">
        <is>
          <t>GÄVLEBORGS LÄN</t>
        </is>
      </c>
      <c r="E3531" t="inlineStr">
        <is>
          <t>LJUSDAL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21552-2021</t>
        </is>
      </c>
      <c r="B3532" s="1" t="n">
        <v>44321</v>
      </c>
      <c r="C3532" s="1" t="n">
        <v>45357</v>
      </c>
      <c r="D3532" t="inlineStr">
        <is>
          <t>GÄVLEBORGS LÄN</t>
        </is>
      </c>
      <c r="E3532" t="inlineStr">
        <is>
          <t>GÄVLE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21547-2021</t>
        </is>
      </c>
      <c r="B3533" s="1" t="n">
        <v>44321</v>
      </c>
      <c r="C3533" s="1" t="n">
        <v>45357</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21557-2021</t>
        </is>
      </c>
      <c r="B3534" s="1" t="n">
        <v>44321</v>
      </c>
      <c r="C3534" s="1" t="n">
        <v>45357</v>
      </c>
      <c r="D3534" t="inlineStr">
        <is>
          <t>GÄVLEBORGS LÄN</t>
        </is>
      </c>
      <c r="E3534" t="inlineStr">
        <is>
          <t>GÄVLE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21610-2021</t>
        </is>
      </c>
      <c r="B3535" s="1" t="n">
        <v>44321</v>
      </c>
      <c r="C3535" s="1" t="n">
        <v>45357</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21697-2021</t>
        </is>
      </c>
      <c r="B3536" s="1" t="n">
        <v>44322</v>
      </c>
      <c r="C3536" s="1" t="n">
        <v>45357</v>
      </c>
      <c r="D3536" t="inlineStr">
        <is>
          <t>GÄVLEBORGS LÄN</t>
        </is>
      </c>
      <c r="E3536" t="inlineStr">
        <is>
          <t>SANDVIKEN</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21709-2021</t>
        </is>
      </c>
      <c r="B3537" s="1" t="n">
        <v>44322</v>
      </c>
      <c r="C3537" s="1" t="n">
        <v>45357</v>
      </c>
      <c r="D3537" t="inlineStr">
        <is>
          <t>GÄVLEBORGS LÄN</t>
        </is>
      </c>
      <c r="E3537" t="inlineStr">
        <is>
          <t>OVANÅKER</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21720-2021</t>
        </is>
      </c>
      <c r="B3538" s="1" t="n">
        <v>44322</v>
      </c>
      <c r="C3538" s="1" t="n">
        <v>45357</v>
      </c>
      <c r="D3538" t="inlineStr">
        <is>
          <t>GÄVLEBORGS LÄN</t>
        </is>
      </c>
      <c r="E3538" t="inlineStr">
        <is>
          <t>LJUSDAL</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21751-2021</t>
        </is>
      </c>
      <c r="B3539" s="1" t="n">
        <v>44322</v>
      </c>
      <c r="C3539" s="1" t="n">
        <v>45357</v>
      </c>
      <c r="D3539" t="inlineStr">
        <is>
          <t>GÄVLEBORGS LÄN</t>
        </is>
      </c>
      <c r="E3539" t="inlineStr">
        <is>
          <t>LJUSDAL</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21781-2021</t>
        </is>
      </c>
      <c r="B3540" s="1" t="n">
        <v>44322</v>
      </c>
      <c r="C3540" s="1" t="n">
        <v>45357</v>
      </c>
      <c r="D3540" t="inlineStr">
        <is>
          <t>GÄVLEBORGS LÄN</t>
        </is>
      </c>
      <c r="E3540" t="inlineStr">
        <is>
          <t>LJUSDAL</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21659-2021</t>
        </is>
      </c>
      <c r="B3541" s="1" t="n">
        <v>44322</v>
      </c>
      <c r="C3541" s="1" t="n">
        <v>45357</v>
      </c>
      <c r="D3541" t="inlineStr">
        <is>
          <t>GÄVLEBORGS LÄN</t>
        </is>
      </c>
      <c r="E3541" t="inlineStr">
        <is>
          <t>SÖDERHAMN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21688-2021</t>
        </is>
      </c>
      <c r="B3542" s="1" t="n">
        <v>44322</v>
      </c>
      <c r="C3542" s="1" t="n">
        <v>45357</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21696-2021</t>
        </is>
      </c>
      <c r="B3543" s="1" t="n">
        <v>44322</v>
      </c>
      <c r="C3543" s="1" t="n">
        <v>45357</v>
      </c>
      <c r="D3543" t="inlineStr">
        <is>
          <t>GÄVLEBORGS LÄN</t>
        </is>
      </c>
      <c r="E3543" t="inlineStr">
        <is>
          <t>LJUSDAL</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21708-2021</t>
        </is>
      </c>
      <c r="B3544" s="1" t="n">
        <v>44322</v>
      </c>
      <c r="C3544" s="1" t="n">
        <v>45357</v>
      </c>
      <c r="D3544" t="inlineStr">
        <is>
          <t>GÄVLEBORGS LÄN</t>
        </is>
      </c>
      <c r="E3544" t="inlineStr">
        <is>
          <t>LJUSDAL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21750-2021</t>
        </is>
      </c>
      <c r="B3545" s="1" t="n">
        <v>44322</v>
      </c>
      <c r="C3545" s="1" t="n">
        <v>45357</v>
      </c>
      <c r="D3545" t="inlineStr">
        <is>
          <t>GÄVLEBORGS LÄN</t>
        </is>
      </c>
      <c r="E3545" t="inlineStr">
        <is>
          <t>LJUSDAL</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21724-2021</t>
        </is>
      </c>
      <c r="B3546" s="1" t="n">
        <v>44322</v>
      </c>
      <c r="C3546" s="1" t="n">
        <v>45357</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22012-2021</t>
        </is>
      </c>
      <c r="B3547" s="1" t="n">
        <v>44323</v>
      </c>
      <c r="C3547" s="1" t="n">
        <v>45357</v>
      </c>
      <c r="D3547" t="inlineStr">
        <is>
          <t>GÄVLEBORGS LÄN</t>
        </is>
      </c>
      <c r="E3547" t="inlineStr">
        <is>
          <t>LJUSDAL</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22013-2021</t>
        </is>
      </c>
      <c r="B3548" s="1" t="n">
        <v>44323</v>
      </c>
      <c r="C3548" s="1" t="n">
        <v>45357</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21984-2021</t>
        </is>
      </c>
      <c r="B3549" s="1" t="n">
        <v>44323</v>
      </c>
      <c r="C3549" s="1" t="n">
        <v>45357</v>
      </c>
      <c r="D3549" t="inlineStr">
        <is>
          <t>GÄVLEBORGS LÄN</t>
        </is>
      </c>
      <c r="E3549" t="inlineStr">
        <is>
          <t>LJUSDAL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22040-2021</t>
        </is>
      </c>
      <c r="B3550" s="1" t="n">
        <v>44323</v>
      </c>
      <c r="C3550" s="1" t="n">
        <v>45357</v>
      </c>
      <c r="D3550" t="inlineStr">
        <is>
          <t>GÄVLEBORGS LÄN</t>
        </is>
      </c>
      <c r="E3550" t="inlineStr">
        <is>
          <t>OCKELBO</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22304-2021</t>
        </is>
      </c>
      <c r="B3551" s="1" t="n">
        <v>44326</v>
      </c>
      <c r="C3551" s="1" t="n">
        <v>45357</v>
      </c>
      <c r="D3551" t="inlineStr">
        <is>
          <t>GÄVLEBORGS LÄN</t>
        </is>
      </c>
      <c r="E3551" t="inlineStr">
        <is>
          <t>LJUSDAL</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22354-2021</t>
        </is>
      </c>
      <c r="B3552" s="1" t="n">
        <v>44326</v>
      </c>
      <c r="C3552" s="1" t="n">
        <v>45357</v>
      </c>
      <c r="D3552" t="inlineStr">
        <is>
          <t>GÄVLEBORGS LÄN</t>
        </is>
      </c>
      <c r="E3552" t="inlineStr">
        <is>
          <t>SÖDERHAMN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22206-2021</t>
        </is>
      </c>
      <c r="B3553" s="1" t="n">
        <v>44326</v>
      </c>
      <c r="C3553" s="1" t="n">
        <v>45357</v>
      </c>
      <c r="D3553" t="inlineStr">
        <is>
          <t>GÄVLEBORGS LÄN</t>
        </is>
      </c>
      <c r="E3553" t="inlineStr">
        <is>
          <t>LJUSDAL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22262-2021</t>
        </is>
      </c>
      <c r="B3554" s="1" t="n">
        <v>44326</v>
      </c>
      <c r="C3554" s="1" t="n">
        <v>45357</v>
      </c>
      <c r="D3554" t="inlineStr">
        <is>
          <t>GÄVLEBORGS LÄN</t>
        </is>
      </c>
      <c r="E3554" t="inlineStr">
        <is>
          <t>SÖDERHAMN</t>
        </is>
      </c>
      <c r="F3554" t="inlineStr">
        <is>
          <t>Bergvik skog väst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22334-2021</t>
        </is>
      </c>
      <c r="B3555" s="1" t="n">
        <v>44326</v>
      </c>
      <c r="C3555" s="1" t="n">
        <v>45357</v>
      </c>
      <c r="D3555" t="inlineStr">
        <is>
          <t>GÄVLEBORGS LÄN</t>
        </is>
      </c>
      <c r="E3555" t="inlineStr">
        <is>
          <t>BOLLNÄS</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22239-2021</t>
        </is>
      </c>
      <c r="B3556" s="1" t="n">
        <v>44326</v>
      </c>
      <c r="C3556" s="1" t="n">
        <v>45357</v>
      </c>
      <c r="D3556" t="inlineStr">
        <is>
          <t>GÄVLEBORGS LÄN</t>
        </is>
      </c>
      <c r="E3556" t="inlineStr">
        <is>
          <t>LJUSDAL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22442-2021</t>
        </is>
      </c>
      <c r="B3557" s="1" t="n">
        <v>44326</v>
      </c>
      <c r="C3557" s="1" t="n">
        <v>45357</v>
      </c>
      <c r="D3557" t="inlineStr">
        <is>
          <t>GÄVLEBORGS LÄN</t>
        </is>
      </c>
      <c r="E3557" t="inlineStr">
        <is>
          <t>HUDIKSVALL</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22465-2021</t>
        </is>
      </c>
      <c r="B3558" s="1" t="n">
        <v>44326</v>
      </c>
      <c r="C3558" s="1" t="n">
        <v>45357</v>
      </c>
      <c r="D3558" t="inlineStr">
        <is>
          <t>GÄVLEBORGS LÄN</t>
        </is>
      </c>
      <c r="E3558" t="inlineStr">
        <is>
          <t>HUDIKSVALL</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22440-2021</t>
        </is>
      </c>
      <c r="B3559" s="1" t="n">
        <v>44326</v>
      </c>
      <c r="C3559" s="1" t="n">
        <v>45357</v>
      </c>
      <c r="D3559" t="inlineStr">
        <is>
          <t>GÄVLEBORGS LÄN</t>
        </is>
      </c>
      <c r="E3559" t="inlineStr">
        <is>
          <t>SÖDERHAMN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22422-2021</t>
        </is>
      </c>
      <c r="B3560" s="1" t="n">
        <v>44326</v>
      </c>
      <c r="C3560" s="1" t="n">
        <v>45357</v>
      </c>
      <c r="D3560" t="inlineStr">
        <is>
          <t>GÄVLEBORGS LÄN</t>
        </is>
      </c>
      <c r="E3560" t="inlineStr">
        <is>
          <t>GÄVLE</t>
        </is>
      </c>
      <c r="F3560" t="inlineStr">
        <is>
          <t>Bergvik skog öst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22416-2021</t>
        </is>
      </c>
      <c r="B3561" s="1" t="n">
        <v>44326</v>
      </c>
      <c r="C3561" s="1" t="n">
        <v>45357</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22581-2021</t>
        </is>
      </c>
      <c r="B3562" s="1" t="n">
        <v>44327</v>
      </c>
      <c r="C3562" s="1" t="n">
        <v>45357</v>
      </c>
      <c r="D3562" t="inlineStr">
        <is>
          <t>GÄVLEBORGS LÄN</t>
        </is>
      </c>
      <c r="E3562" t="inlineStr">
        <is>
          <t>OCKELBO</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22587-2021</t>
        </is>
      </c>
      <c r="B3563" s="1" t="n">
        <v>44327</v>
      </c>
      <c r="C3563" s="1" t="n">
        <v>45357</v>
      </c>
      <c r="D3563" t="inlineStr">
        <is>
          <t>GÄVLEBORGS LÄN</t>
        </is>
      </c>
      <c r="E3563" t="inlineStr">
        <is>
          <t>OCKELBO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22756-2021</t>
        </is>
      </c>
      <c r="B3564" s="1" t="n">
        <v>44327</v>
      </c>
      <c r="C3564" s="1" t="n">
        <v>45357</v>
      </c>
      <c r="D3564" t="inlineStr">
        <is>
          <t>GÄVLEBORGS LÄN</t>
        </is>
      </c>
      <c r="E3564" t="inlineStr">
        <is>
          <t>LJUSDAL</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22583-2021</t>
        </is>
      </c>
      <c r="B3565" s="1" t="n">
        <v>44327</v>
      </c>
      <c r="C3565" s="1" t="n">
        <v>45357</v>
      </c>
      <c r="D3565" t="inlineStr">
        <is>
          <t>GÄVLEBORGS LÄN</t>
        </is>
      </c>
      <c r="E3565" t="inlineStr">
        <is>
          <t>OCKELBO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22758-2021</t>
        </is>
      </c>
      <c r="B3566" s="1" t="n">
        <v>44327</v>
      </c>
      <c r="C3566" s="1" t="n">
        <v>45357</v>
      </c>
      <c r="D3566" t="inlineStr">
        <is>
          <t>GÄVLEBORGS LÄN</t>
        </is>
      </c>
      <c r="E3566" t="inlineStr">
        <is>
          <t>LJUSDAL</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22580-2021</t>
        </is>
      </c>
      <c r="B3567" s="1" t="n">
        <v>44327</v>
      </c>
      <c r="C3567" s="1" t="n">
        <v>45357</v>
      </c>
      <c r="D3567" t="inlineStr">
        <is>
          <t>GÄVLEBORGS LÄN</t>
        </is>
      </c>
      <c r="E3567" t="inlineStr">
        <is>
          <t>OCKELBO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22585-2021</t>
        </is>
      </c>
      <c r="B3568" s="1" t="n">
        <v>44327</v>
      </c>
      <c r="C3568" s="1" t="n">
        <v>45357</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22834-2021</t>
        </is>
      </c>
      <c r="B3569" s="1" t="n">
        <v>44328</v>
      </c>
      <c r="C3569" s="1" t="n">
        <v>45357</v>
      </c>
      <c r="D3569" t="inlineStr">
        <is>
          <t>GÄVLEBORGS LÄN</t>
        </is>
      </c>
      <c r="E3569" t="inlineStr">
        <is>
          <t>BOLLNÄS</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22945-2021</t>
        </is>
      </c>
      <c r="B3570" s="1" t="n">
        <v>44328</v>
      </c>
      <c r="C3570" s="1" t="n">
        <v>45357</v>
      </c>
      <c r="D3570" t="inlineStr">
        <is>
          <t>GÄVLEBORGS LÄN</t>
        </is>
      </c>
      <c r="E3570" t="inlineStr">
        <is>
          <t>OVANÅKER</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23066-2021</t>
        </is>
      </c>
      <c r="B3571" s="1" t="n">
        <v>44329</v>
      </c>
      <c r="C3571" s="1" t="n">
        <v>45357</v>
      </c>
      <c r="D3571" t="inlineStr">
        <is>
          <t>GÄVLEBORGS LÄN</t>
        </is>
      </c>
      <c r="E3571" t="inlineStr">
        <is>
          <t>NORDANSTIG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23125-2021</t>
        </is>
      </c>
      <c r="B3572" s="1" t="n">
        <v>44330</v>
      </c>
      <c r="C3572" s="1" t="n">
        <v>45357</v>
      </c>
      <c r="D3572" t="inlineStr">
        <is>
          <t>GÄVLEBORGS LÄN</t>
        </is>
      </c>
      <c r="E3572" t="inlineStr">
        <is>
          <t>SÖDERHAMN</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23134-2021</t>
        </is>
      </c>
      <c r="B3573" s="1" t="n">
        <v>44330</v>
      </c>
      <c r="C3573" s="1" t="n">
        <v>45357</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23179-2021</t>
        </is>
      </c>
      <c r="B3574" s="1" t="n">
        <v>44333</v>
      </c>
      <c r="C3574" s="1" t="n">
        <v>45357</v>
      </c>
      <c r="D3574" t="inlineStr">
        <is>
          <t>GÄVLEBORGS LÄN</t>
        </is>
      </c>
      <c r="E3574" t="inlineStr">
        <is>
          <t>BOLLNÄS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23282-2021</t>
        </is>
      </c>
      <c r="B3575" s="1" t="n">
        <v>44333</v>
      </c>
      <c r="C3575" s="1" t="n">
        <v>45357</v>
      </c>
      <c r="D3575" t="inlineStr">
        <is>
          <t>GÄVLEBORGS LÄN</t>
        </is>
      </c>
      <c r="E3575" t="inlineStr">
        <is>
          <t>BOLLNÄS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23246-2021</t>
        </is>
      </c>
      <c r="B3576" s="1" t="n">
        <v>44333</v>
      </c>
      <c r="C3576" s="1" t="n">
        <v>45357</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23329-2021</t>
        </is>
      </c>
      <c r="B3577" s="1" t="n">
        <v>44333</v>
      </c>
      <c r="C3577" s="1" t="n">
        <v>45357</v>
      </c>
      <c r="D3577" t="inlineStr">
        <is>
          <t>GÄVLEBORGS LÄN</t>
        </is>
      </c>
      <c r="E3577" t="inlineStr">
        <is>
          <t>LJUSDAL</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23357-2021</t>
        </is>
      </c>
      <c r="B3578" s="1" t="n">
        <v>44333</v>
      </c>
      <c r="C3578" s="1" t="n">
        <v>45357</v>
      </c>
      <c r="D3578" t="inlineStr">
        <is>
          <t>GÄVLEBORGS LÄN</t>
        </is>
      </c>
      <c r="E3578" t="inlineStr">
        <is>
          <t>SÖDERHAMN</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23395-2021</t>
        </is>
      </c>
      <c r="B3579" s="1" t="n">
        <v>44333</v>
      </c>
      <c r="C3579" s="1" t="n">
        <v>45357</v>
      </c>
      <c r="D3579" t="inlineStr">
        <is>
          <t>GÄVLEBORGS LÄN</t>
        </is>
      </c>
      <c r="E3579" t="inlineStr">
        <is>
          <t>LJUSDAL</t>
        </is>
      </c>
      <c r="F3579" t="inlineStr">
        <is>
          <t>Sveaskog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23418-2021</t>
        </is>
      </c>
      <c r="B3580" s="1" t="n">
        <v>44333</v>
      </c>
      <c r="C3580" s="1" t="n">
        <v>45357</v>
      </c>
      <c r="D3580" t="inlineStr">
        <is>
          <t>GÄVLEBORGS LÄN</t>
        </is>
      </c>
      <c r="E3580" t="inlineStr">
        <is>
          <t>LJUSDAL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23277-2021</t>
        </is>
      </c>
      <c r="B3581" s="1" t="n">
        <v>44333</v>
      </c>
      <c r="C3581" s="1" t="n">
        <v>45357</v>
      </c>
      <c r="D3581" t="inlineStr">
        <is>
          <t>GÄVLEBORGS LÄN</t>
        </is>
      </c>
      <c r="E3581" t="inlineStr">
        <is>
          <t>HUDIKSVALL</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23360-2021</t>
        </is>
      </c>
      <c r="B3582" s="1" t="n">
        <v>44333</v>
      </c>
      <c r="C3582" s="1" t="n">
        <v>45357</v>
      </c>
      <c r="D3582" t="inlineStr">
        <is>
          <t>GÄVLEBORGS LÄN</t>
        </is>
      </c>
      <c r="E3582" t="inlineStr">
        <is>
          <t>SÖDERHAMN</t>
        </is>
      </c>
      <c r="F3582" t="inlineStr">
        <is>
          <t>Bergvik skog väst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23396-2021</t>
        </is>
      </c>
      <c r="B3583" s="1" t="n">
        <v>44333</v>
      </c>
      <c r="C3583" s="1" t="n">
        <v>45357</v>
      </c>
      <c r="D3583" t="inlineStr">
        <is>
          <t>GÄVLEBORGS LÄN</t>
        </is>
      </c>
      <c r="E3583" t="inlineStr">
        <is>
          <t>LJUSDAL</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23547-2021</t>
        </is>
      </c>
      <c r="B3584" s="1" t="n">
        <v>44334</v>
      </c>
      <c r="C3584" s="1" t="n">
        <v>45357</v>
      </c>
      <c r="D3584" t="inlineStr">
        <is>
          <t>GÄVLEBORGS LÄN</t>
        </is>
      </c>
      <c r="E3584" t="inlineStr">
        <is>
          <t>OCKELBO</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23629-2021</t>
        </is>
      </c>
      <c r="B3585" s="1" t="n">
        <v>44334</v>
      </c>
      <c r="C3585" s="1" t="n">
        <v>45357</v>
      </c>
      <c r="D3585" t="inlineStr">
        <is>
          <t>GÄVLEBORGS LÄN</t>
        </is>
      </c>
      <c r="E3585" t="inlineStr">
        <is>
          <t>OCKELBO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23649-2021</t>
        </is>
      </c>
      <c r="B3586" s="1" t="n">
        <v>44334</v>
      </c>
      <c r="C3586" s="1" t="n">
        <v>45357</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23707-2021</t>
        </is>
      </c>
      <c r="B3587" s="1" t="n">
        <v>44334</v>
      </c>
      <c r="C3587" s="1" t="n">
        <v>45357</v>
      </c>
      <c r="D3587" t="inlineStr">
        <is>
          <t>GÄVLEBORGS LÄN</t>
        </is>
      </c>
      <c r="E3587" t="inlineStr">
        <is>
          <t>OCKELBO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23854-2021</t>
        </is>
      </c>
      <c r="B3588" s="1" t="n">
        <v>44335</v>
      </c>
      <c r="C3588" s="1" t="n">
        <v>45357</v>
      </c>
      <c r="D3588" t="inlineStr">
        <is>
          <t>GÄVLEBORGS LÄN</t>
        </is>
      </c>
      <c r="E3588" t="inlineStr">
        <is>
          <t>SANDVIKEN</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23904-2021</t>
        </is>
      </c>
      <c r="B3589" s="1" t="n">
        <v>44335</v>
      </c>
      <c r="C3589" s="1" t="n">
        <v>45357</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23908-2021</t>
        </is>
      </c>
      <c r="B3590" s="1" t="n">
        <v>44335</v>
      </c>
      <c r="C3590" s="1" t="n">
        <v>45357</v>
      </c>
      <c r="D3590" t="inlineStr">
        <is>
          <t>GÄVLEBORGS LÄN</t>
        </is>
      </c>
      <c r="E3590" t="inlineStr">
        <is>
          <t>HUDIKSVALL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23930-2021</t>
        </is>
      </c>
      <c r="B3591" s="1" t="n">
        <v>44335</v>
      </c>
      <c r="C3591" s="1" t="n">
        <v>45357</v>
      </c>
      <c r="D3591" t="inlineStr">
        <is>
          <t>GÄVLEBORGS LÄN</t>
        </is>
      </c>
      <c r="E3591" t="inlineStr">
        <is>
          <t>HUDIKSVALL</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23955-2021</t>
        </is>
      </c>
      <c r="B3592" s="1" t="n">
        <v>44335</v>
      </c>
      <c r="C3592" s="1" t="n">
        <v>45357</v>
      </c>
      <c r="D3592" t="inlineStr">
        <is>
          <t>GÄVLEBORGS LÄN</t>
        </is>
      </c>
      <c r="E3592" t="inlineStr">
        <is>
          <t>LJUSDAL</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23889-2021</t>
        </is>
      </c>
      <c r="B3593" s="1" t="n">
        <v>44335</v>
      </c>
      <c r="C3593" s="1" t="n">
        <v>45357</v>
      </c>
      <c r="D3593" t="inlineStr">
        <is>
          <t>GÄVLEBORGS LÄN</t>
        </is>
      </c>
      <c r="E3593" t="inlineStr">
        <is>
          <t>BOLLNÄS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23925-2021</t>
        </is>
      </c>
      <c r="B3594" s="1" t="n">
        <v>44335</v>
      </c>
      <c r="C3594" s="1" t="n">
        <v>45357</v>
      </c>
      <c r="D3594" t="inlineStr">
        <is>
          <t>GÄVLEBORGS LÄN</t>
        </is>
      </c>
      <c r="E3594" t="inlineStr">
        <is>
          <t>HUDIKSVALL</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23966-2021</t>
        </is>
      </c>
      <c r="B3595" s="1" t="n">
        <v>44335</v>
      </c>
      <c r="C3595" s="1" t="n">
        <v>45357</v>
      </c>
      <c r="D3595" t="inlineStr">
        <is>
          <t>GÄVLEBORGS LÄN</t>
        </is>
      </c>
      <c r="E3595" t="inlineStr">
        <is>
          <t>LJUSDAL</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24153-2021</t>
        </is>
      </c>
      <c r="B3596" s="1" t="n">
        <v>44336</v>
      </c>
      <c r="C3596" s="1" t="n">
        <v>45357</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24075-2021</t>
        </is>
      </c>
      <c r="B3597" s="1" t="n">
        <v>44336</v>
      </c>
      <c r="C3597" s="1" t="n">
        <v>45357</v>
      </c>
      <c r="D3597" t="inlineStr">
        <is>
          <t>GÄVLEBORGS LÄN</t>
        </is>
      </c>
      <c r="E3597" t="inlineStr">
        <is>
          <t>OVANÅKER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24158-2021</t>
        </is>
      </c>
      <c r="B3598" s="1" t="n">
        <v>44336</v>
      </c>
      <c r="C3598" s="1" t="n">
        <v>45357</v>
      </c>
      <c r="D3598" t="inlineStr">
        <is>
          <t>GÄVLEBORGS LÄN</t>
        </is>
      </c>
      <c r="E3598" t="inlineStr">
        <is>
          <t>LJUSDAL</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24088-2021</t>
        </is>
      </c>
      <c r="B3599" s="1" t="n">
        <v>44336</v>
      </c>
      <c r="C3599" s="1" t="n">
        <v>45357</v>
      </c>
      <c r="D3599" t="inlineStr">
        <is>
          <t>GÄVLEBORGS LÄN</t>
        </is>
      </c>
      <c r="E3599" t="inlineStr">
        <is>
          <t>SANDVIKEN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24161-2021</t>
        </is>
      </c>
      <c r="B3600" s="1" t="n">
        <v>44336</v>
      </c>
      <c r="C3600" s="1" t="n">
        <v>45357</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24162-2021</t>
        </is>
      </c>
      <c r="B3601" s="1" t="n">
        <v>44336</v>
      </c>
      <c r="C3601" s="1" t="n">
        <v>45357</v>
      </c>
      <c r="D3601" t="inlineStr">
        <is>
          <t>GÄVLEBORGS LÄN</t>
        </is>
      </c>
      <c r="E3601" t="inlineStr">
        <is>
          <t>HUDIKSVALL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24173-2021</t>
        </is>
      </c>
      <c r="B3602" s="1" t="n">
        <v>44336</v>
      </c>
      <c r="C3602" s="1" t="n">
        <v>45357</v>
      </c>
      <c r="D3602" t="inlineStr">
        <is>
          <t>GÄVLEBORGS LÄN</t>
        </is>
      </c>
      <c r="E3602" t="inlineStr">
        <is>
          <t>GÄVLE</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24230-2021</t>
        </is>
      </c>
      <c r="B3603" s="1" t="n">
        <v>44336</v>
      </c>
      <c r="C3603" s="1" t="n">
        <v>45357</v>
      </c>
      <c r="D3603" t="inlineStr">
        <is>
          <t>GÄVLEBORGS LÄN</t>
        </is>
      </c>
      <c r="E3603" t="inlineStr">
        <is>
          <t>BOLLNÄS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24344-2021</t>
        </is>
      </c>
      <c r="B3604" s="1" t="n">
        <v>44337</v>
      </c>
      <c r="C3604" s="1" t="n">
        <v>45357</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24367-2021</t>
        </is>
      </c>
      <c r="B3605" s="1" t="n">
        <v>44337</v>
      </c>
      <c r="C3605" s="1" t="n">
        <v>45357</v>
      </c>
      <c r="D3605" t="inlineStr">
        <is>
          <t>GÄVLEBORGS LÄN</t>
        </is>
      </c>
      <c r="E3605" t="inlineStr">
        <is>
          <t>HUDIKSVALL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24477-2021</t>
        </is>
      </c>
      <c r="B3606" s="1" t="n">
        <v>44337</v>
      </c>
      <c r="C3606" s="1" t="n">
        <v>45357</v>
      </c>
      <c r="D3606" t="inlineStr">
        <is>
          <t>GÄVLEBORGS LÄN</t>
        </is>
      </c>
      <c r="E3606" t="inlineStr">
        <is>
          <t>OCKELBO</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24380-2021</t>
        </is>
      </c>
      <c r="B3607" s="1" t="n">
        <v>44337</v>
      </c>
      <c r="C3607" s="1" t="n">
        <v>45357</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24424-2021</t>
        </is>
      </c>
      <c r="B3608" s="1" t="n">
        <v>44337</v>
      </c>
      <c r="C3608" s="1" t="n">
        <v>45357</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24597-2021</t>
        </is>
      </c>
      <c r="B3609" s="1" t="n">
        <v>44340</v>
      </c>
      <c r="C3609" s="1" t="n">
        <v>45357</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24627-2021</t>
        </is>
      </c>
      <c r="B3610" s="1" t="n">
        <v>44340</v>
      </c>
      <c r="C3610" s="1" t="n">
        <v>45357</v>
      </c>
      <c r="D3610" t="inlineStr">
        <is>
          <t>GÄVLEBORGS LÄN</t>
        </is>
      </c>
      <c r="E3610" t="inlineStr">
        <is>
          <t>LJUSDAL</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24665-2021</t>
        </is>
      </c>
      <c r="B3611" s="1" t="n">
        <v>44340</v>
      </c>
      <c r="C3611" s="1" t="n">
        <v>45357</v>
      </c>
      <c r="D3611" t="inlineStr">
        <is>
          <t>GÄVLEBORGS LÄN</t>
        </is>
      </c>
      <c r="E3611" t="inlineStr">
        <is>
          <t>OVANÅKER</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24745-2021</t>
        </is>
      </c>
      <c r="B3612" s="1" t="n">
        <v>44340</v>
      </c>
      <c r="C3612" s="1" t="n">
        <v>45357</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24663-2021</t>
        </is>
      </c>
      <c r="B3613" s="1" t="n">
        <v>44340</v>
      </c>
      <c r="C3613" s="1" t="n">
        <v>45357</v>
      </c>
      <c r="D3613" t="inlineStr">
        <is>
          <t>GÄVLEBORGS LÄN</t>
        </is>
      </c>
      <c r="E3613" t="inlineStr">
        <is>
          <t>HUDIKSVALL</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24761-2021</t>
        </is>
      </c>
      <c r="B3614" s="1" t="n">
        <v>44340</v>
      </c>
      <c r="C3614" s="1" t="n">
        <v>45357</v>
      </c>
      <c r="D3614" t="inlineStr">
        <is>
          <t>GÄVLEBORGS LÄN</t>
        </is>
      </c>
      <c r="E3614" t="inlineStr">
        <is>
          <t>OCKELBO</t>
        </is>
      </c>
      <c r="G3614" t="n">
        <v>1.4</v>
      </c>
      <c r="H3614" t="n">
        <v>0</v>
      </c>
      <c r="I3614" t="n">
        <v>0</v>
      </c>
      <c r="J3614" t="n">
        <v>0</v>
      </c>
      <c r="K3614" t="n">
        <v>0</v>
      </c>
      <c r="L3614" t="n">
        <v>0</v>
      </c>
      <c r="M3614" t="n">
        <v>0</v>
      </c>
      <c r="N3614" t="n">
        <v>0</v>
      </c>
      <c r="O3614" t="n">
        <v>0</v>
      </c>
      <c r="P3614" t="n">
        <v>0</v>
      </c>
      <c r="Q3614" t="n">
        <v>0</v>
      </c>
      <c r="R3614" s="2" t="inlineStr"/>
      <c r="U3614">
        <f>HYPERLINK("https://klasma.github.io/Logging_2101/knärot/A 24761-2021 karta knärot.png", "A 24761-2021")</f>
        <v/>
      </c>
      <c r="V3614">
        <f>HYPERLINK("https://klasma.github.io/Logging_2101/klagomål/A 24761-2021 FSC-klagomål.docx", "A 24761-2021")</f>
        <v/>
      </c>
      <c r="W3614">
        <f>HYPERLINK("https://klasma.github.io/Logging_2101/klagomålsmail/A 24761-2021 FSC-klagomål mail.docx", "A 24761-2021")</f>
        <v/>
      </c>
      <c r="X3614">
        <f>HYPERLINK("https://klasma.github.io/Logging_2101/tillsyn/A 24761-2021 tillsynsbegäran.docx", "A 24761-2021")</f>
        <v/>
      </c>
      <c r="Y3614">
        <f>HYPERLINK("https://klasma.github.io/Logging_2101/tillsynsmail/A 24761-2021 tillsynsbegäran mail.docx", "A 24761-2021")</f>
        <v/>
      </c>
    </row>
    <row r="3615" ht="15" customHeight="1">
      <c r="A3615" t="inlineStr">
        <is>
          <t>A 24803-2021</t>
        </is>
      </c>
      <c r="B3615" s="1" t="n">
        <v>44340</v>
      </c>
      <c r="C3615" s="1" t="n">
        <v>45357</v>
      </c>
      <c r="D3615" t="inlineStr">
        <is>
          <t>GÄVLEBORGS LÄN</t>
        </is>
      </c>
      <c r="E3615" t="inlineStr">
        <is>
          <t>OCKELBO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24851-2021</t>
        </is>
      </c>
      <c r="B3616" s="1" t="n">
        <v>44340</v>
      </c>
      <c r="C3616" s="1" t="n">
        <v>45357</v>
      </c>
      <c r="D3616" t="inlineStr">
        <is>
          <t>GÄVLEBORGS LÄN</t>
        </is>
      </c>
      <c r="E3616" t="inlineStr">
        <is>
          <t>HOFORS</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24894-2021</t>
        </is>
      </c>
      <c r="B3617" s="1" t="n">
        <v>44341</v>
      </c>
      <c r="C3617" s="1" t="n">
        <v>45357</v>
      </c>
      <c r="D3617" t="inlineStr">
        <is>
          <t>GÄVLEBORGS LÄN</t>
        </is>
      </c>
      <c r="E3617" t="inlineStr">
        <is>
          <t>LJUSDAL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24881-2021</t>
        </is>
      </c>
      <c r="B3618" s="1" t="n">
        <v>44341</v>
      </c>
      <c r="C3618" s="1" t="n">
        <v>45357</v>
      </c>
      <c r="D3618" t="inlineStr">
        <is>
          <t>GÄVLEBORGS LÄN</t>
        </is>
      </c>
      <c r="E3618" t="inlineStr">
        <is>
          <t>LJUSDAL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24899-2021</t>
        </is>
      </c>
      <c r="B3619" s="1" t="n">
        <v>44341</v>
      </c>
      <c r="C3619" s="1" t="n">
        <v>45357</v>
      </c>
      <c r="D3619" t="inlineStr">
        <is>
          <t>GÄVLEBORGS LÄN</t>
        </is>
      </c>
      <c r="E3619" t="inlineStr">
        <is>
          <t>LJUSDAL</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25056-2021</t>
        </is>
      </c>
      <c r="B3620" s="1" t="n">
        <v>44341</v>
      </c>
      <c r="C3620" s="1" t="n">
        <v>45357</v>
      </c>
      <c r="D3620" t="inlineStr">
        <is>
          <t>GÄVLEBORGS LÄN</t>
        </is>
      </c>
      <c r="E3620" t="inlineStr">
        <is>
          <t>SANDVIKEN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25144-2021</t>
        </is>
      </c>
      <c r="B3621" s="1" t="n">
        <v>44341</v>
      </c>
      <c r="C3621" s="1" t="n">
        <v>45357</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25149-2021</t>
        </is>
      </c>
      <c r="B3622" s="1" t="n">
        <v>44342</v>
      </c>
      <c r="C3622" s="1" t="n">
        <v>45357</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25169-2021</t>
        </is>
      </c>
      <c r="B3623" s="1" t="n">
        <v>44342</v>
      </c>
      <c r="C3623" s="1" t="n">
        <v>45357</v>
      </c>
      <c r="D3623" t="inlineStr">
        <is>
          <t>GÄVLEBORGS LÄN</t>
        </is>
      </c>
      <c r="E3623" t="inlineStr">
        <is>
          <t>LJUSDAL</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25304-2021</t>
        </is>
      </c>
      <c r="B3624" s="1" t="n">
        <v>44342</v>
      </c>
      <c r="C3624" s="1" t="n">
        <v>45357</v>
      </c>
      <c r="D3624" t="inlineStr">
        <is>
          <t>GÄVLEBORGS LÄN</t>
        </is>
      </c>
      <c r="E3624" t="inlineStr">
        <is>
          <t>SANDVIKEN</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25315-2021</t>
        </is>
      </c>
      <c r="B3625" s="1" t="n">
        <v>44342</v>
      </c>
      <c r="C3625" s="1" t="n">
        <v>45357</v>
      </c>
      <c r="D3625" t="inlineStr">
        <is>
          <t>GÄVLEBORGS LÄN</t>
        </is>
      </c>
      <c r="E3625" t="inlineStr">
        <is>
          <t>NORDANSTIG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25170-2021</t>
        </is>
      </c>
      <c r="B3626" s="1" t="n">
        <v>44342</v>
      </c>
      <c r="C3626" s="1" t="n">
        <v>45357</v>
      </c>
      <c r="D3626" t="inlineStr">
        <is>
          <t>GÄVLEBORGS LÄN</t>
        </is>
      </c>
      <c r="E3626" t="inlineStr">
        <is>
          <t>LJUSDAL</t>
        </is>
      </c>
      <c r="F3626" t="inlineStr">
        <is>
          <t>Sveaskog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25168-2021</t>
        </is>
      </c>
      <c r="B3627" s="1" t="n">
        <v>44342</v>
      </c>
      <c r="C3627" s="1" t="n">
        <v>45357</v>
      </c>
      <c r="D3627" t="inlineStr">
        <is>
          <t>GÄVLEBORGS LÄN</t>
        </is>
      </c>
      <c r="E3627" t="inlineStr">
        <is>
          <t>LJUSDAL</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25312-2021</t>
        </is>
      </c>
      <c r="B3628" s="1" t="n">
        <v>44342</v>
      </c>
      <c r="C3628" s="1" t="n">
        <v>45357</v>
      </c>
      <c r="D3628" t="inlineStr">
        <is>
          <t>GÄVLEBORGS LÄN</t>
        </is>
      </c>
      <c r="E3628" t="inlineStr">
        <is>
          <t>GÄVLE</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25318-2021</t>
        </is>
      </c>
      <c r="B3629" s="1" t="n">
        <v>44342</v>
      </c>
      <c r="C3629" s="1" t="n">
        <v>45357</v>
      </c>
      <c r="D3629" t="inlineStr">
        <is>
          <t>GÄVLEBORGS LÄN</t>
        </is>
      </c>
      <c r="E3629" t="inlineStr">
        <is>
          <t>OCKELBO</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25335-2021</t>
        </is>
      </c>
      <c r="B3630" s="1" t="n">
        <v>44342</v>
      </c>
      <c r="C3630" s="1" t="n">
        <v>45357</v>
      </c>
      <c r="D3630" t="inlineStr">
        <is>
          <t>GÄVLEBORGS LÄN</t>
        </is>
      </c>
      <c r="E3630" t="inlineStr">
        <is>
          <t>GÄVLE</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25446-2021</t>
        </is>
      </c>
      <c r="B3631" s="1" t="n">
        <v>44342</v>
      </c>
      <c r="C3631" s="1" t="n">
        <v>45357</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25494-2021</t>
        </is>
      </c>
      <c r="B3632" s="1" t="n">
        <v>44343</v>
      </c>
      <c r="C3632" s="1" t="n">
        <v>45357</v>
      </c>
      <c r="D3632" t="inlineStr">
        <is>
          <t>GÄVLEBORGS LÄN</t>
        </is>
      </c>
      <c r="E3632" t="inlineStr">
        <is>
          <t>LJUSDAL</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25547-2021</t>
        </is>
      </c>
      <c r="B3633" s="1" t="n">
        <v>44343</v>
      </c>
      <c r="C3633" s="1" t="n">
        <v>45357</v>
      </c>
      <c r="D3633" t="inlineStr">
        <is>
          <t>GÄVLEBORGS LÄN</t>
        </is>
      </c>
      <c r="E3633" t="inlineStr">
        <is>
          <t>GÄVLE</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25583-2021</t>
        </is>
      </c>
      <c r="B3634" s="1" t="n">
        <v>44343</v>
      </c>
      <c r="C3634" s="1" t="n">
        <v>45357</v>
      </c>
      <c r="D3634" t="inlineStr">
        <is>
          <t>GÄVLEBORGS LÄN</t>
        </is>
      </c>
      <c r="E3634" t="inlineStr">
        <is>
          <t>OCKELBO</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25939-2021</t>
        </is>
      </c>
      <c r="B3635" s="1" t="n">
        <v>44344</v>
      </c>
      <c r="C3635" s="1" t="n">
        <v>45357</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26182-2021</t>
        </is>
      </c>
      <c r="B3636" s="1" t="n">
        <v>44347</v>
      </c>
      <c r="C3636" s="1" t="n">
        <v>45357</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26236-2021</t>
        </is>
      </c>
      <c r="B3637" s="1" t="n">
        <v>44347</v>
      </c>
      <c r="C3637" s="1" t="n">
        <v>45357</v>
      </c>
      <c r="D3637" t="inlineStr">
        <is>
          <t>GÄVLEBORGS LÄN</t>
        </is>
      </c>
      <c r="E3637" t="inlineStr">
        <is>
          <t>LJUSDAL</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26158-2021</t>
        </is>
      </c>
      <c r="B3638" s="1" t="n">
        <v>44347</v>
      </c>
      <c r="C3638" s="1" t="n">
        <v>45357</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26171-2021</t>
        </is>
      </c>
      <c r="B3639" s="1" t="n">
        <v>44347</v>
      </c>
      <c r="C3639" s="1" t="n">
        <v>45357</v>
      </c>
      <c r="D3639" t="inlineStr">
        <is>
          <t>GÄVLEBORGS LÄN</t>
        </is>
      </c>
      <c r="E3639" t="inlineStr">
        <is>
          <t>BOLLNÄS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26269-2021</t>
        </is>
      </c>
      <c r="B3640" s="1" t="n">
        <v>44347</v>
      </c>
      <c r="C3640" s="1" t="n">
        <v>45357</v>
      </c>
      <c r="D3640" t="inlineStr">
        <is>
          <t>GÄVLEBORGS LÄN</t>
        </is>
      </c>
      <c r="E3640" t="inlineStr">
        <is>
          <t>OVANÅKER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26323-2021</t>
        </is>
      </c>
      <c r="B3641" s="1" t="n">
        <v>44347</v>
      </c>
      <c r="C3641" s="1" t="n">
        <v>45357</v>
      </c>
      <c r="D3641" t="inlineStr">
        <is>
          <t>GÄVLEBORGS LÄN</t>
        </is>
      </c>
      <c r="E3641" t="inlineStr">
        <is>
          <t>GÄVLE</t>
        </is>
      </c>
      <c r="F3641" t="inlineStr">
        <is>
          <t>Bergvik skog väst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26336-2021</t>
        </is>
      </c>
      <c r="B3642" s="1" t="n">
        <v>44347</v>
      </c>
      <c r="C3642" s="1" t="n">
        <v>45357</v>
      </c>
      <c r="D3642" t="inlineStr">
        <is>
          <t>GÄVLEBORGS LÄN</t>
        </is>
      </c>
      <c r="E3642" t="inlineStr">
        <is>
          <t>LJUSDAL</t>
        </is>
      </c>
      <c r="F3642" t="inlineStr">
        <is>
          <t>Sveaskog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26365-2021</t>
        </is>
      </c>
      <c r="B3643" s="1" t="n">
        <v>44347</v>
      </c>
      <c r="C3643" s="1" t="n">
        <v>45357</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26318-2021</t>
        </is>
      </c>
      <c r="B3644" s="1" t="n">
        <v>44347</v>
      </c>
      <c r="C3644" s="1" t="n">
        <v>45357</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26355-2021</t>
        </is>
      </c>
      <c r="B3645" s="1" t="n">
        <v>44347</v>
      </c>
      <c r="C3645" s="1" t="n">
        <v>45357</v>
      </c>
      <c r="D3645" t="inlineStr">
        <is>
          <t>GÄVLEBORGS LÄN</t>
        </is>
      </c>
      <c r="E3645" t="inlineStr">
        <is>
          <t>SANDVIKEN</t>
        </is>
      </c>
      <c r="F3645" t="inlineStr">
        <is>
          <t>Bergvik skog väst AB</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26373-2021</t>
        </is>
      </c>
      <c r="B3646" s="1" t="n">
        <v>44347</v>
      </c>
      <c r="C3646" s="1" t="n">
        <v>45357</v>
      </c>
      <c r="D3646" t="inlineStr">
        <is>
          <t>GÄVLEBORGS LÄN</t>
        </is>
      </c>
      <c r="E3646" t="inlineStr">
        <is>
          <t>SANDVIKEN</t>
        </is>
      </c>
      <c r="F3646" t="inlineStr">
        <is>
          <t>Bergvik skog väst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26499-2021</t>
        </is>
      </c>
      <c r="B3647" s="1" t="n">
        <v>44348</v>
      </c>
      <c r="C3647" s="1" t="n">
        <v>45357</v>
      </c>
      <c r="D3647" t="inlineStr">
        <is>
          <t>GÄVLEBORGS LÄN</t>
        </is>
      </c>
      <c r="E3647" t="inlineStr">
        <is>
          <t>OCKELBO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26573-2021</t>
        </is>
      </c>
      <c r="B3648" s="1" t="n">
        <v>44348</v>
      </c>
      <c r="C3648" s="1" t="n">
        <v>45357</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26503-2021</t>
        </is>
      </c>
      <c r="B3649" s="1" t="n">
        <v>44348</v>
      </c>
      <c r="C3649" s="1" t="n">
        <v>45357</v>
      </c>
      <c r="D3649" t="inlineStr">
        <is>
          <t>GÄVLEBORGS LÄN</t>
        </is>
      </c>
      <c r="E3649" t="inlineStr">
        <is>
          <t>NORDANSTIG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26501-2021</t>
        </is>
      </c>
      <c r="B3650" s="1" t="n">
        <v>44348</v>
      </c>
      <c r="C3650" s="1" t="n">
        <v>45357</v>
      </c>
      <c r="D3650" t="inlineStr">
        <is>
          <t>GÄVLEBORGS LÄN</t>
        </is>
      </c>
      <c r="E3650" t="inlineStr">
        <is>
          <t>NORDANSTIG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26531-2021</t>
        </is>
      </c>
      <c r="B3651" s="1" t="n">
        <v>44348</v>
      </c>
      <c r="C3651" s="1" t="n">
        <v>45357</v>
      </c>
      <c r="D3651" t="inlineStr">
        <is>
          <t>GÄVLEBORGS LÄN</t>
        </is>
      </c>
      <c r="E3651" t="inlineStr">
        <is>
          <t>SÖDERHAMN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26539-2021</t>
        </is>
      </c>
      <c r="B3652" s="1" t="n">
        <v>44348</v>
      </c>
      <c r="C3652" s="1" t="n">
        <v>45357</v>
      </c>
      <c r="D3652" t="inlineStr">
        <is>
          <t>GÄVLEBORGS LÄN</t>
        </is>
      </c>
      <c r="E3652" t="inlineStr">
        <is>
          <t>SÖDERHAMN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26533-2021</t>
        </is>
      </c>
      <c r="B3653" s="1" t="n">
        <v>44348</v>
      </c>
      <c r="C3653" s="1" t="n">
        <v>45357</v>
      </c>
      <c r="D3653" t="inlineStr">
        <is>
          <t>GÄVLEBORGS LÄN</t>
        </is>
      </c>
      <c r="E3653" t="inlineStr">
        <is>
          <t>SÖDERHAMN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26584-2021</t>
        </is>
      </c>
      <c r="B3654" s="1" t="n">
        <v>44348</v>
      </c>
      <c r="C3654" s="1" t="n">
        <v>45357</v>
      </c>
      <c r="D3654" t="inlineStr">
        <is>
          <t>GÄVLEBORGS LÄN</t>
        </is>
      </c>
      <c r="E3654" t="inlineStr">
        <is>
          <t>BOLLNÄS</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26683-2021</t>
        </is>
      </c>
      <c r="B3655" s="1" t="n">
        <v>44349</v>
      </c>
      <c r="C3655" s="1" t="n">
        <v>45357</v>
      </c>
      <c r="D3655" t="inlineStr">
        <is>
          <t>GÄVLEBORGS LÄN</t>
        </is>
      </c>
      <c r="E3655" t="inlineStr">
        <is>
          <t>HUDIKSVALL</t>
        </is>
      </c>
      <c r="F3655" t="inlineStr">
        <is>
          <t>Holmen skog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26754-2021</t>
        </is>
      </c>
      <c r="B3656" s="1" t="n">
        <v>44349</v>
      </c>
      <c r="C3656" s="1" t="n">
        <v>45357</v>
      </c>
      <c r="D3656" t="inlineStr">
        <is>
          <t>GÄVLEBORGS LÄN</t>
        </is>
      </c>
      <c r="E3656" t="inlineStr">
        <is>
          <t>OVANÅKER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26800-2021</t>
        </is>
      </c>
      <c r="B3657" s="1" t="n">
        <v>44349</v>
      </c>
      <c r="C3657" s="1" t="n">
        <v>45357</v>
      </c>
      <c r="D3657" t="inlineStr">
        <is>
          <t>GÄVLEBORGS LÄN</t>
        </is>
      </c>
      <c r="E3657" t="inlineStr">
        <is>
          <t>OVANÅKER</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26752-2021</t>
        </is>
      </c>
      <c r="B3658" s="1" t="n">
        <v>44349</v>
      </c>
      <c r="C3658" s="1" t="n">
        <v>45357</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26779-2021</t>
        </is>
      </c>
      <c r="B3659" s="1" t="n">
        <v>44349</v>
      </c>
      <c r="C3659" s="1" t="n">
        <v>45357</v>
      </c>
      <c r="D3659" t="inlineStr">
        <is>
          <t>GÄVLEBORGS LÄN</t>
        </is>
      </c>
      <c r="E3659" t="inlineStr">
        <is>
          <t>GÄVLE</t>
        </is>
      </c>
      <c r="F3659" t="inlineStr">
        <is>
          <t>Bergvik skog öst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26715-2021</t>
        </is>
      </c>
      <c r="B3660" s="1" t="n">
        <v>44349</v>
      </c>
      <c r="C3660" s="1" t="n">
        <v>45357</v>
      </c>
      <c r="D3660" t="inlineStr">
        <is>
          <t>GÄVLEBORGS LÄN</t>
        </is>
      </c>
      <c r="E3660" t="inlineStr">
        <is>
          <t>LJUSDAL</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26776-2021</t>
        </is>
      </c>
      <c r="B3661" s="1" t="n">
        <v>44349</v>
      </c>
      <c r="C3661" s="1" t="n">
        <v>45357</v>
      </c>
      <c r="D3661" t="inlineStr">
        <is>
          <t>GÄVLEBORGS LÄN</t>
        </is>
      </c>
      <c r="E3661" t="inlineStr">
        <is>
          <t>GÄVLE</t>
        </is>
      </c>
      <c r="F3661" t="inlineStr">
        <is>
          <t>Bergvik skog öst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26806-2021</t>
        </is>
      </c>
      <c r="B3662" s="1" t="n">
        <v>44349</v>
      </c>
      <c r="C3662" s="1" t="n">
        <v>45357</v>
      </c>
      <c r="D3662" t="inlineStr">
        <is>
          <t>GÄVLEBORGS LÄN</t>
        </is>
      </c>
      <c r="E3662" t="inlineStr">
        <is>
          <t>OVANÅKER</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26827-2021</t>
        </is>
      </c>
      <c r="B3663" s="1" t="n">
        <v>44349</v>
      </c>
      <c r="C3663" s="1" t="n">
        <v>45357</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26782-2021</t>
        </is>
      </c>
      <c r="B3664" s="1" t="n">
        <v>44349</v>
      </c>
      <c r="C3664" s="1" t="n">
        <v>45357</v>
      </c>
      <c r="D3664" t="inlineStr">
        <is>
          <t>GÄVLEBORGS LÄN</t>
        </is>
      </c>
      <c r="E3664" t="inlineStr">
        <is>
          <t>HUDIKSVALL</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26833-2021</t>
        </is>
      </c>
      <c r="B3665" s="1" t="n">
        <v>44349</v>
      </c>
      <c r="C3665" s="1" t="n">
        <v>45357</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26869-2021</t>
        </is>
      </c>
      <c r="B3666" s="1" t="n">
        <v>44349</v>
      </c>
      <c r="C3666" s="1" t="n">
        <v>45357</v>
      </c>
      <c r="D3666" t="inlineStr">
        <is>
          <t>GÄVLEBORGS LÄN</t>
        </is>
      </c>
      <c r="E3666" t="inlineStr">
        <is>
          <t>NORDANSTIG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27078-2021</t>
        </is>
      </c>
      <c r="B3667" s="1" t="n">
        <v>44350</v>
      </c>
      <c r="C3667" s="1" t="n">
        <v>45357</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27179-2021</t>
        </is>
      </c>
      <c r="B3668" s="1" t="n">
        <v>44350</v>
      </c>
      <c r="C3668" s="1" t="n">
        <v>45357</v>
      </c>
      <c r="D3668" t="inlineStr">
        <is>
          <t>GÄVLEBORGS LÄN</t>
        </is>
      </c>
      <c r="E3668" t="inlineStr">
        <is>
          <t>GÄVLE</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27083-2021</t>
        </is>
      </c>
      <c r="B3669" s="1" t="n">
        <v>44350</v>
      </c>
      <c r="C3669" s="1" t="n">
        <v>45357</v>
      </c>
      <c r="D3669" t="inlineStr">
        <is>
          <t>GÄVLEBORGS LÄN</t>
        </is>
      </c>
      <c r="E3669" t="inlineStr">
        <is>
          <t>HUDIKSVALL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27161-2021</t>
        </is>
      </c>
      <c r="B3670" s="1" t="n">
        <v>44350</v>
      </c>
      <c r="C3670" s="1" t="n">
        <v>45357</v>
      </c>
      <c r="D3670" t="inlineStr">
        <is>
          <t>GÄVLEBORGS LÄN</t>
        </is>
      </c>
      <c r="E3670" t="inlineStr">
        <is>
          <t>NORDANSTIG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27216-2021</t>
        </is>
      </c>
      <c r="B3671" s="1" t="n">
        <v>44350</v>
      </c>
      <c r="C3671" s="1" t="n">
        <v>45357</v>
      </c>
      <c r="D3671" t="inlineStr">
        <is>
          <t>GÄVLEBORGS LÄN</t>
        </is>
      </c>
      <c r="E3671" t="inlineStr">
        <is>
          <t>LJUSDAL</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27051-2021</t>
        </is>
      </c>
      <c r="B3672" s="1" t="n">
        <v>44350</v>
      </c>
      <c r="C3672" s="1" t="n">
        <v>45357</v>
      </c>
      <c r="D3672" t="inlineStr">
        <is>
          <t>GÄVLEBORGS LÄN</t>
        </is>
      </c>
      <c r="E3672" t="inlineStr">
        <is>
          <t>LJUSDAL</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27066-2021</t>
        </is>
      </c>
      <c r="B3673" s="1" t="n">
        <v>44350</v>
      </c>
      <c r="C3673" s="1" t="n">
        <v>45357</v>
      </c>
      <c r="D3673" t="inlineStr">
        <is>
          <t>GÄVLEBORGS LÄN</t>
        </is>
      </c>
      <c r="E3673" t="inlineStr">
        <is>
          <t>OCKELBO</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27215-2021</t>
        </is>
      </c>
      <c r="B3674" s="1" t="n">
        <v>44350</v>
      </c>
      <c r="C3674" s="1" t="n">
        <v>45357</v>
      </c>
      <c r="D3674" t="inlineStr">
        <is>
          <t>GÄVLEBORGS LÄN</t>
        </is>
      </c>
      <c r="E3674" t="inlineStr">
        <is>
          <t>LJUSDAL</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27218-2021</t>
        </is>
      </c>
      <c r="B3675" s="1" t="n">
        <v>44350</v>
      </c>
      <c r="C3675" s="1" t="n">
        <v>45357</v>
      </c>
      <c r="D3675" t="inlineStr">
        <is>
          <t>GÄVLEBORGS LÄN</t>
        </is>
      </c>
      <c r="E3675" t="inlineStr">
        <is>
          <t>LJUSDAL</t>
        </is>
      </c>
      <c r="F3675" t="inlineStr">
        <is>
          <t>Sveaskog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27480-2021</t>
        </is>
      </c>
      <c r="B3676" s="1" t="n">
        <v>44351</v>
      </c>
      <c r="C3676" s="1" t="n">
        <v>45357</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27374-2021</t>
        </is>
      </c>
      <c r="B3677" s="1" t="n">
        <v>44351</v>
      </c>
      <c r="C3677" s="1" t="n">
        <v>45357</v>
      </c>
      <c r="D3677" t="inlineStr">
        <is>
          <t>GÄVLEBORGS LÄN</t>
        </is>
      </c>
      <c r="E3677" t="inlineStr">
        <is>
          <t>OVANÅKER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27536-2021</t>
        </is>
      </c>
      <c r="B3678" s="1" t="n">
        <v>44351</v>
      </c>
      <c r="C3678" s="1" t="n">
        <v>45357</v>
      </c>
      <c r="D3678" t="inlineStr">
        <is>
          <t>GÄVLEBORGS LÄN</t>
        </is>
      </c>
      <c r="E3678" t="inlineStr">
        <is>
          <t>OVANÅKER</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27476-2021</t>
        </is>
      </c>
      <c r="B3679" s="1" t="n">
        <v>44351</v>
      </c>
      <c r="C3679" s="1" t="n">
        <v>45357</v>
      </c>
      <c r="D3679" t="inlineStr">
        <is>
          <t>GÄVLEBORGS LÄN</t>
        </is>
      </c>
      <c r="E3679" t="inlineStr">
        <is>
          <t>GÄVLE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v>
      </c>
      <c r="C3680" s="1" t="n">
        <v>45357</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27415-2021</t>
        </is>
      </c>
      <c r="B3681" s="1" t="n">
        <v>44351</v>
      </c>
      <c r="C3681" s="1" t="n">
        <v>45357</v>
      </c>
      <c r="D3681" t="inlineStr">
        <is>
          <t>GÄVLEBORGS LÄN</t>
        </is>
      </c>
      <c r="E3681" t="inlineStr">
        <is>
          <t>BOLLNÄS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27575-2021</t>
        </is>
      </c>
      <c r="B3682" s="1" t="n">
        <v>44353</v>
      </c>
      <c r="C3682" s="1" t="n">
        <v>45357</v>
      </c>
      <c r="D3682" t="inlineStr">
        <is>
          <t>GÄVLEBORGS LÄN</t>
        </is>
      </c>
      <c r="E3682" t="inlineStr">
        <is>
          <t>LJUSDAL</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27678-2021</t>
        </is>
      </c>
      <c r="B3683" s="1" t="n">
        <v>44354</v>
      </c>
      <c r="C3683" s="1" t="n">
        <v>45357</v>
      </c>
      <c r="D3683" t="inlineStr">
        <is>
          <t>GÄVLEBORGS LÄN</t>
        </is>
      </c>
      <c r="E3683" t="inlineStr">
        <is>
          <t>BOLLNÄS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27864-2021</t>
        </is>
      </c>
      <c r="B3684" s="1" t="n">
        <v>44354</v>
      </c>
      <c r="C3684" s="1" t="n">
        <v>45357</v>
      </c>
      <c r="D3684" t="inlineStr">
        <is>
          <t>GÄVLEBORGS LÄN</t>
        </is>
      </c>
      <c r="E3684" t="inlineStr">
        <is>
          <t>GÄVLE</t>
        </is>
      </c>
      <c r="F3684" t="inlineStr">
        <is>
          <t>Bergvik skog öst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27900-2021</t>
        </is>
      </c>
      <c r="B3685" s="1" t="n">
        <v>44354</v>
      </c>
      <c r="C3685" s="1" t="n">
        <v>45357</v>
      </c>
      <c r="D3685" t="inlineStr">
        <is>
          <t>GÄVLEBORGS LÄN</t>
        </is>
      </c>
      <c r="E3685" t="inlineStr">
        <is>
          <t>LJUSDAL</t>
        </is>
      </c>
      <c r="F3685" t="inlineStr">
        <is>
          <t>Bergvik skog väst AB</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28006-2021</t>
        </is>
      </c>
      <c r="B3686" s="1" t="n">
        <v>44355</v>
      </c>
      <c r="C3686" s="1" t="n">
        <v>45357</v>
      </c>
      <c r="D3686" t="inlineStr">
        <is>
          <t>GÄVLEBORGS LÄN</t>
        </is>
      </c>
      <c r="E3686" t="inlineStr">
        <is>
          <t>OCKELBO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28014-2021</t>
        </is>
      </c>
      <c r="B3687" s="1" t="n">
        <v>44355</v>
      </c>
      <c r="C3687" s="1" t="n">
        <v>45357</v>
      </c>
      <c r="D3687" t="inlineStr">
        <is>
          <t>GÄVLEBORGS LÄN</t>
        </is>
      </c>
      <c r="E3687" t="inlineStr">
        <is>
          <t>LJUSDAL</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28048-2021</t>
        </is>
      </c>
      <c r="B3688" s="1" t="n">
        <v>44355</v>
      </c>
      <c r="C3688" s="1" t="n">
        <v>45357</v>
      </c>
      <c r="D3688" t="inlineStr">
        <is>
          <t>GÄVLEBORGS LÄN</t>
        </is>
      </c>
      <c r="E3688" t="inlineStr">
        <is>
          <t>NORDANSTIG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27992-2021</t>
        </is>
      </c>
      <c r="B3689" s="1" t="n">
        <v>44355</v>
      </c>
      <c r="C3689" s="1" t="n">
        <v>45357</v>
      </c>
      <c r="D3689" t="inlineStr">
        <is>
          <t>GÄVLEBORGS LÄN</t>
        </is>
      </c>
      <c r="E3689" t="inlineStr">
        <is>
          <t>LJUSDAL</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28100-2021</t>
        </is>
      </c>
      <c r="B3690" s="1" t="n">
        <v>44355</v>
      </c>
      <c r="C3690" s="1" t="n">
        <v>45357</v>
      </c>
      <c r="D3690" t="inlineStr">
        <is>
          <t>GÄVLEBORGS LÄN</t>
        </is>
      </c>
      <c r="E3690" t="inlineStr">
        <is>
          <t>HUDIKSVALL</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28161-2021</t>
        </is>
      </c>
      <c r="B3691" s="1" t="n">
        <v>44355</v>
      </c>
      <c r="C3691" s="1" t="n">
        <v>45357</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28148-2021</t>
        </is>
      </c>
      <c r="B3692" s="1" t="n">
        <v>44355</v>
      </c>
      <c r="C3692" s="1" t="n">
        <v>45357</v>
      </c>
      <c r="D3692" t="inlineStr">
        <is>
          <t>GÄVLEBORGS LÄN</t>
        </is>
      </c>
      <c r="E3692" t="inlineStr">
        <is>
          <t>HUDIKSVALL</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28162-2021</t>
        </is>
      </c>
      <c r="B3693" s="1" t="n">
        <v>44355</v>
      </c>
      <c r="C3693" s="1" t="n">
        <v>45357</v>
      </c>
      <c r="D3693" t="inlineStr">
        <is>
          <t>GÄVLEBORGS LÄN</t>
        </is>
      </c>
      <c r="E3693" t="inlineStr">
        <is>
          <t>BOLLNÄS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28182-2021</t>
        </is>
      </c>
      <c r="B3694" s="1" t="n">
        <v>44355</v>
      </c>
      <c r="C3694" s="1" t="n">
        <v>45357</v>
      </c>
      <c r="D3694" t="inlineStr">
        <is>
          <t>GÄVLEBORGS LÄN</t>
        </is>
      </c>
      <c r="E3694" t="inlineStr">
        <is>
          <t>OVANÅKER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28248-2021</t>
        </is>
      </c>
      <c r="B3695" s="1" t="n">
        <v>44355</v>
      </c>
      <c r="C3695" s="1" t="n">
        <v>45357</v>
      </c>
      <c r="D3695" t="inlineStr">
        <is>
          <t>GÄVLEBORGS LÄN</t>
        </is>
      </c>
      <c r="E3695" t="inlineStr">
        <is>
          <t>NORDANSTIG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28403-2021</t>
        </is>
      </c>
      <c r="B3696" s="1" t="n">
        <v>44356</v>
      </c>
      <c r="C3696" s="1" t="n">
        <v>45357</v>
      </c>
      <c r="D3696" t="inlineStr">
        <is>
          <t>GÄVLEBORGS LÄN</t>
        </is>
      </c>
      <c r="E3696" t="inlineStr">
        <is>
          <t>GÄVLE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28683-2021</t>
        </is>
      </c>
      <c r="B3697" s="1" t="n">
        <v>44357</v>
      </c>
      <c r="C3697" s="1" t="n">
        <v>45357</v>
      </c>
      <c r="D3697" t="inlineStr">
        <is>
          <t>GÄVLEBORGS LÄN</t>
        </is>
      </c>
      <c r="E3697" t="inlineStr">
        <is>
          <t>LJUSDAL</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28708-2021</t>
        </is>
      </c>
      <c r="B3698" s="1" t="n">
        <v>44357</v>
      </c>
      <c r="C3698" s="1" t="n">
        <v>45357</v>
      </c>
      <c r="D3698" t="inlineStr">
        <is>
          <t>GÄVLEBORGS LÄN</t>
        </is>
      </c>
      <c r="E3698" t="inlineStr">
        <is>
          <t>HUDIKSVALL</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28722-2021</t>
        </is>
      </c>
      <c r="B3699" s="1" t="n">
        <v>44357</v>
      </c>
      <c r="C3699" s="1" t="n">
        <v>45357</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28760-2021</t>
        </is>
      </c>
      <c r="B3700" s="1" t="n">
        <v>44357</v>
      </c>
      <c r="C3700" s="1" t="n">
        <v>45357</v>
      </c>
      <c r="D3700" t="inlineStr">
        <is>
          <t>GÄVLEBORGS LÄN</t>
        </is>
      </c>
      <c r="E3700" t="inlineStr">
        <is>
          <t>NORDANSTIG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28739-2021</t>
        </is>
      </c>
      <c r="B3701" s="1" t="n">
        <v>44357</v>
      </c>
      <c r="C3701" s="1" t="n">
        <v>45357</v>
      </c>
      <c r="D3701" t="inlineStr">
        <is>
          <t>GÄVLEBORGS LÄN</t>
        </is>
      </c>
      <c r="E3701" t="inlineStr">
        <is>
          <t>SANDVIKEN</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28878-2021</t>
        </is>
      </c>
      <c r="B3702" s="1" t="n">
        <v>44357</v>
      </c>
      <c r="C3702" s="1" t="n">
        <v>45357</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28879-2021</t>
        </is>
      </c>
      <c r="B3703" s="1" t="n">
        <v>44357</v>
      </c>
      <c r="C3703" s="1" t="n">
        <v>45357</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28918-2021</t>
        </is>
      </c>
      <c r="B3704" s="1" t="n">
        <v>44358</v>
      </c>
      <c r="C3704" s="1" t="n">
        <v>45357</v>
      </c>
      <c r="D3704" t="inlineStr">
        <is>
          <t>GÄVLEBORGS LÄN</t>
        </is>
      </c>
      <c r="E3704" t="inlineStr">
        <is>
          <t>OCKELBO</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29062-2021</t>
        </is>
      </c>
      <c r="B3705" s="1" t="n">
        <v>44358</v>
      </c>
      <c r="C3705" s="1" t="n">
        <v>45357</v>
      </c>
      <c r="D3705" t="inlineStr">
        <is>
          <t>GÄVLEBORGS LÄN</t>
        </is>
      </c>
      <c r="E3705" t="inlineStr">
        <is>
          <t>LJUSDAL</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28999-2021</t>
        </is>
      </c>
      <c r="B3706" s="1" t="n">
        <v>44358</v>
      </c>
      <c r="C3706" s="1" t="n">
        <v>45357</v>
      </c>
      <c r="D3706" t="inlineStr">
        <is>
          <t>GÄVLEBORGS LÄN</t>
        </is>
      </c>
      <c r="E3706" t="inlineStr">
        <is>
          <t>LJUSDAL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29254-2021</t>
        </is>
      </c>
      <c r="B3707" s="1" t="n">
        <v>44358</v>
      </c>
      <c r="C3707" s="1" t="n">
        <v>45357</v>
      </c>
      <c r="D3707" t="inlineStr">
        <is>
          <t>GÄVLEBORGS LÄN</t>
        </is>
      </c>
      <c r="E3707" t="inlineStr">
        <is>
          <t>SANDVIKEN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29290-2021</t>
        </is>
      </c>
      <c r="B3708" s="1" t="n">
        <v>44361</v>
      </c>
      <c r="C3708" s="1" t="n">
        <v>45357</v>
      </c>
      <c r="D3708" t="inlineStr">
        <is>
          <t>GÄVLEBORGS LÄN</t>
        </is>
      </c>
      <c r="E3708" t="inlineStr">
        <is>
          <t>LJUSDAL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29402-2021</t>
        </is>
      </c>
      <c r="B3709" s="1" t="n">
        <v>44361</v>
      </c>
      <c r="C3709" s="1" t="n">
        <v>45357</v>
      </c>
      <c r="D3709" t="inlineStr">
        <is>
          <t>GÄVLEBORGS LÄN</t>
        </is>
      </c>
      <c r="E3709" t="inlineStr">
        <is>
          <t>LJUSDAL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29408-2021</t>
        </is>
      </c>
      <c r="B3710" s="1" t="n">
        <v>44361</v>
      </c>
      <c r="C3710" s="1" t="n">
        <v>45357</v>
      </c>
      <c r="D3710" t="inlineStr">
        <is>
          <t>GÄVLEBORGS LÄN</t>
        </is>
      </c>
      <c r="E3710" t="inlineStr">
        <is>
          <t>LJUSDAL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29435-2021</t>
        </is>
      </c>
      <c r="B3711" s="1" t="n">
        <v>44361</v>
      </c>
      <c r="C3711" s="1" t="n">
        <v>45357</v>
      </c>
      <c r="D3711" t="inlineStr">
        <is>
          <t>GÄVLEBORGS LÄN</t>
        </is>
      </c>
      <c r="E3711" t="inlineStr">
        <is>
          <t>LJUSDAL</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29450-2021</t>
        </is>
      </c>
      <c r="B3712" s="1" t="n">
        <v>44361</v>
      </c>
      <c r="C3712" s="1" t="n">
        <v>45357</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29285-2021</t>
        </is>
      </c>
      <c r="B3713" s="1" t="n">
        <v>44361</v>
      </c>
      <c r="C3713" s="1" t="n">
        <v>45357</v>
      </c>
      <c r="D3713" t="inlineStr">
        <is>
          <t>GÄVLEBORGS LÄN</t>
        </is>
      </c>
      <c r="E3713" t="inlineStr">
        <is>
          <t>LJUSDAL</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29313-2021</t>
        </is>
      </c>
      <c r="B3714" s="1" t="n">
        <v>44361</v>
      </c>
      <c r="C3714" s="1" t="n">
        <v>45357</v>
      </c>
      <c r="D3714" t="inlineStr">
        <is>
          <t>GÄVLEBORGS LÄN</t>
        </is>
      </c>
      <c r="E3714" t="inlineStr">
        <is>
          <t>GÄVLE</t>
        </is>
      </c>
      <c r="F3714" t="inlineStr">
        <is>
          <t>Bergvik skog väst AB</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29326-2021</t>
        </is>
      </c>
      <c r="B3715" s="1" t="n">
        <v>44361</v>
      </c>
      <c r="C3715" s="1" t="n">
        <v>45357</v>
      </c>
      <c r="D3715" t="inlineStr">
        <is>
          <t>GÄVLEBORGS LÄN</t>
        </is>
      </c>
      <c r="E3715" t="inlineStr">
        <is>
          <t>LJUSDAL</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29400-2021</t>
        </is>
      </c>
      <c r="B3716" s="1" t="n">
        <v>44361</v>
      </c>
      <c r="C3716" s="1" t="n">
        <v>45357</v>
      </c>
      <c r="D3716" t="inlineStr">
        <is>
          <t>GÄVLEBORGS LÄN</t>
        </is>
      </c>
      <c r="E3716" t="inlineStr">
        <is>
          <t>LJUSDAL</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29437-2021</t>
        </is>
      </c>
      <c r="B3717" s="1" t="n">
        <v>44361</v>
      </c>
      <c r="C3717" s="1" t="n">
        <v>45357</v>
      </c>
      <c r="D3717" t="inlineStr">
        <is>
          <t>GÄVLEBORGS LÄN</t>
        </is>
      </c>
      <c r="E3717" t="inlineStr">
        <is>
          <t>OCKELBO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29404-2021</t>
        </is>
      </c>
      <c r="B3718" s="1" t="n">
        <v>44361</v>
      </c>
      <c r="C3718" s="1" t="n">
        <v>45357</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29454-2021</t>
        </is>
      </c>
      <c r="B3719" s="1" t="n">
        <v>44361</v>
      </c>
      <c r="C3719" s="1" t="n">
        <v>45357</v>
      </c>
      <c r="D3719" t="inlineStr">
        <is>
          <t>GÄVLEBORGS LÄN</t>
        </is>
      </c>
      <c r="E3719" t="inlineStr">
        <is>
          <t>HUDIKSVALL</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29479-2021</t>
        </is>
      </c>
      <c r="B3720" s="1" t="n">
        <v>44361</v>
      </c>
      <c r="C3720" s="1" t="n">
        <v>45357</v>
      </c>
      <c r="D3720" t="inlineStr">
        <is>
          <t>GÄVLEBORGS LÄN</t>
        </is>
      </c>
      <c r="E3720" t="inlineStr">
        <is>
          <t>LJUSDAL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29486-2021</t>
        </is>
      </c>
      <c r="B3721" s="1" t="n">
        <v>44361</v>
      </c>
      <c r="C3721" s="1" t="n">
        <v>45357</v>
      </c>
      <c r="D3721" t="inlineStr">
        <is>
          <t>GÄVLEBORGS LÄN</t>
        </is>
      </c>
      <c r="E3721" t="inlineStr">
        <is>
          <t>HUDIKSVALL</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29476-2021</t>
        </is>
      </c>
      <c r="B3722" s="1" t="n">
        <v>44361</v>
      </c>
      <c r="C3722" s="1" t="n">
        <v>45357</v>
      </c>
      <c r="D3722" t="inlineStr">
        <is>
          <t>GÄVLEBORGS LÄN</t>
        </is>
      </c>
      <c r="E3722" t="inlineStr">
        <is>
          <t>HUDIKSVALL</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29593-2021</t>
        </is>
      </c>
      <c r="B3723" s="1" t="n">
        <v>44362</v>
      </c>
      <c r="C3723" s="1" t="n">
        <v>45357</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29480-2021</t>
        </is>
      </c>
      <c r="B3724" s="1" t="n">
        <v>44361</v>
      </c>
      <c r="C3724" s="1" t="n">
        <v>45357</v>
      </c>
      <c r="D3724" t="inlineStr">
        <is>
          <t>GÄVLEBORGS LÄN</t>
        </is>
      </c>
      <c r="E3724" t="inlineStr">
        <is>
          <t>LJUSDAL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29568-2021</t>
        </is>
      </c>
      <c r="B3725" s="1" t="n">
        <v>44362</v>
      </c>
      <c r="C3725" s="1" t="n">
        <v>45357</v>
      </c>
      <c r="D3725" t="inlineStr">
        <is>
          <t>GÄVLEBORGS LÄN</t>
        </is>
      </c>
      <c r="E3725" t="inlineStr">
        <is>
          <t>LJUSDAL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29586-2021</t>
        </is>
      </c>
      <c r="B3726" s="1" t="n">
        <v>44362</v>
      </c>
      <c r="C3726" s="1" t="n">
        <v>45357</v>
      </c>
      <c r="D3726" t="inlineStr">
        <is>
          <t>GÄVLEBORGS LÄN</t>
        </is>
      </c>
      <c r="E3726" t="inlineStr">
        <is>
          <t>LJUSDAL</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29812-2021</t>
        </is>
      </c>
      <c r="B3727" s="1" t="n">
        <v>44362</v>
      </c>
      <c r="C3727" s="1" t="n">
        <v>45357</v>
      </c>
      <c r="D3727" t="inlineStr">
        <is>
          <t>GÄVLEBORGS LÄN</t>
        </is>
      </c>
      <c r="E3727" t="inlineStr">
        <is>
          <t>BOLLNÄS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29875-2021</t>
        </is>
      </c>
      <c r="B3728" s="1" t="n">
        <v>44362</v>
      </c>
      <c r="C3728" s="1" t="n">
        <v>45357</v>
      </c>
      <c r="D3728" t="inlineStr">
        <is>
          <t>GÄVLEBORGS LÄN</t>
        </is>
      </c>
      <c r="E3728" t="inlineStr">
        <is>
          <t>OCKELBO</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29898-2021</t>
        </is>
      </c>
      <c r="B3729" s="1" t="n">
        <v>44362</v>
      </c>
      <c r="C3729" s="1" t="n">
        <v>45357</v>
      </c>
      <c r="D3729" t="inlineStr">
        <is>
          <t>GÄVLEBORGS LÄN</t>
        </is>
      </c>
      <c r="E3729" t="inlineStr">
        <is>
          <t>HUDIKSVALL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29828-2021</t>
        </is>
      </c>
      <c r="B3730" s="1" t="n">
        <v>44362</v>
      </c>
      <c r="C3730" s="1" t="n">
        <v>45357</v>
      </c>
      <c r="D3730" t="inlineStr">
        <is>
          <t>GÄVLEBORGS LÄN</t>
        </is>
      </c>
      <c r="E3730" t="inlineStr">
        <is>
          <t>NORDANSTIG</t>
        </is>
      </c>
      <c r="F3730" t="inlineStr">
        <is>
          <t>Holmen skog AB</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29858-2021</t>
        </is>
      </c>
      <c r="B3731" s="1" t="n">
        <v>44362</v>
      </c>
      <c r="C3731" s="1" t="n">
        <v>45357</v>
      </c>
      <c r="D3731" t="inlineStr">
        <is>
          <t>GÄVLEBORGS LÄN</t>
        </is>
      </c>
      <c r="E3731" t="inlineStr">
        <is>
          <t>HUDIKSVALL</t>
        </is>
      </c>
      <c r="F3731" t="inlineStr">
        <is>
          <t>Holmen skog AB</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29972-2021</t>
        </is>
      </c>
      <c r="B3732" s="1" t="n">
        <v>44363</v>
      </c>
      <c r="C3732" s="1" t="n">
        <v>45357</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30112-2021</t>
        </is>
      </c>
      <c r="B3733" s="1" t="n">
        <v>44363</v>
      </c>
      <c r="C3733" s="1" t="n">
        <v>45357</v>
      </c>
      <c r="D3733" t="inlineStr">
        <is>
          <t>GÄVLEBORGS LÄN</t>
        </is>
      </c>
      <c r="E3733" t="inlineStr">
        <is>
          <t>LJUSDAL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30153-2021</t>
        </is>
      </c>
      <c r="B3734" s="1" t="n">
        <v>44363</v>
      </c>
      <c r="C3734" s="1" t="n">
        <v>45357</v>
      </c>
      <c r="D3734" t="inlineStr">
        <is>
          <t>GÄVLEBORGS LÄN</t>
        </is>
      </c>
      <c r="E3734" t="inlineStr">
        <is>
          <t>HUDIKSVALL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30424-2021</t>
        </is>
      </c>
      <c r="B3735" s="1" t="n">
        <v>44364</v>
      </c>
      <c r="C3735" s="1" t="n">
        <v>45357</v>
      </c>
      <c r="D3735" t="inlineStr">
        <is>
          <t>GÄVLEBORGS LÄN</t>
        </is>
      </c>
      <c r="E3735" t="inlineStr">
        <is>
          <t>OVANÅKER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30309-2021</t>
        </is>
      </c>
      <c r="B3736" s="1" t="n">
        <v>44364</v>
      </c>
      <c r="C3736" s="1" t="n">
        <v>45357</v>
      </c>
      <c r="D3736" t="inlineStr">
        <is>
          <t>GÄVLEBORGS LÄN</t>
        </is>
      </c>
      <c r="E3736" t="inlineStr">
        <is>
          <t>SANDVIKEN</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30330-2021</t>
        </is>
      </c>
      <c r="B3737" s="1" t="n">
        <v>44364</v>
      </c>
      <c r="C3737" s="1" t="n">
        <v>45357</v>
      </c>
      <c r="D3737" t="inlineStr">
        <is>
          <t>GÄVLEBORGS LÄN</t>
        </is>
      </c>
      <c r="E3737" t="inlineStr">
        <is>
          <t>GÄVLE</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30515-2021</t>
        </is>
      </c>
      <c r="B3738" s="1" t="n">
        <v>44364</v>
      </c>
      <c r="C3738" s="1" t="n">
        <v>45357</v>
      </c>
      <c r="D3738" t="inlineStr">
        <is>
          <t>GÄVLEBORGS LÄN</t>
        </is>
      </c>
      <c r="E3738" t="inlineStr">
        <is>
          <t>NORDANSTIG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30439-2021</t>
        </is>
      </c>
      <c r="B3739" s="1" t="n">
        <v>44364</v>
      </c>
      <c r="C3739" s="1" t="n">
        <v>45357</v>
      </c>
      <c r="D3739" t="inlineStr">
        <is>
          <t>GÄVLEBORGS LÄN</t>
        </is>
      </c>
      <c r="E3739" t="inlineStr">
        <is>
          <t>OVANÅKER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30525-2021</t>
        </is>
      </c>
      <c r="B3740" s="1" t="n">
        <v>44364</v>
      </c>
      <c r="C3740" s="1" t="n">
        <v>45357</v>
      </c>
      <c r="D3740" t="inlineStr">
        <is>
          <t>GÄVLEBORGS LÄN</t>
        </is>
      </c>
      <c r="E3740" t="inlineStr">
        <is>
          <t>GÄVLE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30577-2021</t>
        </is>
      </c>
      <c r="B3741" s="1" t="n">
        <v>44364</v>
      </c>
      <c r="C3741" s="1" t="n">
        <v>45357</v>
      </c>
      <c r="D3741" t="inlineStr">
        <is>
          <t>GÄVLEBORGS LÄN</t>
        </is>
      </c>
      <c r="E3741" t="inlineStr">
        <is>
          <t>LJUSDAL</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30523-2021</t>
        </is>
      </c>
      <c r="B3742" s="1" t="n">
        <v>44364</v>
      </c>
      <c r="C3742" s="1" t="n">
        <v>45357</v>
      </c>
      <c r="D3742" t="inlineStr">
        <is>
          <t>GÄVLEBORGS LÄN</t>
        </is>
      </c>
      <c r="E3742" t="inlineStr">
        <is>
          <t>BOLLNÄS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30607-2021</t>
        </is>
      </c>
      <c r="B3743" s="1" t="n">
        <v>44365</v>
      </c>
      <c r="C3743" s="1" t="n">
        <v>45357</v>
      </c>
      <c r="D3743" t="inlineStr">
        <is>
          <t>GÄVLEBORGS LÄN</t>
        </is>
      </c>
      <c r="E3743" t="inlineStr">
        <is>
          <t>LJUSDAL</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30601-2021</t>
        </is>
      </c>
      <c r="B3744" s="1" t="n">
        <v>44365</v>
      </c>
      <c r="C3744" s="1" t="n">
        <v>45357</v>
      </c>
      <c r="D3744" t="inlineStr">
        <is>
          <t>GÄVLEBORGS LÄN</t>
        </is>
      </c>
      <c r="E3744" t="inlineStr">
        <is>
          <t>LJUSDAL</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30668-2021</t>
        </is>
      </c>
      <c r="B3745" s="1" t="n">
        <v>44365</v>
      </c>
      <c r="C3745" s="1" t="n">
        <v>45357</v>
      </c>
      <c r="D3745" t="inlineStr">
        <is>
          <t>GÄVLEBORGS LÄN</t>
        </is>
      </c>
      <c r="E3745" t="inlineStr">
        <is>
          <t>LJUSDAL</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30816-2021</t>
        </is>
      </c>
      <c r="B3746" s="1" t="n">
        <v>44365</v>
      </c>
      <c r="C3746" s="1" t="n">
        <v>45357</v>
      </c>
      <c r="D3746" t="inlineStr">
        <is>
          <t>GÄVLEBORGS LÄN</t>
        </is>
      </c>
      <c r="E3746" t="inlineStr">
        <is>
          <t>LJUSDAL</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30770-2021</t>
        </is>
      </c>
      <c r="B3747" s="1" t="n">
        <v>44365</v>
      </c>
      <c r="C3747" s="1" t="n">
        <v>45357</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30956-2021</t>
        </is>
      </c>
      <c r="B3748" s="1" t="n">
        <v>44365</v>
      </c>
      <c r="C3748" s="1" t="n">
        <v>45357</v>
      </c>
      <c r="D3748" t="inlineStr">
        <is>
          <t>GÄVLEBORGS LÄN</t>
        </is>
      </c>
      <c r="E3748" t="inlineStr">
        <is>
          <t>OVANÅKER</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30813-2021</t>
        </is>
      </c>
      <c r="B3749" s="1" t="n">
        <v>44365</v>
      </c>
      <c r="C3749" s="1" t="n">
        <v>45357</v>
      </c>
      <c r="D3749" t="inlineStr">
        <is>
          <t>GÄVLEBORGS LÄN</t>
        </is>
      </c>
      <c r="E3749" t="inlineStr">
        <is>
          <t>BOLLNÄS</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31091-2021</t>
        </is>
      </c>
      <c r="B3750" s="1" t="n">
        <v>44368</v>
      </c>
      <c r="C3750" s="1" t="n">
        <v>45357</v>
      </c>
      <c r="D3750" t="inlineStr">
        <is>
          <t>GÄVLEBORGS LÄN</t>
        </is>
      </c>
      <c r="E3750" t="inlineStr">
        <is>
          <t>LJUSDAL</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45357</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31042-2021</t>
        </is>
      </c>
      <c r="B3752" s="1" t="n">
        <v>44368</v>
      </c>
      <c r="C3752" s="1" t="n">
        <v>45357</v>
      </c>
      <c r="D3752" t="inlineStr">
        <is>
          <t>GÄVLEBORGS LÄN</t>
        </is>
      </c>
      <c r="E3752" t="inlineStr">
        <is>
          <t>LJUSDAL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31041-2021</t>
        </is>
      </c>
      <c r="B3753" s="1" t="n">
        <v>44368</v>
      </c>
      <c r="C3753" s="1" t="n">
        <v>45357</v>
      </c>
      <c r="D3753" t="inlineStr">
        <is>
          <t>GÄVLEBORGS LÄN</t>
        </is>
      </c>
      <c r="E3753" t="inlineStr">
        <is>
          <t>LJUSDAL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31083-2021</t>
        </is>
      </c>
      <c r="B3754" s="1" t="n">
        <v>44368</v>
      </c>
      <c r="C3754" s="1" t="n">
        <v>45357</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31065-2021</t>
        </is>
      </c>
      <c r="B3755" s="1" t="n">
        <v>44368</v>
      </c>
      <c r="C3755" s="1" t="n">
        <v>45357</v>
      </c>
      <c r="D3755" t="inlineStr">
        <is>
          <t>GÄVLEBORGS LÄN</t>
        </is>
      </c>
      <c r="E3755" t="inlineStr">
        <is>
          <t>LJUSDAL</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32644-2021</t>
        </is>
      </c>
      <c r="B3756" s="1" t="n">
        <v>44368</v>
      </c>
      <c r="C3756" s="1" t="n">
        <v>45357</v>
      </c>
      <c r="D3756" t="inlineStr">
        <is>
          <t>GÄVLEBORGS LÄN</t>
        </is>
      </c>
      <c r="E3756" t="inlineStr">
        <is>
          <t>HUDIKSVALL</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31423-2021</t>
        </is>
      </c>
      <c r="B3757" s="1" t="n">
        <v>44369</v>
      </c>
      <c r="C3757" s="1" t="n">
        <v>45357</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31515-2021</t>
        </is>
      </c>
      <c r="B3758" s="1" t="n">
        <v>44369</v>
      </c>
      <c r="C3758" s="1" t="n">
        <v>45357</v>
      </c>
      <c r="D3758" t="inlineStr">
        <is>
          <t>GÄVLEBORGS LÄN</t>
        </is>
      </c>
      <c r="E3758" t="inlineStr">
        <is>
          <t>BOLLNÄS</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31482-2021</t>
        </is>
      </c>
      <c r="B3759" s="1" t="n">
        <v>44369</v>
      </c>
      <c r="C3759" s="1" t="n">
        <v>45357</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31490-2021</t>
        </is>
      </c>
      <c r="B3760" s="1" t="n">
        <v>44369</v>
      </c>
      <c r="C3760" s="1" t="n">
        <v>45357</v>
      </c>
      <c r="D3760" t="inlineStr">
        <is>
          <t>GÄVLEBORGS LÄN</t>
        </is>
      </c>
      <c r="E3760" t="inlineStr">
        <is>
          <t>HUDIKSVALL</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31691-2021</t>
        </is>
      </c>
      <c r="B3761" s="1" t="n">
        <v>44369</v>
      </c>
      <c r="C3761" s="1" t="n">
        <v>45357</v>
      </c>
      <c r="D3761" t="inlineStr">
        <is>
          <t>GÄVLEBORGS LÄN</t>
        </is>
      </c>
      <c r="E3761" t="inlineStr">
        <is>
          <t>BOLLNÄS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31619-2021</t>
        </is>
      </c>
      <c r="B3762" s="1" t="n">
        <v>44369</v>
      </c>
      <c r="C3762" s="1" t="n">
        <v>45357</v>
      </c>
      <c r="D3762" t="inlineStr">
        <is>
          <t>GÄVLEBORGS LÄN</t>
        </is>
      </c>
      <c r="E3762" t="inlineStr">
        <is>
          <t>GÄVLE</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31694-2021</t>
        </is>
      </c>
      <c r="B3763" s="1" t="n">
        <v>44369</v>
      </c>
      <c r="C3763" s="1" t="n">
        <v>45357</v>
      </c>
      <c r="D3763" t="inlineStr">
        <is>
          <t>GÄVLEBORGS LÄN</t>
        </is>
      </c>
      <c r="E3763" t="inlineStr">
        <is>
          <t>BOLLNÄS</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31642-2021</t>
        </is>
      </c>
      <c r="B3764" s="1" t="n">
        <v>44369</v>
      </c>
      <c r="C3764" s="1" t="n">
        <v>45357</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31801-2021</t>
        </is>
      </c>
      <c r="B3765" s="1" t="n">
        <v>44370</v>
      </c>
      <c r="C3765" s="1" t="n">
        <v>45357</v>
      </c>
      <c r="D3765" t="inlineStr">
        <is>
          <t>GÄVLEBORGS LÄN</t>
        </is>
      </c>
      <c r="E3765" t="inlineStr">
        <is>
          <t>BOLLNÄS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31848-2021</t>
        </is>
      </c>
      <c r="B3766" s="1" t="n">
        <v>44370</v>
      </c>
      <c r="C3766" s="1" t="n">
        <v>45357</v>
      </c>
      <c r="D3766" t="inlineStr">
        <is>
          <t>GÄVLEBORGS LÄN</t>
        </is>
      </c>
      <c r="E3766" t="inlineStr">
        <is>
          <t>BOLLNÄS</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31903-2021</t>
        </is>
      </c>
      <c r="B3767" s="1" t="n">
        <v>44370</v>
      </c>
      <c r="C3767" s="1" t="n">
        <v>45357</v>
      </c>
      <c r="D3767" t="inlineStr">
        <is>
          <t>GÄVLEBORGS LÄN</t>
        </is>
      </c>
      <c r="E3767" t="inlineStr">
        <is>
          <t>HUDIKSVALL</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31927-2021</t>
        </is>
      </c>
      <c r="B3768" s="1" t="n">
        <v>44370</v>
      </c>
      <c r="C3768" s="1" t="n">
        <v>45357</v>
      </c>
      <c r="D3768" t="inlineStr">
        <is>
          <t>GÄVLEBORGS LÄN</t>
        </is>
      </c>
      <c r="E3768" t="inlineStr">
        <is>
          <t>SÖDERHAMN</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31768-2021</t>
        </is>
      </c>
      <c r="B3769" s="1" t="n">
        <v>44370</v>
      </c>
      <c r="C3769" s="1" t="n">
        <v>45357</v>
      </c>
      <c r="D3769" t="inlineStr">
        <is>
          <t>GÄVLEBORGS LÄN</t>
        </is>
      </c>
      <c r="E3769" t="inlineStr">
        <is>
          <t>BOLLNÄS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31923-2021</t>
        </is>
      </c>
      <c r="B3770" s="1" t="n">
        <v>44370</v>
      </c>
      <c r="C3770" s="1" t="n">
        <v>45357</v>
      </c>
      <c r="D3770" t="inlineStr">
        <is>
          <t>GÄVLEBORGS LÄN</t>
        </is>
      </c>
      <c r="E3770" t="inlineStr">
        <is>
          <t>NORDANSTIG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31930-2021</t>
        </is>
      </c>
      <c r="B3771" s="1" t="n">
        <v>44370</v>
      </c>
      <c r="C3771" s="1" t="n">
        <v>45357</v>
      </c>
      <c r="D3771" t="inlineStr">
        <is>
          <t>GÄVLEBORGS LÄN</t>
        </is>
      </c>
      <c r="E3771" t="inlineStr">
        <is>
          <t>NORDANSTIG</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31967-2021</t>
        </is>
      </c>
      <c r="B3772" s="1" t="n">
        <v>44370</v>
      </c>
      <c r="C3772" s="1" t="n">
        <v>45357</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32018-2021</t>
        </is>
      </c>
      <c r="B3773" s="1" t="n">
        <v>44370</v>
      </c>
      <c r="C3773" s="1" t="n">
        <v>45357</v>
      </c>
      <c r="D3773" t="inlineStr">
        <is>
          <t>GÄVLEBORGS LÄN</t>
        </is>
      </c>
      <c r="E3773" t="inlineStr">
        <is>
          <t>GÄVLE</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31961-2021</t>
        </is>
      </c>
      <c r="B3774" s="1" t="n">
        <v>44370</v>
      </c>
      <c r="C3774" s="1" t="n">
        <v>45357</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32008-2021</t>
        </is>
      </c>
      <c r="B3775" s="1" t="n">
        <v>44370</v>
      </c>
      <c r="C3775" s="1" t="n">
        <v>45357</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32043-2021</t>
        </is>
      </c>
      <c r="B3776" s="1" t="n">
        <v>44370</v>
      </c>
      <c r="C3776" s="1" t="n">
        <v>45357</v>
      </c>
      <c r="D3776" t="inlineStr">
        <is>
          <t>GÄVLEBORGS LÄN</t>
        </is>
      </c>
      <c r="E3776" t="inlineStr">
        <is>
          <t>NORDANSTIG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32238-2021</t>
        </is>
      </c>
      <c r="B3777" s="1" t="n">
        <v>44371</v>
      </c>
      <c r="C3777" s="1" t="n">
        <v>45357</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32174-2021</t>
        </is>
      </c>
      <c r="B3778" s="1" t="n">
        <v>44371</v>
      </c>
      <c r="C3778" s="1" t="n">
        <v>45357</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32266-2021</t>
        </is>
      </c>
      <c r="B3779" s="1" t="n">
        <v>44371</v>
      </c>
      <c r="C3779" s="1" t="n">
        <v>45357</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32282-2021</t>
        </is>
      </c>
      <c r="B3780" s="1" t="n">
        <v>44371</v>
      </c>
      <c r="C3780" s="1" t="n">
        <v>45357</v>
      </c>
      <c r="D3780" t="inlineStr">
        <is>
          <t>GÄVLEBORGS LÄN</t>
        </is>
      </c>
      <c r="E3780" t="inlineStr">
        <is>
          <t>OCKELBO</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32233-2021</t>
        </is>
      </c>
      <c r="B3781" s="1" t="n">
        <v>44371</v>
      </c>
      <c r="C3781" s="1" t="n">
        <v>45357</v>
      </c>
      <c r="D3781" t="inlineStr">
        <is>
          <t>GÄVLEBORGS LÄN</t>
        </is>
      </c>
      <c r="E3781" t="inlineStr">
        <is>
          <t>LJUSDAL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32420-2021</t>
        </is>
      </c>
      <c r="B3782" s="1" t="n">
        <v>44371</v>
      </c>
      <c r="C3782" s="1" t="n">
        <v>45357</v>
      </c>
      <c r="D3782" t="inlineStr">
        <is>
          <t>GÄVLEBORGS LÄN</t>
        </is>
      </c>
      <c r="E3782" t="inlineStr">
        <is>
          <t>OVANÅKER</t>
        </is>
      </c>
      <c r="F3782" t="inlineStr">
        <is>
          <t>Bergvik skog väst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32698-2021</t>
        </is>
      </c>
      <c r="B3783" s="1" t="n">
        <v>44375</v>
      </c>
      <c r="C3783" s="1" t="n">
        <v>45357</v>
      </c>
      <c r="D3783" t="inlineStr">
        <is>
          <t>GÄVLEBORGS LÄN</t>
        </is>
      </c>
      <c r="E3783" t="inlineStr">
        <is>
          <t>BOLLNÄS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32555-2021</t>
        </is>
      </c>
      <c r="B3784" s="1" t="n">
        <v>44375</v>
      </c>
      <c r="C3784" s="1" t="n">
        <v>45357</v>
      </c>
      <c r="D3784" t="inlineStr">
        <is>
          <t>GÄVLEBORGS LÄN</t>
        </is>
      </c>
      <c r="E3784" t="inlineStr">
        <is>
          <t>HUDIKSVALL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32577-2021</t>
        </is>
      </c>
      <c r="B3785" s="1" t="n">
        <v>44375</v>
      </c>
      <c r="C3785" s="1" t="n">
        <v>45357</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32774-2021</t>
        </is>
      </c>
      <c r="B3786" s="1" t="n">
        <v>44375</v>
      </c>
      <c r="C3786" s="1" t="n">
        <v>45357</v>
      </c>
      <c r="D3786" t="inlineStr">
        <is>
          <t>GÄVLEBORGS LÄN</t>
        </is>
      </c>
      <c r="E3786" t="inlineStr">
        <is>
          <t>LJUSDAL</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32886-2021</t>
        </is>
      </c>
      <c r="B3787" s="1" t="n">
        <v>44375</v>
      </c>
      <c r="C3787" s="1" t="n">
        <v>45357</v>
      </c>
      <c r="D3787" t="inlineStr">
        <is>
          <t>GÄVLEBORGS LÄN</t>
        </is>
      </c>
      <c r="E3787" t="inlineStr">
        <is>
          <t>LJUSDAL</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32837-2021</t>
        </is>
      </c>
      <c r="B3788" s="1" t="n">
        <v>44375</v>
      </c>
      <c r="C3788" s="1" t="n">
        <v>45357</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32883-2021</t>
        </is>
      </c>
      <c r="B3789" s="1" t="n">
        <v>44375</v>
      </c>
      <c r="C3789" s="1" t="n">
        <v>45357</v>
      </c>
      <c r="D3789" t="inlineStr">
        <is>
          <t>GÄVLEBORGS LÄN</t>
        </is>
      </c>
      <c r="E3789" t="inlineStr">
        <is>
          <t>HUDIKSVALL</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32823-2021</t>
        </is>
      </c>
      <c r="B3790" s="1" t="n">
        <v>44375</v>
      </c>
      <c r="C3790" s="1" t="n">
        <v>45357</v>
      </c>
      <c r="D3790" t="inlineStr">
        <is>
          <t>GÄVLEBORGS LÄN</t>
        </is>
      </c>
      <c r="E3790" t="inlineStr">
        <is>
          <t>HUDIKSVALL</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32878-2021</t>
        </is>
      </c>
      <c r="B3791" s="1" t="n">
        <v>44375</v>
      </c>
      <c r="C3791" s="1" t="n">
        <v>45357</v>
      </c>
      <c r="D3791" t="inlineStr">
        <is>
          <t>GÄVLEBORGS LÄN</t>
        </is>
      </c>
      <c r="E3791" t="inlineStr">
        <is>
          <t>LJUSDAL</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32890-2021</t>
        </is>
      </c>
      <c r="B3792" s="1" t="n">
        <v>44375</v>
      </c>
      <c r="C3792" s="1" t="n">
        <v>45357</v>
      </c>
      <c r="D3792" t="inlineStr">
        <is>
          <t>GÄVLEBORGS LÄN</t>
        </is>
      </c>
      <c r="E3792" t="inlineStr">
        <is>
          <t>LJUSDAL</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32970-2021</t>
        </is>
      </c>
      <c r="B3793" s="1" t="n">
        <v>44376</v>
      </c>
      <c r="C3793" s="1" t="n">
        <v>45357</v>
      </c>
      <c r="D3793" t="inlineStr">
        <is>
          <t>GÄVLEBORGS LÄN</t>
        </is>
      </c>
      <c r="E3793" t="inlineStr">
        <is>
          <t>GÄVLE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33078-2021</t>
        </is>
      </c>
      <c r="B3794" s="1" t="n">
        <v>44376</v>
      </c>
      <c r="C3794" s="1" t="n">
        <v>45357</v>
      </c>
      <c r="D3794" t="inlineStr">
        <is>
          <t>GÄVLEBORGS LÄN</t>
        </is>
      </c>
      <c r="E3794" t="inlineStr">
        <is>
          <t>HUDIKSVALL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33180-2021</t>
        </is>
      </c>
      <c r="B3795" s="1" t="n">
        <v>44376</v>
      </c>
      <c r="C3795" s="1" t="n">
        <v>45357</v>
      </c>
      <c r="D3795" t="inlineStr">
        <is>
          <t>GÄVLEBORGS LÄN</t>
        </is>
      </c>
      <c r="E3795" t="inlineStr">
        <is>
          <t>OVANÅKER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33278-2021</t>
        </is>
      </c>
      <c r="B3796" s="1" t="n">
        <v>44377</v>
      </c>
      <c r="C3796" s="1" t="n">
        <v>45357</v>
      </c>
      <c r="D3796" t="inlineStr">
        <is>
          <t>GÄVLEBORGS LÄN</t>
        </is>
      </c>
      <c r="E3796" t="inlineStr">
        <is>
          <t>OCKELBO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33319-2021</t>
        </is>
      </c>
      <c r="B3797" s="1" t="n">
        <v>44377</v>
      </c>
      <c r="C3797" s="1" t="n">
        <v>45357</v>
      </c>
      <c r="D3797" t="inlineStr">
        <is>
          <t>GÄVLEBORGS LÄN</t>
        </is>
      </c>
      <c r="E3797" t="inlineStr">
        <is>
          <t>LJUSDAL</t>
        </is>
      </c>
      <c r="F3797" t="inlineStr">
        <is>
          <t>Bergvik skog väst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33393-2021</t>
        </is>
      </c>
      <c r="B3798" s="1" t="n">
        <v>44377</v>
      </c>
      <c r="C3798" s="1" t="n">
        <v>45357</v>
      </c>
      <c r="D3798" t="inlineStr">
        <is>
          <t>GÄVLEBORGS LÄN</t>
        </is>
      </c>
      <c r="E3798" t="inlineStr">
        <is>
          <t>LJUSDAL</t>
        </is>
      </c>
      <c r="F3798" t="inlineStr">
        <is>
          <t>Holmen skog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33410-2021</t>
        </is>
      </c>
      <c r="B3799" s="1" t="n">
        <v>44377</v>
      </c>
      <c r="C3799" s="1" t="n">
        <v>45357</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33224-2021</t>
        </is>
      </c>
      <c r="B3800" s="1" t="n">
        <v>44377</v>
      </c>
      <c r="C3800" s="1" t="n">
        <v>45357</v>
      </c>
      <c r="D3800" t="inlineStr">
        <is>
          <t>GÄVLEBORGS LÄN</t>
        </is>
      </c>
      <c r="E3800" t="inlineStr">
        <is>
          <t>GÄVLE</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33605-2021</t>
        </is>
      </c>
      <c r="B3801" s="1" t="n">
        <v>44378</v>
      </c>
      <c r="C3801" s="1" t="n">
        <v>45357</v>
      </c>
      <c r="D3801" t="inlineStr">
        <is>
          <t>GÄVLEBORGS LÄN</t>
        </is>
      </c>
      <c r="E3801" t="inlineStr">
        <is>
          <t>LJUSDAL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33629-2021</t>
        </is>
      </c>
      <c r="B3802" s="1" t="n">
        <v>44378</v>
      </c>
      <c r="C3802" s="1" t="n">
        <v>45357</v>
      </c>
      <c r="D3802" t="inlineStr">
        <is>
          <t>GÄVLEBORGS LÄN</t>
        </is>
      </c>
      <c r="E3802" t="inlineStr">
        <is>
          <t>HUDIKSVALL</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33591-2021</t>
        </is>
      </c>
      <c r="B3803" s="1" t="n">
        <v>44378</v>
      </c>
      <c r="C3803" s="1" t="n">
        <v>45357</v>
      </c>
      <c r="D3803" t="inlineStr">
        <is>
          <t>GÄVLEBORGS LÄN</t>
        </is>
      </c>
      <c r="E3803" t="inlineStr">
        <is>
          <t>HUDIKSVALL</t>
        </is>
      </c>
      <c r="F3803" t="inlineStr">
        <is>
          <t>Kyrkan</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33609-2021</t>
        </is>
      </c>
      <c r="B3804" s="1" t="n">
        <v>44378</v>
      </c>
      <c r="C3804" s="1" t="n">
        <v>45357</v>
      </c>
      <c r="D3804" t="inlineStr">
        <is>
          <t>GÄVLEBORGS LÄN</t>
        </is>
      </c>
      <c r="E3804" t="inlineStr">
        <is>
          <t>LJUSDAL</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33767-2021</t>
        </is>
      </c>
      <c r="B3805" s="1" t="n">
        <v>44378</v>
      </c>
      <c r="C3805" s="1" t="n">
        <v>45357</v>
      </c>
      <c r="D3805" t="inlineStr">
        <is>
          <t>GÄVLEBORGS LÄN</t>
        </is>
      </c>
      <c r="E3805" t="inlineStr">
        <is>
          <t>LJUSDAL</t>
        </is>
      </c>
      <c r="F3805" t="inlineStr">
        <is>
          <t>Kommuner</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33799-2021</t>
        </is>
      </c>
      <c r="B3806" s="1" t="n">
        <v>44378</v>
      </c>
      <c r="C3806" s="1" t="n">
        <v>45357</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34186-2021</t>
        </is>
      </c>
      <c r="B3807" s="1" t="n">
        <v>44379</v>
      </c>
      <c r="C3807" s="1" t="n">
        <v>45357</v>
      </c>
      <c r="D3807" t="inlineStr">
        <is>
          <t>GÄVLEBORGS LÄN</t>
        </is>
      </c>
      <c r="E3807" t="inlineStr">
        <is>
          <t>OVANÅKER</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34242-2021</t>
        </is>
      </c>
      <c r="B3808" s="1" t="n">
        <v>44379</v>
      </c>
      <c r="C3808" s="1" t="n">
        <v>45357</v>
      </c>
      <c r="D3808" t="inlineStr">
        <is>
          <t>GÄVLEBORGS LÄN</t>
        </is>
      </c>
      <c r="E3808" t="inlineStr">
        <is>
          <t>SANDVIKEN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34286-2021</t>
        </is>
      </c>
      <c r="B3809" s="1" t="n">
        <v>44379</v>
      </c>
      <c r="C3809" s="1" t="n">
        <v>45357</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34298-2021</t>
        </is>
      </c>
      <c r="B3810" s="1" t="n">
        <v>44379</v>
      </c>
      <c r="C3810" s="1" t="n">
        <v>45357</v>
      </c>
      <c r="D3810" t="inlineStr">
        <is>
          <t>GÄVLEBORGS LÄN</t>
        </is>
      </c>
      <c r="E3810" t="inlineStr">
        <is>
          <t>OVANÅKER</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34222-2021</t>
        </is>
      </c>
      <c r="B3811" s="1" t="n">
        <v>44379</v>
      </c>
      <c r="C3811" s="1" t="n">
        <v>45357</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34303-2021</t>
        </is>
      </c>
      <c r="B3812" s="1" t="n">
        <v>44379</v>
      </c>
      <c r="C3812" s="1" t="n">
        <v>45357</v>
      </c>
      <c r="D3812" t="inlineStr">
        <is>
          <t>GÄVLEBORGS LÄN</t>
        </is>
      </c>
      <c r="E3812" t="inlineStr">
        <is>
          <t>OVANÅKER</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34312-2021</t>
        </is>
      </c>
      <c r="B3813" s="1" t="n">
        <v>44379</v>
      </c>
      <c r="C3813" s="1" t="n">
        <v>45357</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34260-2021</t>
        </is>
      </c>
      <c r="B3814" s="1" t="n">
        <v>44379</v>
      </c>
      <c r="C3814" s="1" t="n">
        <v>45357</v>
      </c>
      <c r="D3814" t="inlineStr">
        <is>
          <t>GÄVLEBORGS LÄN</t>
        </is>
      </c>
      <c r="E3814" t="inlineStr">
        <is>
          <t>OVANÅKER</t>
        </is>
      </c>
      <c r="F3814" t="inlineStr">
        <is>
          <t>Kyrkan</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34308-2021</t>
        </is>
      </c>
      <c r="B3815" s="1" t="n">
        <v>44379</v>
      </c>
      <c r="C3815" s="1" t="n">
        <v>45357</v>
      </c>
      <c r="D3815" t="inlineStr">
        <is>
          <t>GÄVLEBORGS LÄN</t>
        </is>
      </c>
      <c r="E3815" t="inlineStr">
        <is>
          <t>OVANÅKER</t>
        </is>
      </c>
      <c r="F3815" t="inlineStr">
        <is>
          <t>Holmen skog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34200-2021</t>
        </is>
      </c>
      <c r="B3816" s="1" t="n">
        <v>44379</v>
      </c>
      <c r="C3816" s="1" t="n">
        <v>45357</v>
      </c>
      <c r="D3816" t="inlineStr">
        <is>
          <t>GÄVLEBORGS LÄN</t>
        </is>
      </c>
      <c r="E3816" t="inlineStr">
        <is>
          <t>OVANÅKER</t>
        </is>
      </c>
      <c r="F3816" t="inlineStr">
        <is>
          <t>Kyrkan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34128-2021</t>
        </is>
      </c>
      <c r="B3817" s="1" t="n">
        <v>44379</v>
      </c>
      <c r="C3817" s="1" t="n">
        <v>45357</v>
      </c>
      <c r="D3817" t="inlineStr">
        <is>
          <t>GÄVLEBORGS LÄN</t>
        </is>
      </c>
      <c r="E3817" t="inlineStr">
        <is>
          <t>OVANÅKER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34463-2021</t>
        </is>
      </c>
      <c r="B3818" s="1" t="n">
        <v>44381</v>
      </c>
      <c r="C3818" s="1" t="n">
        <v>45357</v>
      </c>
      <c r="D3818" t="inlineStr">
        <is>
          <t>GÄVLEBORGS LÄN</t>
        </is>
      </c>
      <c r="E3818" t="inlineStr">
        <is>
          <t>BOLLNÄS</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34462-2021</t>
        </is>
      </c>
      <c r="B3819" s="1" t="n">
        <v>44381</v>
      </c>
      <c r="C3819" s="1" t="n">
        <v>45357</v>
      </c>
      <c r="D3819" t="inlineStr">
        <is>
          <t>GÄVLEBORGS LÄN</t>
        </is>
      </c>
      <c r="E3819" t="inlineStr">
        <is>
          <t>BOLLNÄS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34464-2021</t>
        </is>
      </c>
      <c r="B3820" s="1" t="n">
        <v>44381</v>
      </c>
      <c r="C3820" s="1" t="n">
        <v>45357</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34513-2021</t>
        </is>
      </c>
      <c r="B3821" s="1" t="n">
        <v>44382</v>
      </c>
      <c r="C3821" s="1" t="n">
        <v>45357</v>
      </c>
      <c r="D3821" t="inlineStr">
        <is>
          <t>GÄVLEBORGS LÄN</t>
        </is>
      </c>
      <c r="E3821" t="inlineStr">
        <is>
          <t>OVANÅKER</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34523-2021</t>
        </is>
      </c>
      <c r="B3822" s="1" t="n">
        <v>44382</v>
      </c>
      <c r="C3822" s="1" t="n">
        <v>45357</v>
      </c>
      <c r="D3822" t="inlineStr">
        <is>
          <t>GÄVLEBORGS LÄN</t>
        </is>
      </c>
      <c r="E3822" t="inlineStr">
        <is>
          <t>BOLLNÄS</t>
        </is>
      </c>
      <c r="F3822" t="inlineStr">
        <is>
          <t>Bergvik skog väst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34566-2021</t>
        </is>
      </c>
      <c r="B3823" s="1" t="n">
        <v>44382</v>
      </c>
      <c r="C3823" s="1" t="n">
        <v>45357</v>
      </c>
      <c r="D3823" t="inlineStr">
        <is>
          <t>GÄVLEBORGS LÄN</t>
        </is>
      </c>
      <c r="E3823" t="inlineStr">
        <is>
          <t>LJUSDAL</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34651-2021</t>
        </is>
      </c>
      <c r="B3824" s="1" t="n">
        <v>44382</v>
      </c>
      <c r="C3824" s="1" t="n">
        <v>45357</v>
      </c>
      <c r="D3824" t="inlineStr">
        <is>
          <t>GÄVLEBORGS LÄN</t>
        </is>
      </c>
      <c r="E3824" t="inlineStr">
        <is>
          <t>LJUSDAL</t>
        </is>
      </c>
      <c r="F3824" t="inlineStr">
        <is>
          <t>SCA</t>
        </is>
      </c>
      <c r="G3824" t="n">
        <v>15.5</v>
      </c>
      <c r="H3824" t="n">
        <v>0</v>
      </c>
      <c r="I3824" t="n">
        <v>0</v>
      </c>
      <c r="J3824" t="n">
        <v>0</v>
      </c>
      <c r="K3824" t="n">
        <v>0</v>
      </c>
      <c r="L3824" t="n">
        <v>0</v>
      </c>
      <c r="M3824" t="n">
        <v>0</v>
      </c>
      <c r="N3824" t="n">
        <v>0</v>
      </c>
      <c r="O3824" t="n">
        <v>0</v>
      </c>
      <c r="P3824" t="n">
        <v>0</v>
      </c>
      <c r="Q3824" t="n">
        <v>0</v>
      </c>
      <c r="R3824" s="2" t="inlineStr"/>
    </row>
    <row r="3825" ht="15" customHeight="1">
      <c r="A3825" t="inlineStr">
        <is>
          <t>A 34522-2021</t>
        </is>
      </c>
      <c r="B3825" s="1" t="n">
        <v>44382</v>
      </c>
      <c r="C3825" s="1" t="n">
        <v>45357</v>
      </c>
      <c r="D3825" t="inlineStr">
        <is>
          <t>GÄVLEBORGS LÄN</t>
        </is>
      </c>
      <c r="E3825" t="inlineStr">
        <is>
          <t>LJUSDAL</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34542-2021</t>
        </is>
      </c>
      <c r="B3826" s="1" t="n">
        <v>44382</v>
      </c>
      <c r="C3826" s="1" t="n">
        <v>45357</v>
      </c>
      <c r="D3826" t="inlineStr">
        <is>
          <t>GÄVLEBORGS LÄN</t>
        </is>
      </c>
      <c r="E3826" t="inlineStr">
        <is>
          <t>NORDANSTIG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34562-2021</t>
        </is>
      </c>
      <c r="B3827" s="1" t="n">
        <v>44382</v>
      </c>
      <c r="C3827" s="1" t="n">
        <v>45357</v>
      </c>
      <c r="D3827" t="inlineStr">
        <is>
          <t>GÄVLEBORGS LÄN</t>
        </is>
      </c>
      <c r="E3827" t="inlineStr">
        <is>
          <t>BOLLNÄS</t>
        </is>
      </c>
      <c r="F3827" t="inlineStr">
        <is>
          <t>Bergvik skog väst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34797-2021</t>
        </is>
      </c>
      <c r="B3828" s="1" t="n">
        <v>44383</v>
      </c>
      <c r="C3828" s="1" t="n">
        <v>45357</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34852-2021</t>
        </is>
      </c>
      <c r="B3829" s="1" t="n">
        <v>44383</v>
      </c>
      <c r="C3829" s="1" t="n">
        <v>45357</v>
      </c>
      <c r="D3829" t="inlineStr">
        <is>
          <t>GÄVLEBORGS LÄN</t>
        </is>
      </c>
      <c r="E3829" t="inlineStr">
        <is>
          <t>BOLLNÄS</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34854-2021</t>
        </is>
      </c>
      <c r="B3830" s="1" t="n">
        <v>44383</v>
      </c>
      <c r="C3830" s="1" t="n">
        <v>45357</v>
      </c>
      <c r="D3830" t="inlineStr">
        <is>
          <t>GÄVLEBORGS LÄN</t>
        </is>
      </c>
      <c r="E3830" t="inlineStr">
        <is>
          <t>OCKELBO</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34964-2021</t>
        </is>
      </c>
      <c r="B3831" s="1" t="n">
        <v>44383</v>
      </c>
      <c r="C3831" s="1" t="n">
        <v>45357</v>
      </c>
      <c r="D3831" t="inlineStr">
        <is>
          <t>GÄVLEBORGS LÄN</t>
        </is>
      </c>
      <c r="E3831" t="inlineStr">
        <is>
          <t>HUDIKSVALL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34930-2021</t>
        </is>
      </c>
      <c r="B3832" s="1" t="n">
        <v>44383</v>
      </c>
      <c r="C3832" s="1" t="n">
        <v>45357</v>
      </c>
      <c r="D3832" t="inlineStr">
        <is>
          <t>GÄVLEBORGS LÄN</t>
        </is>
      </c>
      <c r="E3832" t="inlineStr">
        <is>
          <t>SANDVIKEN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34943-2021</t>
        </is>
      </c>
      <c r="B3833" s="1" t="n">
        <v>44383</v>
      </c>
      <c r="C3833" s="1" t="n">
        <v>45357</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35080-2021</t>
        </is>
      </c>
      <c r="B3834" s="1" t="n">
        <v>44384</v>
      </c>
      <c r="C3834" s="1" t="n">
        <v>45357</v>
      </c>
      <c r="D3834" t="inlineStr">
        <is>
          <t>GÄVLEBORGS LÄN</t>
        </is>
      </c>
      <c r="E3834" t="inlineStr">
        <is>
          <t>BOLLNÄS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35269-2021</t>
        </is>
      </c>
      <c r="B3835" s="1" t="n">
        <v>44384</v>
      </c>
      <c r="C3835" s="1" t="n">
        <v>45357</v>
      </c>
      <c r="D3835" t="inlineStr">
        <is>
          <t>GÄVLEBORGS LÄN</t>
        </is>
      </c>
      <c r="E3835" t="inlineStr">
        <is>
          <t>OVANÅKER</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35227-2021</t>
        </is>
      </c>
      <c r="B3836" s="1" t="n">
        <v>44384</v>
      </c>
      <c r="C3836" s="1" t="n">
        <v>45357</v>
      </c>
      <c r="D3836" t="inlineStr">
        <is>
          <t>GÄVLEBORGS LÄN</t>
        </is>
      </c>
      <c r="E3836" t="inlineStr">
        <is>
          <t>OCKELBO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35287-2021</t>
        </is>
      </c>
      <c r="B3837" s="1" t="n">
        <v>44384</v>
      </c>
      <c r="C3837" s="1" t="n">
        <v>45357</v>
      </c>
      <c r="D3837" t="inlineStr">
        <is>
          <t>GÄVLEBORGS LÄN</t>
        </is>
      </c>
      <c r="E3837" t="inlineStr">
        <is>
          <t>HUDIKSVALL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35239-2021</t>
        </is>
      </c>
      <c r="B3838" s="1" t="n">
        <v>44384</v>
      </c>
      <c r="C3838" s="1" t="n">
        <v>45357</v>
      </c>
      <c r="D3838" t="inlineStr">
        <is>
          <t>GÄVLEBORGS LÄN</t>
        </is>
      </c>
      <c r="E3838" t="inlineStr">
        <is>
          <t>OVANÅKER</t>
        </is>
      </c>
      <c r="F3838" t="inlineStr">
        <is>
          <t>Holmen skog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35278-2021</t>
        </is>
      </c>
      <c r="B3839" s="1" t="n">
        <v>44384</v>
      </c>
      <c r="C3839" s="1" t="n">
        <v>45357</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35172-2021</t>
        </is>
      </c>
      <c r="B3840" s="1" t="n">
        <v>44384</v>
      </c>
      <c r="C3840" s="1" t="n">
        <v>45357</v>
      </c>
      <c r="D3840" t="inlineStr">
        <is>
          <t>GÄVLEBORGS LÄN</t>
        </is>
      </c>
      <c r="E3840" t="inlineStr">
        <is>
          <t>SÖDERHAMN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35245-2021</t>
        </is>
      </c>
      <c r="B3841" s="1" t="n">
        <v>44384</v>
      </c>
      <c r="C3841" s="1" t="n">
        <v>45357</v>
      </c>
      <c r="D3841" t="inlineStr">
        <is>
          <t>GÄVLEBORGS LÄN</t>
        </is>
      </c>
      <c r="E3841" t="inlineStr">
        <is>
          <t>OCKELBO</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35251-2021</t>
        </is>
      </c>
      <c r="B3842" s="1" t="n">
        <v>44384</v>
      </c>
      <c r="C3842" s="1" t="n">
        <v>45357</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35259-2021</t>
        </is>
      </c>
      <c r="B3843" s="1" t="n">
        <v>44384</v>
      </c>
      <c r="C3843" s="1" t="n">
        <v>45357</v>
      </c>
      <c r="D3843" t="inlineStr">
        <is>
          <t>GÄVLEBORGS LÄN</t>
        </is>
      </c>
      <c r="E3843" t="inlineStr">
        <is>
          <t>LJUSDAL</t>
        </is>
      </c>
      <c r="F3843" t="inlineStr">
        <is>
          <t>Sveaskog</t>
        </is>
      </c>
      <c r="G3843" t="n">
        <v>21.7</v>
      </c>
      <c r="H3843" t="n">
        <v>0</v>
      </c>
      <c r="I3843" t="n">
        <v>0</v>
      </c>
      <c r="J3843" t="n">
        <v>0</v>
      </c>
      <c r="K3843" t="n">
        <v>0</v>
      </c>
      <c r="L3843" t="n">
        <v>0</v>
      </c>
      <c r="M3843" t="n">
        <v>0</v>
      </c>
      <c r="N3843" t="n">
        <v>0</v>
      </c>
      <c r="O3843" t="n">
        <v>0</v>
      </c>
      <c r="P3843" t="n">
        <v>0</v>
      </c>
      <c r="Q3843" t="n">
        <v>0</v>
      </c>
      <c r="R3843" s="2" t="inlineStr"/>
    </row>
    <row r="3844" ht="15" customHeight="1">
      <c r="A3844" t="inlineStr">
        <is>
          <t>A 35455-2021</t>
        </is>
      </c>
      <c r="B3844" s="1" t="n">
        <v>44385</v>
      </c>
      <c r="C3844" s="1" t="n">
        <v>45357</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35859-2021</t>
        </is>
      </c>
      <c r="B3845" s="1" t="n">
        <v>44386</v>
      </c>
      <c r="C3845" s="1" t="n">
        <v>45357</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35811-2021</t>
        </is>
      </c>
      <c r="B3846" s="1" t="n">
        <v>44386</v>
      </c>
      <c r="C3846" s="1" t="n">
        <v>45357</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35931-2021</t>
        </is>
      </c>
      <c r="B3847" s="1" t="n">
        <v>44388</v>
      </c>
      <c r="C3847" s="1" t="n">
        <v>45357</v>
      </c>
      <c r="D3847" t="inlineStr">
        <is>
          <t>GÄVLEBORGS LÄN</t>
        </is>
      </c>
      <c r="E3847" t="inlineStr">
        <is>
          <t>LJUSDAL</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36056-2021</t>
        </is>
      </c>
      <c r="B3848" s="1" t="n">
        <v>44389</v>
      </c>
      <c r="C3848" s="1" t="n">
        <v>45357</v>
      </c>
      <c r="D3848" t="inlineStr">
        <is>
          <t>GÄVLEBORGS LÄN</t>
        </is>
      </c>
      <c r="E3848" t="inlineStr">
        <is>
          <t>OVANÅKER</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36000-2021</t>
        </is>
      </c>
      <c r="B3849" s="1" t="n">
        <v>44389</v>
      </c>
      <c r="C3849" s="1" t="n">
        <v>45357</v>
      </c>
      <c r="D3849" t="inlineStr">
        <is>
          <t>GÄVLEBORGS LÄN</t>
        </is>
      </c>
      <c r="E3849" t="inlineStr">
        <is>
          <t>BOLLNÄS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35976-2021</t>
        </is>
      </c>
      <c r="B3850" s="1" t="n">
        <v>44389</v>
      </c>
      <c r="C3850" s="1" t="n">
        <v>45357</v>
      </c>
      <c r="D3850" t="inlineStr">
        <is>
          <t>GÄVLEBORGS LÄN</t>
        </is>
      </c>
      <c r="E3850" t="inlineStr">
        <is>
          <t>LJUSDAL</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36035-2021</t>
        </is>
      </c>
      <c r="B3851" s="1" t="n">
        <v>44389</v>
      </c>
      <c r="C3851" s="1" t="n">
        <v>45357</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36205-2021</t>
        </is>
      </c>
      <c r="B3852" s="1" t="n">
        <v>44389</v>
      </c>
      <c r="C3852" s="1" t="n">
        <v>45357</v>
      </c>
      <c r="D3852" t="inlineStr">
        <is>
          <t>GÄVLEBORGS LÄN</t>
        </is>
      </c>
      <c r="E3852" t="inlineStr">
        <is>
          <t>GÄVLE</t>
        </is>
      </c>
      <c r="F3852" t="inlineStr">
        <is>
          <t>Bergvik skog öst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36256-2021</t>
        </is>
      </c>
      <c r="B3853" s="1" t="n">
        <v>44390</v>
      </c>
      <c r="C3853" s="1" t="n">
        <v>45357</v>
      </c>
      <c r="D3853" t="inlineStr">
        <is>
          <t>GÄVLEBORGS LÄN</t>
        </is>
      </c>
      <c r="E3853" t="inlineStr">
        <is>
          <t>LJUSDAL</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36483-2021</t>
        </is>
      </c>
      <c r="B3854" s="1" t="n">
        <v>44390</v>
      </c>
      <c r="C3854" s="1" t="n">
        <v>45357</v>
      </c>
      <c r="D3854" t="inlineStr">
        <is>
          <t>GÄVLEBORGS LÄN</t>
        </is>
      </c>
      <c r="E3854" t="inlineStr">
        <is>
          <t>GÄVLE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36323-2021</t>
        </is>
      </c>
      <c r="B3855" s="1" t="n">
        <v>44390</v>
      </c>
      <c r="C3855" s="1" t="n">
        <v>45357</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36252-2021</t>
        </is>
      </c>
      <c r="B3856" s="1" t="n">
        <v>44390</v>
      </c>
      <c r="C3856" s="1" t="n">
        <v>45357</v>
      </c>
      <c r="D3856" t="inlineStr">
        <is>
          <t>GÄVLEBORGS LÄN</t>
        </is>
      </c>
      <c r="E3856" t="inlineStr">
        <is>
          <t>LJUSDAL</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36471-2021</t>
        </is>
      </c>
      <c r="B3857" s="1" t="n">
        <v>44390</v>
      </c>
      <c r="C3857" s="1" t="n">
        <v>45357</v>
      </c>
      <c r="D3857" t="inlineStr">
        <is>
          <t>GÄVLEBORGS LÄN</t>
        </is>
      </c>
      <c r="E3857" t="inlineStr">
        <is>
          <t>GÄVLE</t>
        </is>
      </c>
      <c r="F3857" t="inlineStr">
        <is>
          <t>Bergvik skog väst AB</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36553-2021</t>
        </is>
      </c>
      <c r="B3858" s="1" t="n">
        <v>44391</v>
      </c>
      <c r="C3858" s="1" t="n">
        <v>45357</v>
      </c>
      <c r="D3858" t="inlineStr">
        <is>
          <t>GÄVLEBORGS LÄN</t>
        </is>
      </c>
      <c r="E3858" t="inlineStr">
        <is>
          <t>OCKELBO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36568-2021</t>
        </is>
      </c>
      <c r="B3859" s="1" t="n">
        <v>44391</v>
      </c>
      <c r="C3859" s="1" t="n">
        <v>45357</v>
      </c>
      <c r="D3859" t="inlineStr">
        <is>
          <t>GÄVLEBORGS LÄN</t>
        </is>
      </c>
      <c r="E3859" t="inlineStr">
        <is>
          <t>LJUSDAL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36680-2021</t>
        </is>
      </c>
      <c r="B3860" s="1" t="n">
        <v>44392</v>
      </c>
      <c r="C3860" s="1" t="n">
        <v>45357</v>
      </c>
      <c r="D3860" t="inlineStr">
        <is>
          <t>GÄVLEBORGS LÄN</t>
        </is>
      </c>
      <c r="E3860" t="inlineStr">
        <is>
          <t>SÖDERHAMN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36713-2021</t>
        </is>
      </c>
      <c r="B3861" s="1" t="n">
        <v>44392</v>
      </c>
      <c r="C3861" s="1" t="n">
        <v>45357</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36698-2021</t>
        </is>
      </c>
      <c r="B3862" s="1" t="n">
        <v>44392</v>
      </c>
      <c r="C3862" s="1" t="n">
        <v>45357</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36885-2021</t>
        </is>
      </c>
      <c r="B3863" s="1" t="n">
        <v>44393</v>
      </c>
      <c r="C3863" s="1" t="n">
        <v>45357</v>
      </c>
      <c r="D3863" t="inlineStr">
        <is>
          <t>GÄVLEBORGS LÄN</t>
        </is>
      </c>
      <c r="E3863" t="inlineStr">
        <is>
          <t>LJUSDAL</t>
        </is>
      </c>
      <c r="F3863" t="inlineStr">
        <is>
          <t>Bergvik skog väst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36841-2021</t>
        </is>
      </c>
      <c r="B3864" s="1" t="n">
        <v>44393</v>
      </c>
      <c r="C3864" s="1" t="n">
        <v>45357</v>
      </c>
      <c r="D3864" t="inlineStr">
        <is>
          <t>GÄVLEBORGS LÄN</t>
        </is>
      </c>
      <c r="E3864" t="inlineStr">
        <is>
          <t>OCKELBO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36945-2021</t>
        </is>
      </c>
      <c r="B3865" s="1" t="n">
        <v>44393</v>
      </c>
      <c r="C3865" s="1" t="n">
        <v>45357</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37199-2021</t>
        </is>
      </c>
      <c r="B3866" s="1" t="n">
        <v>44396</v>
      </c>
      <c r="C3866" s="1" t="n">
        <v>45357</v>
      </c>
      <c r="D3866" t="inlineStr">
        <is>
          <t>GÄVLEBORGS LÄN</t>
        </is>
      </c>
      <c r="E3866" t="inlineStr">
        <is>
          <t>LJUSDAL</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37219-2021</t>
        </is>
      </c>
      <c r="B3867" s="1" t="n">
        <v>44396</v>
      </c>
      <c r="C3867" s="1" t="n">
        <v>45357</v>
      </c>
      <c r="D3867" t="inlineStr">
        <is>
          <t>GÄVLEBORGS LÄN</t>
        </is>
      </c>
      <c r="E3867" t="inlineStr">
        <is>
          <t>LJUSDAL</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37203-2021</t>
        </is>
      </c>
      <c r="B3868" s="1" t="n">
        <v>44396</v>
      </c>
      <c r="C3868" s="1" t="n">
        <v>45357</v>
      </c>
      <c r="D3868" t="inlineStr">
        <is>
          <t>GÄVLEBORGS LÄN</t>
        </is>
      </c>
      <c r="E3868" t="inlineStr">
        <is>
          <t>NORDANSTIG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37253-2021</t>
        </is>
      </c>
      <c r="B3869" s="1" t="n">
        <v>44397</v>
      </c>
      <c r="C3869" s="1" t="n">
        <v>45357</v>
      </c>
      <c r="D3869" t="inlineStr">
        <is>
          <t>GÄVLEBORGS LÄN</t>
        </is>
      </c>
      <c r="E3869" t="inlineStr">
        <is>
          <t>LJUSDAL</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37249-2021</t>
        </is>
      </c>
      <c r="B3870" s="1" t="n">
        <v>44397</v>
      </c>
      <c r="C3870" s="1" t="n">
        <v>45357</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37402-2021</t>
        </is>
      </c>
      <c r="B3871" s="1" t="n">
        <v>44398</v>
      </c>
      <c r="C3871" s="1" t="n">
        <v>45357</v>
      </c>
      <c r="D3871" t="inlineStr">
        <is>
          <t>GÄVLEBORGS LÄN</t>
        </is>
      </c>
      <c r="E3871" t="inlineStr">
        <is>
          <t>LJUSDAL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37473-2021</t>
        </is>
      </c>
      <c r="B3872" s="1" t="n">
        <v>44398</v>
      </c>
      <c r="C3872" s="1" t="n">
        <v>45357</v>
      </c>
      <c r="D3872" t="inlineStr">
        <is>
          <t>GÄVLEBORGS LÄN</t>
        </is>
      </c>
      <c r="E3872" t="inlineStr">
        <is>
          <t>LJUSDAL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37565-2021</t>
        </is>
      </c>
      <c r="B3873" s="1" t="n">
        <v>44399</v>
      </c>
      <c r="C3873" s="1" t="n">
        <v>45357</v>
      </c>
      <c r="D3873" t="inlineStr">
        <is>
          <t>GÄVLEBORGS LÄN</t>
        </is>
      </c>
      <c r="E3873" t="inlineStr">
        <is>
          <t>OCKELBO</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37643-2021</t>
        </is>
      </c>
      <c r="B3874" s="1" t="n">
        <v>44400</v>
      </c>
      <c r="C3874" s="1" t="n">
        <v>45357</v>
      </c>
      <c r="D3874" t="inlineStr">
        <is>
          <t>GÄVLEBORGS LÄN</t>
        </is>
      </c>
      <c r="E3874" t="inlineStr">
        <is>
          <t>LJUSDAL</t>
        </is>
      </c>
      <c r="F3874" t="inlineStr">
        <is>
          <t>Sveaskog</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37647-2021</t>
        </is>
      </c>
      <c r="B3875" s="1" t="n">
        <v>44400</v>
      </c>
      <c r="C3875" s="1" t="n">
        <v>45357</v>
      </c>
      <c r="D3875" t="inlineStr">
        <is>
          <t>GÄVLEBORGS LÄN</t>
        </is>
      </c>
      <c r="E3875" t="inlineStr">
        <is>
          <t>LJUSDAL</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37642-2021</t>
        </is>
      </c>
      <c r="B3876" s="1" t="n">
        <v>44400</v>
      </c>
      <c r="C3876" s="1" t="n">
        <v>45357</v>
      </c>
      <c r="D3876" t="inlineStr">
        <is>
          <t>GÄVLEBORGS LÄN</t>
        </is>
      </c>
      <c r="E3876" t="inlineStr">
        <is>
          <t>LJUSDAL</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37646-2021</t>
        </is>
      </c>
      <c r="B3877" s="1" t="n">
        <v>44400</v>
      </c>
      <c r="C3877" s="1" t="n">
        <v>45357</v>
      </c>
      <c r="D3877" t="inlineStr">
        <is>
          <t>GÄVLEBORGS LÄN</t>
        </is>
      </c>
      <c r="E3877" t="inlineStr">
        <is>
          <t>LJUSDAL</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37640-2021</t>
        </is>
      </c>
      <c r="B3878" s="1" t="n">
        <v>44400</v>
      </c>
      <c r="C3878" s="1" t="n">
        <v>45357</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37644-2021</t>
        </is>
      </c>
      <c r="B3879" s="1" t="n">
        <v>44400</v>
      </c>
      <c r="C3879" s="1" t="n">
        <v>45357</v>
      </c>
      <c r="D3879" t="inlineStr">
        <is>
          <t>GÄVLEBORGS LÄN</t>
        </is>
      </c>
      <c r="E3879" t="inlineStr">
        <is>
          <t>LJUSDAL</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37645-2021</t>
        </is>
      </c>
      <c r="B3880" s="1" t="n">
        <v>44400</v>
      </c>
      <c r="C3880" s="1" t="n">
        <v>45357</v>
      </c>
      <c r="D3880" t="inlineStr">
        <is>
          <t>GÄVLEBORGS LÄN</t>
        </is>
      </c>
      <c r="E3880" t="inlineStr">
        <is>
          <t>LJUSDAL</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37649-2021</t>
        </is>
      </c>
      <c r="B3881" s="1" t="n">
        <v>44400</v>
      </c>
      <c r="C3881" s="1" t="n">
        <v>45357</v>
      </c>
      <c r="D3881" t="inlineStr">
        <is>
          <t>GÄVLEBORGS LÄN</t>
        </is>
      </c>
      <c r="E3881" t="inlineStr">
        <is>
          <t>LJUSDAL</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37664-2021</t>
        </is>
      </c>
      <c r="B3882" s="1" t="n">
        <v>44400</v>
      </c>
      <c r="C3882" s="1" t="n">
        <v>45357</v>
      </c>
      <c r="D3882" t="inlineStr">
        <is>
          <t>GÄVLEBORGS LÄN</t>
        </is>
      </c>
      <c r="E3882" t="inlineStr">
        <is>
          <t>LJUSDAL</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37709-2021</t>
        </is>
      </c>
      <c r="B3883" s="1" t="n">
        <v>44400</v>
      </c>
      <c r="C3883" s="1" t="n">
        <v>45357</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37729-2021</t>
        </is>
      </c>
      <c r="B3884" s="1" t="n">
        <v>44400</v>
      </c>
      <c r="C3884" s="1" t="n">
        <v>45357</v>
      </c>
      <c r="D3884" t="inlineStr">
        <is>
          <t>GÄVLEBORGS LÄN</t>
        </is>
      </c>
      <c r="E3884" t="inlineStr">
        <is>
          <t>OVANÅKER</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37694-2021</t>
        </is>
      </c>
      <c r="B3885" s="1" t="n">
        <v>44400</v>
      </c>
      <c r="C3885" s="1" t="n">
        <v>45357</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37701-2021</t>
        </is>
      </c>
      <c r="B3886" s="1" t="n">
        <v>44400</v>
      </c>
      <c r="C3886" s="1" t="n">
        <v>45357</v>
      </c>
      <c r="D3886" t="inlineStr">
        <is>
          <t>GÄVLEBORGS LÄN</t>
        </is>
      </c>
      <c r="E3886" t="inlineStr">
        <is>
          <t>OCKELBO</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37734-2021</t>
        </is>
      </c>
      <c r="B3887" s="1" t="n">
        <v>44400</v>
      </c>
      <c r="C3887" s="1" t="n">
        <v>45357</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37726-2021</t>
        </is>
      </c>
      <c r="B3888" s="1" t="n">
        <v>44400</v>
      </c>
      <c r="C3888" s="1" t="n">
        <v>45357</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37705-2021</t>
        </is>
      </c>
      <c r="B3889" s="1" t="n">
        <v>44400</v>
      </c>
      <c r="C3889" s="1" t="n">
        <v>45357</v>
      </c>
      <c r="D3889" t="inlineStr">
        <is>
          <t>GÄVLEBORGS LÄN</t>
        </is>
      </c>
      <c r="E3889" t="inlineStr">
        <is>
          <t>OCKELBO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37845-2021</t>
        </is>
      </c>
      <c r="B3890" s="1" t="n">
        <v>44403</v>
      </c>
      <c r="C3890" s="1" t="n">
        <v>45357</v>
      </c>
      <c r="D3890" t="inlineStr">
        <is>
          <t>GÄVLEBORGS LÄN</t>
        </is>
      </c>
      <c r="E3890" t="inlineStr">
        <is>
          <t>NORDANSTIG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37874-2021</t>
        </is>
      </c>
      <c r="B3891" s="1" t="n">
        <v>44403</v>
      </c>
      <c r="C3891" s="1" t="n">
        <v>45357</v>
      </c>
      <c r="D3891" t="inlineStr">
        <is>
          <t>GÄVLEBORGS LÄN</t>
        </is>
      </c>
      <c r="E3891" t="inlineStr">
        <is>
          <t>OCKELBO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37900-2021</t>
        </is>
      </c>
      <c r="B3892" s="1" t="n">
        <v>44403</v>
      </c>
      <c r="C3892" s="1" t="n">
        <v>45357</v>
      </c>
      <c r="D3892" t="inlineStr">
        <is>
          <t>GÄVLEBORGS LÄN</t>
        </is>
      </c>
      <c r="E3892" t="inlineStr">
        <is>
          <t>HUDIKSVALL</t>
        </is>
      </c>
      <c r="F3892" t="inlineStr">
        <is>
          <t>Holmen skog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37903-2021</t>
        </is>
      </c>
      <c r="B3893" s="1" t="n">
        <v>44403</v>
      </c>
      <c r="C3893" s="1" t="n">
        <v>45357</v>
      </c>
      <c r="D3893" t="inlineStr">
        <is>
          <t>GÄVLEBORGS LÄN</t>
        </is>
      </c>
      <c r="E3893" t="inlineStr">
        <is>
          <t>LJUSDAL</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37970-2021</t>
        </is>
      </c>
      <c r="B3894" s="1" t="n">
        <v>44403</v>
      </c>
      <c r="C3894" s="1" t="n">
        <v>45357</v>
      </c>
      <c r="D3894" t="inlineStr">
        <is>
          <t>GÄVLEBORGS LÄN</t>
        </is>
      </c>
      <c r="E3894" t="inlineStr">
        <is>
          <t>LJUSDAL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38040-2021</t>
        </is>
      </c>
      <c r="B3895" s="1" t="n">
        <v>44404</v>
      </c>
      <c r="C3895" s="1" t="n">
        <v>45357</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38006-2021</t>
        </is>
      </c>
      <c r="B3896" s="1" t="n">
        <v>44404</v>
      </c>
      <c r="C3896" s="1" t="n">
        <v>45357</v>
      </c>
      <c r="D3896" t="inlineStr">
        <is>
          <t>GÄVLEBORGS LÄN</t>
        </is>
      </c>
      <c r="E3896" t="inlineStr">
        <is>
          <t>HUDIKSVALL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37999-2021</t>
        </is>
      </c>
      <c r="B3897" s="1" t="n">
        <v>44404</v>
      </c>
      <c r="C3897" s="1" t="n">
        <v>45357</v>
      </c>
      <c r="D3897" t="inlineStr">
        <is>
          <t>GÄVLEBORGS LÄN</t>
        </is>
      </c>
      <c r="E3897" t="inlineStr">
        <is>
          <t>HUDIKSVALL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38018-2021</t>
        </is>
      </c>
      <c r="B3898" s="1" t="n">
        <v>44404</v>
      </c>
      <c r="C3898" s="1" t="n">
        <v>45357</v>
      </c>
      <c r="D3898" t="inlineStr">
        <is>
          <t>GÄVLEBORGS LÄN</t>
        </is>
      </c>
      <c r="E3898" t="inlineStr">
        <is>
          <t>HUDIKSVALL</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38113-2021</t>
        </is>
      </c>
      <c r="B3899" s="1" t="n">
        <v>44405</v>
      </c>
      <c r="C3899" s="1" t="n">
        <v>45357</v>
      </c>
      <c r="D3899" t="inlineStr">
        <is>
          <t>GÄVLEBORGS LÄN</t>
        </is>
      </c>
      <c r="E3899" t="inlineStr">
        <is>
          <t>LJUSDAL</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38109-2021</t>
        </is>
      </c>
      <c r="B3900" s="1" t="n">
        <v>44405</v>
      </c>
      <c r="C3900" s="1" t="n">
        <v>45357</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38267-2021</t>
        </is>
      </c>
      <c r="B3901" s="1" t="n">
        <v>44405</v>
      </c>
      <c r="C3901" s="1" t="n">
        <v>45357</v>
      </c>
      <c r="D3901" t="inlineStr">
        <is>
          <t>GÄVLEBORGS LÄN</t>
        </is>
      </c>
      <c r="E3901" t="inlineStr">
        <is>
          <t>LJUSDAL</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38292-2021</t>
        </is>
      </c>
      <c r="B3902" s="1" t="n">
        <v>44406</v>
      </c>
      <c r="C3902" s="1" t="n">
        <v>45357</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38331-2021</t>
        </is>
      </c>
      <c r="B3903" s="1" t="n">
        <v>44406</v>
      </c>
      <c r="C3903" s="1" t="n">
        <v>45357</v>
      </c>
      <c r="D3903" t="inlineStr">
        <is>
          <t>GÄVLEBORGS LÄN</t>
        </is>
      </c>
      <c r="E3903" t="inlineStr">
        <is>
          <t>LJUSDAL</t>
        </is>
      </c>
      <c r="F3903" t="inlineStr">
        <is>
          <t>Allmännings- och besparingsskogar</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38556-2021</t>
        </is>
      </c>
      <c r="B3904" s="1" t="n">
        <v>44407</v>
      </c>
      <c r="C3904" s="1" t="n">
        <v>45357</v>
      </c>
      <c r="D3904" t="inlineStr">
        <is>
          <t>GÄVLEBORGS LÄN</t>
        </is>
      </c>
      <c r="E3904" t="inlineStr">
        <is>
          <t>BOLLNÄS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38604-2021</t>
        </is>
      </c>
      <c r="B3905" s="1" t="n">
        <v>44409</v>
      </c>
      <c r="C3905" s="1" t="n">
        <v>45357</v>
      </c>
      <c r="D3905" t="inlineStr">
        <is>
          <t>GÄVLEBORGS LÄN</t>
        </is>
      </c>
      <c r="E3905" t="inlineStr">
        <is>
          <t>OCKELBO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38863-2021</t>
        </is>
      </c>
      <c r="B3906" s="1" t="n">
        <v>44411</v>
      </c>
      <c r="C3906" s="1" t="n">
        <v>45357</v>
      </c>
      <c r="D3906" t="inlineStr">
        <is>
          <t>GÄVLEBORGS LÄN</t>
        </is>
      </c>
      <c r="E3906" t="inlineStr">
        <is>
          <t>OCKELBO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39154-2021</t>
        </is>
      </c>
      <c r="B3907" s="1" t="n">
        <v>44412</v>
      </c>
      <c r="C3907" s="1" t="n">
        <v>45357</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39156-2021</t>
        </is>
      </c>
      <c r="B3908" s="1" t="n">
        <v>44412</v>
      </c>
      <c r="C3908" s="1" t="n">
        <v>45357</v>
      </c>
      <c r="D3908" t="inlineStr">
        <is>
          <t>GÄVLEBORGS LÄN</t>
        </is>
      </c>
      <c r="E3908" t="inlineStr">
        <is>
          <t>HUDIKSVALL</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39374-2021</t>
        </is>
      </c>
      <c r="B3909" s="1" t="n">
        <v>44414</v>
      </c>
      <c r="C3909" s="1" t="n">
        <v>45357</v>
      </c>
      <c r="D3909" t="inlineStr">
        <is>
          <t>GÄVLEBORGS LÄN</t>
        </is>
      </c>
      <c r="E3909" t="inlineStr">
        <is>
          <t>GÄVLE</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39445-2021</t>
        </is>
      </c>
      <c r="B3910" s="1" t="n">
        <v>44414</v>
      </c>
      <c r="C3910" s="1" t="n">
        <v>45357</v>
      </c>
      <c r="D3910" t="inlineStr">
        <is>
          <t>GÄVLEBORGS LÄN</t>
        </is>
      </c>
      <c r="E3910" t="inlineStr">
        <is>
          <t>OCKELBO</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39690-2021</t>
        </is>
      </c>
      <c r="B3911" s="1" t="n">
        <v>44417</v>
      </c>
      <c r="C3911" s="1" t="n">
        <v>45357</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39687-2021</t>
        </is>
      </c>
      <c r="B3912" s="1" t="n">
        <v>44417</v>
      </c>
      <c r="C3912" s="1" t="n">
        <v>45357</v>
      </c>
      <c r="D3912" t="inlineStr">
        <is>
          <t>GÄVLEBORGS LÄN</t>
        </is>
      </c>
      <c r="E3912" t="inlineStr">
        <is>
          <t>NORDANSTIG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39913-2021</t>
        </is>
      </c>
      <c r="B3913" s="1" t="n">
        <v>44417</v>
      </c>
      <c r="C3913" s="1" t="n">
        <v>45357</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39888-2021</t>
        </is>
      </c>
      <c r="B3914" s="1" t="n">
        <v>44417</v>
      </c>
      <c r="C3914" s="1" t="n">
        <v>45357</v>
      </c>
      <c r="D3914" t="inlineStr">
        <is>
          <t>GÄVLEBORGS LÄN</t>
        </is>
      </c>
      <c r="E3914" t="inlineStr">
        <is>
          <t>OCKELBO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39915-2021</t>
        </is>
      </c>
      <c r="B3915" s="1" t="n">
        <v>44417</v>
      </c>
      <c r="C3915" s="1" t="n">
        <v>45357</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40009-2021</t>
        </is>
      </c>
      <c r="B3916" s="1" t="n">
        <v>44418</v>
      </c>
      <c r="C3916" s="1" t="n">
        <v>45357</v>
      </c>
      <c r="D3916" t="inlineStr">
        <is>
          <t>GÄVLEBORGS LÄN</t>
        </is>
      </c>
      <c r="E3916" t="inlineStr">
        <is>
          <t>LJUSDAL</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40000-2021</t>
        </is>
      </c>
      <c r="B3917" s="1" t="n">
        <v>44418</v>
      </c>
      <c r="C3917" s="1" t="n">
        <v>45357</v>
      </c>
      <c r="D3917" t="inlineStr">
        <is>
          <t>GÄVLEBORGS LÄN</t>
        </is>
      </c>
      <c r="E3917" t="inlineStr">
        <is>
          <t>LJUSDAL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40159-2021</t>
        </is>
      </c>
      <c r="B3918" s="1" t="n">
        <v>44418</v>
      </c>
      <c r="C3918" s="1" t="n">
        <v>45357</v>
      </c>
      <c r="D3918" t="inlineStr">
        <is>
          <t>GÄVLEBORGS LÄN</t>
        </is>
      </c>
      <c r="E3918" t="inlineStr">
        <is>
          <t>OCKELBO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40023-2021</t>
        </is>
      </c>
      <c r="B3919" s="1" t="n">
        <v>44418</v>
      </c>
      <c r="C3919" s="1" t="n">
        <v>45357</v>
      </c>
      <c r="D3919" t="inlineStr">
        <is>
          <t>GÄVLEBORGS LÄN</t>
        </is>
      </c>
      <c r="E3919" t="inlineStr">
        <is>
          <t>GÄVLE</t>
        </is>
      </c>
      <c r="F3919" t="inlineStr">
        <is>
          <t>Bergvik skog öst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40273-2021</t>
        </is>
      </c>
      <c r="B3920" s="1" t="n">
        <v>44419</v>
      </c>
      <c r="C3920" s="1" t="n">
        <v>45357</v>
      </c>
      <c r="D3920" t="inlineStr">
        <is>
          <t>GÄVLEBORGS LÄN</t>
        </is>
      </c>
      <c r="E3920" t="inlineStr">
        <is>
          <t>SÖDERHAMN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40345-2021</t>
        </is>
      </c>
      <c r="B3921" s="1" t="n">
        <v>44419</v>
      </c>
      <c r="C3921" s="1" t="n">
        <v>45357</v>
      </c>
      <c r="D3921" t="inlineStr">
        <is>
          <t>GÄVLEBORGS LÄN</t>
        </is>
      </c>
      <c r="E3921" t="inlineStr">
        <is>
          <t>LJUSDAL</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40315-2021</t>
        </is>
      </c>
      <c r="B3922" s="1" t="n">
        <v>44419</v>
      </c>
      <c r="C3922" s="1" t="n">
        <v>45357</v>
      </c>
      <c r="D3922" t="inlineStr">
        <is>
          <t>GÄVLEBORGS LÄN</t>
        </is>
      </c>
      <c r="E3922" t="inlineStr">
        <is>
          <t>GÄVLE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40431-2021</t>
        </is>
      </c>
      <c r="B3923" s="1" t="n">
        <v>44419</v>
      </c>
      <c r="C3923" s="1" t="n">
        <v>45357</v>
      </c>
      <c r="D3923" t="inlineStr">
        <is>
          <t>GÄVLEBORGS LÄN</t>
        </is>
      </c>
      <c r="E3923" t="inlineStr">
        <is>
          <t>LJUSDAL</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40736-2021</t>
        </is>
      </c>
      <c r="B3924" s="1" t="n">
        <v>44420</v>
      </c>
      <c r="C3924" s="1" t="n">
        <v>45357</v>
      </c>
      <c r="D3924" t="inlineStr">
        <is>
          <t>GÄVLEBORGS LÄN</t>
        </is>
      </c>
      <c r="E3924" t="inlineStr">
        <is>
          <t>SÖDERHAMN</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40764-2021</t>
        </is>
      </c>
      <c r="B3925" s="1" t="n">
        <v>44421</v>
      </c>
      <c r="C3925" s="1" t="n">
        <v>45357</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40926-2021</t>
        </is>
      </c>
      <c r="B3926" s="1" t="n">
        <v>44421</v>
      </c>
      <c r="C3926" s="1" t="n">
        <v>45357</v>
      </c>
      <c r="D3926" t="inlineStr">
        <is>
          <t>GÄVLEBORGS LÄN</t>
        </is>
      </c>
      <c r="E3926" t="inlineStr">
        <is>
          <t>SANDVIKEN</t>
        </is>
      </c>
      <c r="F3926" t="inlineStr">
        <is>
          <t>Naturvårdsverket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40931-2021</t>
        </is>
      </c>
      <c r="B3927" s="1" t="n">
        <v>44421</v>
      </c>
      <c r="C3927" s="1" t="n">
        <v>45357</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40986-2021</t>
        </is>
      </c>
      <c r="B3928" s="1" t="n">
        <v>44421</v>
      </c>
      <c r="C3928" s="1" t="n">
        <v>45357</v>
      </c>
      <c r="D3928" t="inlineStr">
        <is>
          <t>GÄVLEBORGS LÄN</t>
        </is>
      </c>
      <c r="E3928" t="inlineStr">
        <is>
          <t>GÄVLE</t>
        </is>
      </c>
      <c r="F3928" t="inlineStr">
        <is>
          <t>Bergvik skog öst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41034-2021</t>
        </is>
      </c>
      <c r="B3929" s="1" t="n">
        <v>44421</v>
      </c>
      <c r="C3929" s="1" t="n">
        <v>45357</v>
      </c>
      <c r="D3929" t="inlineStr">
        <is>
          <t>GÄVLEBORGS LÄN</t>
        </is>
      </c>
      <c r="E3929" t="inlineStr">
        <is>
          <t>HUDIKSVALL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41280-2021</t>
        </is>
      </c>
      <c r="B3930" s="1" t="n">
        <v>44424</v>
      </c>
      <c r="C3930" s="1" t="n">
        <v>45357</v>
      </c>
      <c r="D3930" t="inlineStr">
        <is>
          <t>GÄVLEBORGS LÄN</t>
        </is>
      </c>
      <c r="E3930" t="inlineStr">
        <is>
          <t>LJUSDAL</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41241-2021</t>
        </is>
      </c>
      <c r="B3931" s="1" t="n">
        <v>44424</v>
      </c>
      <c r="C3931" s="1" t="n">
        <v>45357</v>
      </c>
      <c r="D3931" t="inlineStr">
        <is>
          <t>GÄVLEBORGS LÄN</t>
        </is>
      </c>
      <c r="E3931" t="inlineStr">
        <is>
          <t>HUDIKSVALL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41355-2021</t>
        </is>
      </c>
      <c r="B3932" s="1" t="n">
        <v>44424</v>
      </c>
      <c r="C3932" s="1" t="n">
        <v>45357</v>
      </c>
      <c r="D3932" t="inlineStr">
        <is>
          <t>GÄVLEBORGS LÄN</t>
        </is>
      </c>
      <c r="E3932" t="inlineStr">
        <is>
          <t>BOLLNÄS</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41471-2021</t>
        </is>
      </c>
      <c r="B3933" s="1" t="n">
        <v>44424</v>
      </c>
      <c r="C3933" s="1" t="n">
        <v>45357</v>
      </c>
      <c r="D3933" t="inlineStr">
        <is>
          <t>GÄVLEBORGS LÄN</t>
        </is>
      </c>
      <c r="E3933" t="inlineStr">
        <is>
          <t>BOLLNÄS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41544-2021</t>
        </is>
      </c>
      <c r="B3934" s="1" t="n">
        <v>44425</v>
      </c>
      <c r="C3934" s="1" t="n">
        <v>45357</v>
      </c>
      <c r="D3934" t="inlineStr">
        <is>
          <t>GÄVLEBORGS LÄN</t>
        </is>
      </c>
      <c r="E3934" t="inlineStr">
        <is>
          <t>LJUSDAL</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41529-2021</t>
        </is>
      </c>
      <c r="B3935" s="1" t="n">
        <v>44425</v>
      </c>
      <c r="C3935" s="1" t="n">
        <v>45357</v>
      </c>
      <c r="D3935" t="inlineStr">
        <is>
          <t>GÄVLEBORGS LÄN</t>
        </is>
      </c>
      <c r="E3935" t="inlineStr">
        <is>
          <t>OVANÅKER</t>
        </is>
      </c>
      <c r="F3935" t="inlineStr">
        <is>
          <t>Bergvik skog väst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41622-2021</t>
        </is>
      </c>
      <c r="B3936" s="1" t="n">
        <v>44425</v>
      </c>
      <c r="C3936" s="1" t="n">
        <v>45357</v>
      </c>
      <c r="D3936" t="inlineStr">
        <is>
          <t>GÄVLEBORGS LÄN</t>
        </is>
      </c>
      <c r="E3936" t="inlineStr">
        <is>
          <t>OCKELBO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41527-2021</t>
        </is>
      </c>
      <c r="B3937" s="1" t="n">
        <v>44425</v>
      </c>
      <c r="C3937" s="1" t="n">
        <v>45357</v>
      </c>
      <c r="D3937" t="inlineStr">
        <is>
          <t>GÄVLEBORGS LÄN</t>
        </is>
      </c>
      <c r="E3937" t="inlineStr">
        <is>
          <t>OVANÅKER</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41545-2021</t>
        </is>
      </c>
      <c r="B3938" s="1" t="n">
        <v>44425</v>
      </c>
      <c r="C3938" s="1" t="n">
        <v>45357</v>
      </c>
      <c r="D3938" t="inlineStr">
        <is>
          <t>GÄVLEBORGS LÄN</t>
        </is>
      </c>
      <c r="E3938" t="inlineStr">
        <is>
          <t>OVANÅKER</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41663-2021</t>
        </is>
      </c>
      <c r="B3939" s="1" t="n">
        <v>44425</v>
      </c>
      <c r="C3939" s="1" t="n">
        <v>45357</v>
      </c>
      <c r="D3939" t="inlineStr">
        <is>
          <t>GÄVLEBORGS LÄN</t>
        </is>
      </c>
      <c r="E3939" t="inlineStr">
        <is>
          <t>LJUSDAL</t>
        </is>
      </c>
      <c r="F3939" t="inlineStr">
        <is>
          <t>Sveaskog</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41533-2021</t>
        </is>
      </c>
      <c r="B3940" s="1" t="n">
        <v>44425</v>
      </c>
      <c r="C3940" s="1" t="n">
        <v>45357</v>
      </c>
      <c r="D3940" t="inlineStr">
        <is>
          <t>GÄVLEBORGS LÄN</t>
        </is>
      </c>
      <c r="E3940" t="inlineStr">
        <is>
          <t>OVANÅKER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41919-2021</t>
        </is>
      </c>
      <c r="B3941" s="1" t="n">
        <v>44426</v>
      </c>
      <c r="C3941" s="1" t="n">
        <v>45357</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42227-2021</t>
        </is>
      </c>
      <c r="B3942" s="1" t="n">
        <v>44427</v>
      </c>
      <c r="C3942" s="1" t="n">
        <v>45357</v>
      </c>
      <c r="D3942" t="inlineStr">
        <is>
          <t>GÄVLEBORGS LÄN</t>
        </is>
      </c>
      <c r="E3942" t="inlineStr">
        <is>
          <t>OVANÅKER</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42287-2021</t>
        </is>
      </c>
      <c r="B3943" s="1" t="n">
        <v>44427</v>
      </c>
      <c r="C3943" s="1" t="n">
        <v>45357</v>
      </c>
      <c r="D3943" t="inlineStr">
        <is>
          <t>GÄVLEBORGS LÄN</t>
        </is>
      </c>
      <c r="E3943" t="inlineStr">
        <is>
          <t>SANDVIKEN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42416-2021</t>
        </is>
      </c>
      <c r="B3944" s="1" t="n">
        <v>44427</v>
      </c>
      <c r="C3944" s="1" t="n">
        <v>45357</v>
      </c>
      <c r="D3944" t="inlineStr">
        <is>
          <t>GÄVLEBORGS LÄN</t>
        </is>
      </c>
      <c r="E3944" t="inlineStr">
        <is>
          <t>GÄVLE</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42553-2021</t>
        </is>
      </c>
      <c r="B3945" s="1" t="n">
        <v>44427</v>
      </c>
      <c r="C3945" s="1" t="n">
        <v>45357</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42759-2021</t>
        </is>
      </c>
      <c r="B3946" s="1" t="n">
        <v>44428</v>
      </c>
      <c r="C3946" s="1" t="n">
        <v>45357</v>
      </c>
      <c r="D3946" t="inlineStr">
        <is>
          <t>GÄVLEBORGS LÄN</t>
        </is>
      </c>
      <c r="E3946" t="inlineStr">
        <is>
          <t>LJUSDAL</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42763-2021</t>
        </is>
      </c>
      <c r="B3947" s="1" t="n">
        <v>44428</v>
      </c>
      <c r="C3947" s="1" t="n">
        <v>45357</v>
      </c>
      <c r="D3947" t="inlineStr">
        <is>
          <t>GÄVLEBORGS LÄN</t>
        </is>
      </c>
      <c r="E3947" t="inlineStr">
        <is>
          <t>LJUSDAL</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42959-2021</t>
        </is>
      </c>
      <c r="B3948" s="1" t="n">
        <v>44431</v>
      </c>
      <c r="C3948" s="1" t="n">
        <v>45357</v>
      </c>
      <c r="D3948" t="inlineStr">
        <is>
          <t>GÄVLEBORGS LÄN</t>
        </is>
      </c>
      <c r="E3948" t="inlineStr">
        <is>
          <t>LJUSDAL</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42996-2021</t>
        </is>
      </c>
      <c r="B3949" s="1" t="n">
        <v>44431</v>
      </c>
      <c r="C3949" s="1" t="n">
        <v>45357</v>
      </c>
      <c r="D3949" t="inlineStr">
        <is>
          <t>GÄVLEBORGS LÄN</t>
        </is>
      </c>
      <c r="E3949" t="inlineStr">
        <is>
          <t>LJUSDAL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43006-2021</t>
        </is>
      </c>
      <c r="B3950" s="1" t="n">
        <v>44431</v>
      </c>
      <c r="C3950" s="1" t="n">
        <v>45357</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43011-2021</t>
        </is>
      </c>
      <c r="B3951" s="1" t="n">
        <v>44431</v>
      </c>
      <c r="C3951" s="1" t="n">
        <v>45357</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43000-2021</t>
        </is>
      </c>
      <c r="B3952" s="1" t="n">
        <v>44431</v>
      </c>
      <c r="C3952" s="1" t="n">
        <v>45357</v>
      </c>
      <c r="D3952" t="inlineStr">
        <is>
          <t>GÄVLEBORGS LÄN</t>
        </is>
      </c>
      <c r="E3952" t="inlineStr">
        <is>
          <t>LJUSDAL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43012-2021</t>
        </is>
      </c>
      <c r="B3953" s="1" t="n">
        <v>44431</v>
      </c>
      <c r="C3953" s="1" t="n">
        <v>45357</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43109-2021</t>
        </is>
      </c>
      <c r="B3954" s="1" t="n">
        <v>44431</v>
      </c>
      <c r="C3954" s="1" t="n">
        <v>45357</v>
      </c>
      <c r="D3954" t="inlineStr">
        <is>
          <t>GÄVLEBORGS LÄN</t>
        </is>
      </c>
      <c r="E3954" t="inlineStr">
        <is>
          <t>LJUSDAL</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43274-2021</t>
        </is>
      </c>
      <c r="B3955" s="1" t="n">
        <v>44432</v>
      </c>
      <c r="C3955" s="1" t="n">
        <v>45357</v>
      </c>
      <c r="D3955" t="inlineStr">
        <is>
          <t>GÄVLEBORGS LÄN</t>
        </is>
      </c>
      <c r="E3955" t="inlineStr">
        <is>
          <t>HOFORS</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43282-2021</t>
        </is>
      </c>
      <c r="B3956" s="1" t="n">
        <v>44432</v>
      </c>
      <c r="C3956" s="1" t="n">
        <v>45357</v>
      </c>
      <c r="D3956" t="inlineStr">
        <is>
          <t>GÄVLEBORGS LÄN</t>
        </is>
      </c>
      <c r="E3956" t="inlineStr">
        <is>
          <t>HOFORS</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43314-2021</t>
        </is>
      </c>
      <c r="B3957" s="1" t="n">
        <v>44432</v>
      </c>
      <c r="C3957" s="1" t="n">
        <v>45357</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43341-2021</t>
        </is>
      </c>
      <c r="B3958" s="1" t="n">
        <v>44432</v>
      </c>
      <c r="C3958" s="1" t="n">
        <v>45357</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43278-2021</t>
        </is>
      </c>
      <c r="B3959" s="1" t="n">
        <v>44432</v>
      </c>
      <c r="C3959" s="1" t="n">
        <v>45357</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43441-2021</t>
        </is>
      </c>
      <c r="B3960" s="1" t="n">
        <v>44432</v>
      </c>
      <c r="C3960" s="1" t="n">
        <v>45357</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43465-2021</t>
        </is>
      </c>
      <c r="B3961" s="1" t="n">
        <v>44432</v>
      </c>
      <c r="C3961" s="1" t="n">
        <v>45357</v>
      </c>
      <c r="D3961" t="inlineStr">
        <is>
          <t>GÄVLEBORGS LÄN</t>
        </is>
      </c>
      <c r="E3961" t="inlineStr">
        <is>
          <t>SANDVIKEN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43405-2021</t>
        </is>
      </c>
      <c r="B3962" s="1" t="n">
        <v>44432</v>
      </c>
      <c r="C3962" s="1" t="n">
        <v>45357</v>
      </c>
      <c r="D3962" t="inlineStr">
        <is>
          <t>GÄVLEBORGS LÄN</t>
        </is>
      </c>
      <c r="E3962" t="inlineStr">
        <is>
          <t>HUDIKSVALL</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43589-2021</t>
        </is>
      </c>
      <c r="B3963" s="1" t="n">
        <v>44433</v>
      </c>
      <c r="C3963" s="1" t="n">
        <v>45357</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44045-2021</t>
        </is>
      </c>
      <c r="B3964" s="1" t="n">
        <v>44434</v>
      </c>
      <c r="C3964" s="1" t="n">
        <v>45357</v>
      </c>
      <c r="D3964" t="inlineStr">
        <is>
          <t>GÄVLEBORGS LÄN</t>
        </is>
      </c>
      <c r="E3964" t="inlineStr">
        <is>
          <t>SANDVIKEN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43850-2021</t>
        </is>
      </c>
      <c r="B3965" s="1" t="n">
        <v>44434</v>
      </c>
      <c r="C3965" s="1" t="n">
        <v>45357</v>
      </c>
      <c r="D3965" t="inlineStr">
        <is>
          <t>GÄVLEBORGS LÄN</t>
        </is>
      </c>
      <c r="E3965" t="inlineStr">
        <is>
          <t>LJUSDAL</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43883-2021</t>
        </is>
      </c>
      <c r="B3966" s="1" t="n">
        <v>44434</v>
      </c>
      <c r="C3966" s="1" t="n">
        <v>45357</v>
      </c>
      <c r="D3966" t="inlineStr">
        <is>
          <t>GÄVLEBORGS LÄN</t>
        </is>
      </c>
      <c r="E3966" t="inlineStr">
        <is>
          <t>NORDANSTIG</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44127-2021</t>
        </is>
      </c>
      <c r="B3967" s="1" t="n">
        <v>44434</v>
      </c>
      <c r="C3967" s="1" t="n">
        <v>45357</v>
      </c>
      <c r="D3967" t="inlineStr">
        <is>
          <t>GÄVLEBORGS LÄN</t>
        </is>
      </c>
      <c r="E3967" t="inlineStr">
        <is>
          <t>OVANÅKER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44387-2021</t>
        </is>
      </c>
      <c r="B3968" s="1" t="n">
        <v>44435</v>
      </c>
      <c r="C3968" s="1" t="n">
        <v>45357</v>
      </c>
      <c r="D3968" t="inlineStr">
        <is>
          <t>GÄVLEBORGS LÄN</t>
        </is>
      </c>
      <c r="E3968" t="inlineStr">
        <is>
          <t>LJUSDAL</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44444-2021</t>
        </is>
      </c>
      <c r="B3969" s="1" t="n">
        <v>44435</v>
      </c>
      <c r="C3969" s="1" t="n">
        <v>45357</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44257-2021</t>
        </is>
      </c>
      <c r="B3970" s="1" t="n">
        <v>44435</v>
      </c>
      <c r="C3970" s="1" t="n">
        <v>45357</v>
      </c>
      <c r="D3970" t="inlineStr">
        <is>
          <t>GÄVLEBORGS LÄN</t>
        </is>
      </c>
      <c r="E3970" t="inlineStr">
        <is>
          <t>LJUSDAL</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44256-2021</t>
        </is>
      </c>
      <c r="B3971" s="1" t="n">
        <v>44435</v>
      </c>
      <c r="C3971" s="1" t="n">
        <v>45357</v>
      </c>
      <c r="D3971" t="inlineStr">
        <is>
          <t>GÄVLEBORGS LÄN</t>
        </is>
      </c>
      <c r="E3971" t="inlineStr">
        <is>
          <t>LJUSDAL</t>
        </is>
      </c>
      <c r="F3971" t="inlineStr">
        <is>
          <t>Sveaskog</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44382-2021</t>
        </is>
      </c>
      <c r="B3972" s="1" t="n">
        <v>44435</v>
      </c>
      <c r="C3972" s="1" t="n">
        <v>45357</v>
      </c>
      <c r="D3972" t="inlineStr">
        <is>
          <t>GÄVLEBORGS LÄN</t>
        </is>
      </c>
      <c r="E3972" t="inlineStr">
        <is>
          <t>LJUSDAL</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44507-2021</t>
        </is>
      </c>
      <c r="B3973" s="1" t="n">
        <v>44435</v>
      </c>
      <c r="C3973" s="1" t="n">
        <v>45357</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44563-2021</t>
        </is>
      </c>
      <c r="B3974" s="1" t="n">
        <v>44435</v>
      </c>
      <c r="C3974" s="1" t="n">
        <v>45357</v>
      </c>
      <c r="D3974" t="inlineStr">
        <is>
          <t>GÄVLEBORGS LÄN</t>
        </is>
      </c>
      <c r="E3974" t="inlineStr">
        <is>
          <t>LJUSDAL</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44513-2021</t>
        </is>
      </c>
      <c r="B3975" s="1" t="n">
        <v>44435</v>
      </c>
      <c r="C3975" s="1" t="n">
        <v>45357</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44585-2021</t>
        </is>
      </c>
      <c r="B3976" s="1" t="n">
        <v>44435</v>
      </c>
      <c r="C3976" s="1" t="n">
        <v>45357</v>
      </c>
      <c r="D3976" t="inlineStr">
        <is>
          <t>GÄVLEBORGS LÄN</t>
        </is>
      </c>
      <c r="E3976" t="inlineStr">
        <is>
          <t>OVANÅKER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44529-2021</t>
        </is>
      </c>
      <c r="B3977" s="1" t="n">
        <v>44435</v>
      </c>
      <c r="C3977" s="1" t="n">
        <v>45357</v>
      </c>
      <c r="D3977" t="inlineStr">
        <is>
          <t>GÄVLEBORGS LÄN</t>
        </is>
      </c>
      <c r="E3977" t="inlineStr">
        <is>
          <t>OVANÅKER</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44654-2021</t>
        </is>
      </c>
      <c r="B3978" s="1" t="n">
        <v>44437</v>
      </c>
      <c r="C3978" s="1" t="n">
        <v>45357</v>
      </c>
      <c r="D3978" t="inlineStr">
        <is>
          <t>GÄVLEBORGS LÄN</t>
        </is>
      </c>
      <c r="E3978" t="inlineStr">
        <is>
          <t>GÄVLE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44688-2021</t>
        </is>
      </c>
      <c r="B3979" s="1" t="n">
        <v>44438</v>
      </c>
      <c r="C3979" s="1" t="n">
        <v>45357</v>
      </c>
      <c r="D3979" t="inlineStr">
        <is>
          <t>GÄVLEBORGS LÄN</t>
        </is>
      </c>
      <c r="E3979" t="inlineStr">
        <is>
          <t>LJUSDAL</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44847-2021</t>
        </is>
      </c>
      <c r="B3980" s="1" t="n">
        <v>44438</v>
      </c>
      <c r="C3980" s="1" t="n">
        <v>45357</v>
      </c>
      <c r="D3980" t="inlineStr">
        <is>
          <t>GÄVLEBORGS LÄN</t>
        </is>
      </c>
      <c r="E3980" t="inlineStr">
        <is>
          <t>BOLLNÄS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44738-2021</t>
        </is>
      </c>
      <c r="B3981" s="1" t="n">
        <v>44438</v>
      </c>
      <c r="C3981" s="1" t="n">
        <v>45357</v>
      </c>
      <c r="D3981" t="inlineStr">
        <is>
          <t>GÄVLEBORGS LÄN</t>
        </is>
      </c>
      <c r="E3981" t="inlineStr">
        <is>
          <t>GÄVLE</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44696-2021</t>
        </is>
      </c>
      <c r="B3982" s="1" t="n">
        <v>44438</v>
      </c>
      <c r="C3982" s="1" t="n">
        <v>45357</v>
      </c>
      <c r="D3982" t="inlineStr">
        <is>
          <t>GÄVLEBORGS LÄN</t>
        </is>
      </c>
      <c r="E3982" t="inlineStr">
        <is>
          <t>LJUSDAL</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44862-2021</t>
        </is>
      </c>
      <c r="B3983" s="1" t="n">
        <v>44438</v>
      </c>
      <c r="C3983" s="1" t="n">
        <v>45357</v>
      </c>
      <c r="D3983" t="inlineStr">
        <is>
          <t>GÄVLEBORGS LÄN</t>
        </is>
      </c>
      <c r="E3983" t="inlineStr">
        <is>
          <t>BOLLNÄS</t>
        </is>
      </c>
      <c r="F3983" t="inlineStr">
        <is>
          <t>Kyrkan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45061-2021</t>
        </is>
      </c>
      <c r="B3984" s="1" t="n">
        <v>44439</v>
      </c>
      <c r="C3984" s="1" t="n">
        <v>45357</v>
      </c>
      <c r="D3984" t="inlineStr">
        <is>
          <t>GÄVLEBORGS LÄN</t>
        </is>
      </c>
      <c r="E3984" t="inlineStr">
        <is>
          <t>NORDANSTIG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45134-2021</t>
        </is>
      </c>
      <c r="B3985" s="1" t="n">
        <v>44439</v>
      </c>
      <c r="C3985" s="1" t="n">
        <v>45357</v>
      </c>
      <c r="D3985" t="inlineStr">
        <is>
          <t>GÄVLEBORGS LÄN</t>
        </is>
      </c>
      <c r="E3985" t="inlineStr">
        <is>
          <t>GÄVLE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45221-2021</t>
        </is>
      </c>
      <c r="B3986" s="1" t="n">
        <v>44439</v>
      </c>
      <c r="C3986" s="1" t="n">
        <v>45357</v>
      </c>
      <c r="D3986" t="inlineStr">
        <is>
          <t>GÄVLEBORGS LÄN</t>
        </is>
      </c>
      <c r="E3986" t="inlineStr">
        <is>
          <t>SANDVIKEN</t>
        </is>
      </c>
      <c r="F3986" t="inlineStr">
        <is>
          <t>Bergvik skog öst AB</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45053-2021</t>
        </is>
      </c>
      <c r="B3987" s="1" t="n">
        <v>44439</v>
      </c>
      <c r="C3987" s="1" t="n">
        <v>45357</v>
      </c>
      <c r="D3987" t="inlineStr">
        <is>
          <t>GÄVLEBORGS LÄN</t>
        </is>
      </c>
      <c r="E3987" t="inlineStr">
        <is>
          <t>LJUSDAL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45272-2021</t>
        </is>
      </c>
      <c r="B3988" s="1" t="n">
        <v>44439</v>
      </c>
      <c r="C3988" s="1" t="n">
        <v>45357</v>
      </c>
      <c r="D3988" t="inlineStr">
        <is>
          <t>GÄVLEBORGS LÄN</t>
        </is>
      </c>
      <c r="E3988" t="inlineStr">
        <is>
          <t>NORDANSTIG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45273-2021</t>
        </is>
      </c>
      <c r="B3989" s="1" t="n">
        <v>44439</v>
      </c>
      <c r="C3989" s="1" t="n">
        <v>45357</v>
      </c>
      <c r="D3989" t="inlineStr">
        <is>
          <t>GÄVLEBORGS LÄN</t>
        </is>
      </c>
      <c r="E3989" t="inlineStr">
        <is>
          <t>OVANÅKER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45352-2021</t>
        </is>
      </c>
      <c r="B3990" s="1" t="n">
        <v>44439</v>
      </c>
      <c r="C3990" s="1" t="n">
        <v>45357</v>
      </c>
      <c r="D3990" t="inlineStr">
        <is>
          <t>GÄVLEBORGS LÄN</t>
        </is>
      </c>
      <c r="E3990" t="inlineStr">
        <is>
          <t>HUDIKSVALL</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45369-2021</t>
        </is>
      </c>
      <c r="B3991" s="1" t="n">
        <v>44440</v>
      </c>
      <c r="C3991" s="1" t="n">
        <v>45357</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45514-2021</t>
        </is>
      </c>
      <c r="B3992" s="1" t="n">
        <v>44440</v>
      </c>
      <c r="C3992" s="1" t="n">
        <v>45357</v>
      </c>
      <c r="D3992" t="inlineStr">
        <is>
          <t>GÄVLEBORGS LÄN</t>
        </is>
      </c>
      <c r="E3992" t="inlineStr">
        <is>
          <t>OCKELBO</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45367-2021</t>
        </is>
      </c>
      <c r="B3993" s="1" t="n">
        <v>44440</v>
      </c>
      <c r="C3993" s="1" t="n">
        <v>45357</v>
      </c>
      <c r="D3993" t="inlineStr">
        <is>
          <t>GÄVLEBORGS LÄN</t>
        </is>
      </c>
      <c r="E3993" t="inlineStr">
        <is>
          <t>LJUSDAL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45368-2021</t>
        </is>
      </c>
      <c r="B3994" s="1" t="n">
        <v>44440</v>
      </c>
      <c r="C3994" s="1" t="n">
        <v>45357</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45408-2021</t>
        </is>
      </c>
      <c r="B3995" s="1" t="n">
        <v>44440</v>
      </c>
      <c r="C3995" s="1" t="n">
        <v>45357</v>
      </c>
      <c r="D3995" t="inlineStr">
        <is>
          <t>GÄVLEBORGS LÄN</t>
        </is>
      </c>
      <c r="E3995" t="inlineStr">
        <is>
          <t>NORDANSTIG</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45522-2021</t>
        </is>
      </c>
      <c r="B3996" s="1" t="n">
        <v>44440</v>
      </c>
      <c r="C3996" s="1" t="n">
        <v>45357</v>
      </c>
      <c r="D3996" t="inlineStr">
        <is>
          <t>GÄVLEBORGS LÄN</t>
        </is>
      </c>
      <c r="E3996" t="inlineStr">
        <is>
          <t>OCKELBO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45370-2021</t>
        </is>
      </c>
      <c r="B3997" s="1" t="n">
        <v>44440</v>
      </c>
      <c r="C3997" s="1" t="n">
        <v>45357</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45444-2021</t>
        </is>
      </c>
      <c r="B3998" s="1" t="n">
        <v>44440</v>
      </c>
      <c r="C3998" s="1" t="n">
        <v>45357</v>
      </c>
      <c r="D3998" t="inlineStr">
        <is>
          <t>GÄVLEBORGS LÄN</t>
        </is>
      </c>
      <c r="E3998" t="inlineStr">
        <is>
          <t>LJUSDAL</t>
        </is>
      </c>
      <c r="F3998" t="inlineStr">
        <is>
          <t>Allmännings- och besparingsskogar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45482-2021</t>
        </is>
      </c>
      <c r="B3999" s="1" t="n">
        <v>44440</v>
      </c>
      <c r="C3999" s="1" t="n">
        <v>45357</v>
      </c>
      <c r="D3999" t="inlineStr">
        <is>
          <t>GÄVLEBORGS LÄN</t>
        </is>
      </c>
      <c r="E3999" t="inlineStr">
        <is>
          <t>OCKELBO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45584-2021</t>
        </is>
      </c>
      <c r="B4000" s="1" t="n">
        <v>44440</v>
      </c>
      <c r="C4000" s="1" t="n">
        <v>45357</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45366-2021</t>
        </is>
      </c>
      <c r="B4001" s="1" t="n">
        <v>44440</v>
      </c>
      <c r="C4001" s="1" t="n">
        <v>45357</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45828-2021</t>
        </is>
      </c>
      <c r="B4002" s="1" t="n">
        <v>44441</v>
      </c>
      <c r="C4002" s="1" t="n">
        <v>45357</v>
      </c>
      <c r="D4002" t="inlineStr">
        <is>
          <t>GÄVLEBORGS LÄN</t>
        </is>
      </c>
      <c r="E4002" t="inlineStr">
        <is>
          <t>SANDVIKEN</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45841-2021</t>
        </is>
      </c>
      <c r="B4003" s="1" t="n">
        <v>44441</v>
      </c>
      <c r="C4003" s="1" t="n">
        <v>45357</v>
      </c>
      <c r="D4003" t="inlineStr">
        <is>
          <t>GÄVLEBORGS LÄN</t>
        </is>
      </c>
      <c r="E4003" t="inlineStr">
        <is>
          <t>BOLLNÄS</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45879-2021</t>
        </is>
      </c>
      <c r="B4004" s="1" t="n">
        <v>44441</v>
      </c>
      <c r="C4004" s="1" t="n">
        <v>45357</v>
      </c>
      <c r="D4004" t="inlineStr">
        <is>
          <t>GÄVLEBORGS LÄN</t>
        </is>
      </c>
      <c r="E4004" t="inlineStr">
        <is>
          <t>NORDANSTIG</t>
        </is>
      </c>
      <c r="F4004" t="inlineStr">
        <is>
          <t>Holmen skog AB</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45985-2021</t>
        </is>
      </c>
      <c r="B4005" s="1" t="n">
        <v>44441</v>
      </c>
      <c r="C4005" s="1" t="n">
        <v>45357</v>
      </c>
      <c r="D4005" t="inlineStr">
        <is>
          <t>GÄVLEBORGS LÄN</t>
        </is>
      </c>
      <c r="E4005" t="inlineStr">
        <is>
          <t>SANDVIKEN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45992-2021</t>
        </is>
      </c>
      <c r="B4006" s="1" t="n">
        <v>44441</v>
      </c>
      <c r="C4006" s="1" t="n">
        <v>45357</v>
      </c>
      <c r="D4006" t="inlineStr">
        <is>
          <t>GÄVLEBORGS LÄN</t>
        </is>
      </c>
      <c r="E4006" t="inlineStr">
        <is>
          <t>SANDVIKEN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45701-2021</t>
        </is>
      </c>
      <c r="B4007" s="1" t="n">
        <v>44441</v>
      </c>
      <c r="C4007" s="1" t="n">
        <v>45357</v>
      </c>
      <c r="D4007" t="inlineStr">
        <is>
          <t>GÄVLEBORGS LÄN</t>
        </is>
      </c>
      <c r="E4007" t="inlineStr">
        <is>
          <t>LJUSDAL</t>
        </is>
      </c>
      <c r="F4007" t="inlineStr">
        <is>
          <t>Allmännings- och besparingsskogar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46123-2021</t>
        </is>
      </c>
      <c r="B4008" s="1" t="n">
        <v>44442</v>
      </c>
      <c r="C4008" s="1" t="n">
        <v>45357</v>
      </c>
      <c r="D4008" t="inlineStr">
        <is>
          <t>GÄVLEBORGS LÄN</t>
        </is>
      </c>
      <c r="E4008" t="inlineStr">
        <is>
          <t>LJUSDAL</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46091-2021</t>
        </is>
      </c>
      <c r="B4009" s="1" t="n">
        <v>44442</v>
      </c>
      <c r="C4009" s="1" t="n">
        <v>45357</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46156-2021</t>
        </is>
      </c>
      <c r="B4010" s="1" t="n">
        <v>44442</v>
      </c>
      <c r="C4010" s="1" t="n">
        <v>45357</v>
      </c>
      <c r="D4010" t="inlineStr">
        <is>
          <t>GÄVLEBORGS LÄN</t>
        </is>
      </c>
      <c r="E4010" t="inlineStr">
        <is>
          <t>NORDANSTIG</t>
        </is>
      </c>
      <c r="F4010" t="inlineStr">
        <is>
          <t>Holmen skog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46113-2021</t>
        </is>
      </c>
      <c r="B4011" s="1" t="n">
        <v>44442</v>
      </c>
      <c r="C4011" s="1" t="n">
        <v>45357</v>
      </c>
      <c r="D4011" t="inlineStr">
        <is>
          <t>GÄVLEBORGS LÄN</t>
        </is>
      </c>
      <c r="E4011" t="inlineStr">
        <is>
          <t>LJUSDAL</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46198-2021</t>
        </is>
      </c>
      <c r="B4012" s="1" t="n">
        <v>44442</v>
      </c>
      <c r="C4012" s="1" t="n">
        <v>45357</v>
      </c>
      <c r="D4012" t="inlineStr">
        <is>
          <t>GÄVLEBORGS LÄN</t>
        </is>
      </c>
      <c r="E4012" t="inlineStr">
        <is>
          <t>NORDANSTIG</t>
        </is>
      </c>
      <c r="F4012" t="inlineStr">
        <is>
          <t>Holmen skog AB</t>
        </is>
      </c>
      <c r="G4012" t="n">
        <v>2.5</v>
      </c>
      <c r="H4012" t="n">
        <v>0</v>
      </c>
      <c r="I4012" t="n">
        <v>0</v>
      </c>
      <c r="J4012" t="n">
        <v>0</v>
      </c>
      <c r="K4012" t="n">
        <v>0</v>
      </c>
      <c r="L4012" t="n">
        <v>0</v>
      </c>
      <c r="M4012" t="n">
        <v>0</v>
      </c>
      <c r="N4012" t="n">
        <v>0</v>
      </c>
      <c r="O4012" t="n">
        <v>0</v>
      </c>
      <c r="P4012" t="n">
        <v>0</v>
      </c>
      <c r="Q4012" t="n">
        <v>0</v>
      </c>
      <c r="R4012" s="2" t="inlineStr"/>
      <c r="U4012">
        <f>HYPERLINK("https://klasma.github.io/Logging_2132/knärot/A 46198-2021 karta knärot.png", "A 46198-2021")</f>
        <v/>
      </c>
      <c r="V4012">
        <f>HYPERLINK("https://klasma.github.io/Logging_2132/klagomål/A 46198-2021 FSC-klagomål.docx", "A 46198-2021")</f>
        <v/>
      </c>
      <c r="W4012">
        <f>HYPERLINK("https://klasma.github.io/Logging_2132/klagomålsmail/A 46198-2021 FSC-klagomål mail.docx", "A 46198-2021")</f>
        <v/>
      </c>
      <c r="X4012">
        <f>HYPERLINK("https://klasma.github.io/Logging_2132/tillsyn/A 46198-2021 tillsynsbegäran.docx", "A 46198-2021")</f>
        <v/>
      </c>
      <c r="Y4012">
        <f>HYPERLINK("https://klasma.github.io/Logging_2132/tillsynsmail/A 46198-2021 tillsynsbegäran mail.docx", "A 46198-2021")</f>
        <v/>
      </c>
    </row>
    <row r="4013" ht="15" customHeight="1">
      <c r="A4013" t="inlineStr">
        <is>
          <t>A 46364-2021</t>
        </is>
      </c>
      <c r="B4013" s="1" t="n">
        <v>44442</v>
      </c>
      <c r="C4013" s="1" t="n">
        <v>45357</v>
      </c>
      <c r="D4013" t="inlineStr">
        <is>
          <t>GÄVLEBORGS LÄN</t>
        </is>
      </c>
      <c r="E4013" t="inlineStr">
        <is>
          <t>HOFORS</t>
        </is>
      </c>
      <c r="F4013" t="inlineStr">
        <is>
          <t>Sveaskog</t>
        </is>
      </c>
      <c r="G4013" t="n">
        <v>4.4</v>
      </c>
      <c r="H4013" t="n">
        <v>0</v>
      </c>
      <c r="I4013" t="n">
        <v>0</v>
      </c>
      <c r="J4013" t="n">
        <v>0</v>
      </c>
      <c r="K4013" t="n">
        <v>0</v>
      </c>
      <c r="L4013" t="n">
        <v>0</v>
      </c>
      <c r="M4013" t="n">
        <v>0</v>
      </c>
      <c r="N4013" t="n">
        <v>0</v>
      </c>
      <c r="O4013" t="n">
        <v>0</v>
      </c>
      <c r="P4013" t="n">
        <v>0</v>
      </c>
      <c r="Q4013" t="n">
        <v>0</v>
      </c>
      <c r="R4013" s="2" t="inlineStr"/>
      <c r="U4013">
        <f>HYPERLINK("https://klasma.github.io/Logging_2104/knärot/A 46364-2021 karta knärot.png", "A 46364-2021")</f>
        <v/>
      </c>
      <c r="V4013">
        <f>HYPERLINK("https://klasma.github.io/Logging_2104/klagomål/A 46364-2021 FSC-klagomål.docx", "A 46364-2021")</f>
        <v/>
      </c>
      <c r="W4013">
        <f>HYPERLINK("https://klasma.github.io/Logging_2104/klagomålsmail/A 46364-2021 FSC-klagomål mail.docx", "A 46364-2021")</f>
        <v/>
      </c>
      <c r="X4013">
        <f>HYPERLINK("https://klasma.github.io/Logging_2104/tillsyn/A 46364-2021 tillsynsbegäran.docx", "A 46364-2021")</f>
        <v/>
      </c>
      <c r="Y4013">
        <f>HYPERLINK("https://klasma.github.io/Logging_2104/tillsynsmail/A 46364-2021 tillsynsbegäran mail.docx", "A 46364-2021")</f>
        <v/>
      </c>
    </row>
    <row r="4014" ht="15" customHeight="1">
      <c r="A4014" t="inlineStr">
        <is>
          <t>A 46421-2021</t>
        </is>
      </c>
      <c r="B4014" s="1" t="n">
        <v>44445</v>
      </c>
      <c r="C4014" s="1" t="n">
        <v>45357</v>
      </c>
      <c r="D4014" t="inlineStr">
        <is>
          <t>GÄVLEBORGS LÄN</t>
        </is>
      </c>
      <c r="E4014" t="inlineStr">
        <is>
          <t>LJUSDAL</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46540-2021</t>
        </is>
      </c>
      <c r="B4015" s="1" t="n">
        <v>44445</v>
      </c>
      <c r="C4015" s="1" t="n">
        <v>45357</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46459-2021</t>
        </is>
      </c>
      <c r="B4016" s="1" t="n">
        <v>44445</v>
      </c>
      <c r="C4016" s="1" t="n">
        <v>45357</v>
      </c>
      <c r="D4016" t="inlineStr">
        <is>
          <t>GÄVLEBORGS LÄN</t>
        </is>
      </c>
      <c r="E4016" t="inlineStr">
        <is>
          <t>OVANÅKER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46419-2021</t>
        </is>
      </c>
      <c r="B4017" s="1" t="n">
        <v>44445</v>
      </c>
      <c r="C4017" s="1" t="n">
        <v>45357</v>
      </c>
      <c r="D4017" t="inlineStr">
        <is>
          <t>GÄVLEBORGS LÄN</t>
        </is>
      </c>
      <c r="E4017" t="inlineStr">
        <is>
          <t>LJUSDAL</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46524-2021</t>
        </is>
      </c>
      <c r="B4018" s="1" t="n">
        <v>44445</v>
      </c>
      <c r="C4018" s="1" t="n">
        <v>45357</v>
      </c>
      <c r="D4018" t="inlineStr">
        <is>
          <t>GÄVLEBORGS LÄN</t>
        </is>
      </c>
      <c r="E4018" t="inlineStr">
        <is>
          <t>LJUSDAL</t>
        </is>
      </c>
      <c r="F4018" t="inlineStr">
        <is>
          <t>Allmännings- och besparingsskogar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46549-2021</t>
        </is>
      </c>
      <c r="B4019" s="1" t="n">
        <v>44445</v>
      </c>
      <c r="C4019" s="1" t="n">
        <v>45357</v>
      </c>
      <c r="D4019" t="inlineStr">
        <is>
          <t>GÄVLEBORGS LÄN</t>
        </is>
      </c>
      <c r="E4019" t="inlineStr">
        <is>
          <t>GÄVLE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46642-2021</t>
        </is>
      </c>
      <c r="B4020" s="1" t="n">
        <v>44445</v>
      </c>
      <c r="C4020" s="1" t="n">
        <v>45357</v>
      </c>
      <c r="D4020" t="inlineStr">
        <is>
          <t>GÄVLEBORGS LÄN</t>
        </is>
      </c>
      <c r="E4020" t="inlineStr">
        <is>
          <t>LJUSDAL</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46651-2021</t>
        </is>
      </c>
      <c r="B4021" s="1" t="n">
        <v>44445</v>
      </c>
      <c r="C4021" s="1" t="n">
        <v>45357</v>
      </c>
      <c r="D4021" t="inlineStr">
        <is>
          <t>GÄVLEBORGS LÄN</t>
        </is>
      </c>
      <c r="E4021" t="inlineStr">
        <is>
          <t>LJUSDAL</t>
        </is>
      </c>
      <c r="F4021" t="inlineStr">
        <is>
          <t>Holmen skog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46733-2021</t>
        </is>
      </c>
      <c r="B4022" s="1" t="n">
        <v>44445</v>
      </c>
      <c r="C4022" s="1" t="n">
        <v>45357</v>
      </c>
      <c r="D4022" t="inlineStr">
        <is>
          <t>GÄVLEBORGS LÄN</t>
        </is>
      </c>
      <c r="E4022" t="inlineStr">
        <is>
          <t>OVANÅKER</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46679-2021</t>
        </is>
      </c>
      <c r="B4023" s="1" t="n">
        <v>44445</v>
      </c>
      <c r="C4023" s="1" t="n">
        <v>45357</v>
      </c>
      <c r="D4023" t="inlineStr">
        <is>
          <t>GÄVLEBORGS LÄN</t>
        </is>
      </c>
      <c r="E4023" t="inlineStr">
        <is>
          <t>LJUSDAL</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46854-2021</t>
        </is>
      </c>
      <c r="B4024" s="1" t="n">
        <v>44446</v>
      </c>
      <c r="C4024" s="1" t="n">
        <v>45357</v>
      </c>
      <c r="D4024" t="inlineStr">
        <is>
          <t>GÄVLEBORGS LÄN</t>
        </is>
      </c>
      <c r="E4024" t="inlineStr">
        <is>
          <t>SANDVIKEN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46860-2021</t>
        </is>
      </c>
      <c r="B4025" s="1" t="n">
        <v>44446</v>
      </c>
      <c r="C4025" s="1" t="n">
        <v>45357</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46800-2021</t>
        </is>
      </c>
      <c r="B4026" s="1" t="n">
        <v>44446</v>
      </c>
      <c r="C4026" s="1" t="n">
        <v>45357</v>
      </c>
      <c r="D4026" t="inlineStr">
        <is>
          <t>GÄVLEBORGS LÄN</t>
        </is>
      </c>
      <c r="E4026" t="inlineStr">
        <is>
          <t>GÄVLE</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46975-2021</t>
        </is>
      </c>
      <c r="B4027" s="1" t="n">
        <v>44446</v>
      </c>
      <c r="C4027" s="1" t="n">
        <v>45357</v>
      </c>
      <c r="D4027" t="inlineStr">
        <is>
          <t>GÄVLEBORGS LÄN</t>
        </is>
      </c>
      <c r="E4027" t="inlineStr">
        <is>
          <t>SÖDERHAMN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47268-2021</t>
        </is>
      </c>
      <c r="B4028" s="1" t="n">
        <v>44447</v>
      </c>
      <c r="C4028" s="1" t="n">
        <v>45357</v>
      </c>
      <c r="D4028" t="inlineStr">
        <is>
          <t>GÄVLEBORGS LÄN</t>
        </is>
      </c>
      <c r="E4028" t="inlineStr">
        <is>
          <t>LJUSDAL</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47481-2021</t>
        </is>
      </c>
      <c r="B4029" s="1" t="n">
        <v>44447</v>
      </c>
      <c r="C4029" s="1" t="n">
        <v>45357</v>
      </c>
      <c r="D4029" t="inlineStr">
        <is>
          <t>GÄVLEBORGS LÄN</t>
        </is>
      </c>
      <c r="E4029" t="inlineStr">
        <is>
          <t>OVANÅKER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47486-2021</t>
        </is>
      </c>
      <c r="B4030" s="1" t="n">
        <v>44447</v>
      </c>
      <c r="C4030" s="1" t="n">
        <v>45357</v>
      </c>
      <c r="D4030" t="inlineStr">
        <is>
          <t>GÄVLEBORGS LÄN</t>
        </is>
      </c>
      <c r="E4030" t="inlineStr">
        <is>
          <t>OVANÅKER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47531-2021</t>
        </is>
      </c>
      <c r="B4031" s="1" t="n">
        <v>44447</v>
      </c>
      <c r="C4031" s="1" t="n">
        <v>45357</v>
      </c>
      <c r="D4031" t="inlineStr">
        <is>
          <t>GÄVLEBORGS LÄN</t>
        </is>
      </c>
      <c r="E4031" t="inlineStr">
        <is>
          <t>HOFORS</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47485-2021</t>
        </is>
      </c>
      <c r="B4032" s="1" t="n">
        <v>44447</v>
      </c>
      <c r="C4032" s="1" t="n">
        <v>45357</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47538-2021</t>
        </is>
      </c>
      <c r="B4033" s="1" t="n">
        <v>44447</v>
      </c>
      <c r="C4033" s="1" t="n">
        <v>45357</v>
      </c>
      <c r="D4033" t="inlineStr">
        <is>
          <t>GÄVLEBORGS LÄN</t>
        </is>
      </c>
      <c r="E4033" t="inlineStr">
        <is>
          <t>HOFORS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47628-2021</t>
        </is>
      </c>
      <c r="B4034" s="1" t="n">
        <v>44448</v>
      </c>
      <c r="C4034" s="1" t="n">
        <v>45357</v>
      </c>
      <c r="D4034" t="inlineStr">
        <is>
          <t>GÄVLEBORGS LÄN</t>
        </is>
      </c>
      <c r="E4034" t="inlineStr">
        <is>
          <t>SANDVIKEN</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47632-2021</t>
        </is>
      </c>
      <c r="B4035" s="1" t="n">
        <v>44448</v>
      </c>
      <c r="C4035" s="1" t="n">
        <v>45357</v>
      </c>
      <c r="D4035" t="inlineStr">
        <is>
          <t>GÄVLEBORGS LÄN</t>
        </is>
      </c>
      <c r="E4035" t="inlineStr">
        <is>
          <t>SANDVIKEN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47637-2021</t>
        </is>
      </c>
      <c r="B4036" s="1" t="n">
        <v>44448</v>
      </c>
      <c r="C4036" s="1" t="n">
        <v>45357</v>
      </c>
      <c r="D4036" t="inlineStr">
        <is>
          <t>GÄVLEBORGS LÄN</t>
        </is>
      </c>
      <c r="E4036" t="inlineStr">
        <is>
          <t>SANDVIKEN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47639-2021</t>
        </is>
      </c>
      <c r="B4037" s="1" t="n">
        <v>44448</v>
      </c>
      <c r="C4037" s="1" t="n">
        <v>45357</v>
      </c>
      <c r="D4037" t="inlineStr">
        <is>
          <t>GÄVLEBORGS LÄN</t>
        </is>
      </c>
      <c r="E4037" t="inlineStr">
        <is>
          <t>HOFORS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47792-2021</t>
        </is>
      </c>
      <c r="B4038" s="1" t="n">
        <v>44448</v>
      </c>
      <c r="C4038" s="1" t="n">
        <v>45357</v>
      </c>
      <c r="D4038" t="inlineStr">
        <is>
          <t>GÄVLEBORGS LÄN</t>
        </is>
      </c>
      <c r="E4038" t="inlineStr">
        <is>
          <t>SANDVIKEN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47849-2021</t>
        </is>
      </c>
      <c r="B4039" s="1" t="n">
        <v>44448</v>
      </c>
      <c r="C4039" s="1" t="n">
        <v>45357</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47924-2021</t>
        </is>
      </c>
      <c r="B4040" s="1" t="n">
        <v>44448</v>
      </c>
      <c r="C4040" s="1" t="n">
        <v>45357</v>
      </c>
      <c r="D4040" t="inlineStr">
        <is>
          <t>GÄVLEBORGS LÄN</t>
        </is>
      </c>
      <c r="E4040" t="inlineStr">
        <is>
          <t>LJUSDAL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47762-2021</t>
        </is>
      </c>
      <c r="B4041" s="1" t="n">
        <v>44448</v>
      </c>
      <c r="C4041" s="1" t="n">
        <v>45357</v>
      </c>
      <c r="D4041" t="inlineStr">
        <is>
          <t>GÄVLEBORGS LÄN</t>
        </is>
      </c>
      <c r="E4041" t="inlineStr">
        <is>
          <t>NORDANSTIG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47739-2021</t>
        </is>
      </c>
      <c r="B4042" s="1" t="n">
        <v>44448</v>
      </c>
      <c r="C4042" s="1" t="n">
        <v>45357</v>
      </c>
      <c r="D4042" t="inlineStr">
        <is>
          <t>GÄVLEBORGS LÄN</t>
        </is>
      </c>
      <c r="E4042" t="inlineStr">
        <is>
          <t>GÄVLE</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47925-2021</t>
        </is>
      </c>
      <c r="B4043" s="1" t="n">
        <v>44448</v>
      </c>
      <c r="C4043" s="1" t="n">
        <v>45357</v>
      </c>
      <c r="D4043" t="inlineStr">
        <is>
          <t>GÄVLEBORGS LÄN</t>
        </is>
      </c>
      <c r="E4043" t="inlineStr">
        <is>
          <t>LJUSDAL</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47865-2021</t>
        </is>
      </c>
      <c r="B4044" s="1" t="n">
        <v>44448</v>
      </c>
      <c r="C4044" s="1" t="n">
        <v>45357</v>
      </c>
      <c r="D4044" t="inlineStr">
        <is>
          <t>GÄVLEBORGS LÄN</t>
        </is>
      </c>
      <c r="E4044" t="inlineStr">
        <is>
          <t>OCKELBO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48151-2021</t>
        </is>
      </c>
      <c r="B4045" s="1" t="n">
        <v>44449</v>
      </c>
      <c r="C4045" s="1" t="n">
        <v>45357</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48176-2021</t>
        </is>
      </c>
      <c r="B4046" s="1" t="n">
        <v>44449</v>
      </c>
      <c r="C4046" s="1" t="n">
        <v>45357</v>
      </c>
      <c r="D4046" t="inlineStr">
        <is>
          <t>GÄVLEBORGS LÄN</t>
        </is>
      </c>
      <c r="E4046" t="inlineStr">
        <is>
          <t>LJUSDAL</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48306-2021</t>
        </is>
      </c>
      <c r="B4047" s="1" t="n">
        <v>44450</v>
      </c>
      <c r="C4047" s="1" t="n">
        <v>45357</v>
      </c>
      <c r="D4047" t="inlineStr">
        <is>
          <t>GÄVLEBORGS LÄN</t>
        </is>
      </c>
      <c r="E4047" t="inlineStr">
        <is>
          <t>OCKELBO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48443-2021</t>
        </is>
      </c>
      <c r="B4048" s="1" t="n">
        <v>44452</v>
      </c>
      <c r="C4048" s="1" t="n">
        <v>45357</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48451-2021</t>
        </is>
      </c>
      <c r="B4049" s="1" t="n">
        <v>44452</v>
      </c>
      <c r="C4049" s="1" t="n">
        <v>45357</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48547-2021</t>
        </is>
      </c>
      <c r="B4050" s="1" t="n">
        <v>44452</v>
      </c>
      <c r="C4050" s="1" t="n">
        <v>45357</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48581-2021</t>
        </is>
      </c>
      <c r="B4051" s="1" t="n">
        <v>44452</v>
      </c>
      <c r="C4051" s="1" t="n">
        <v>45357</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48603-2021</t>
        </is>
      </c>
      <c r="B4052" s="1" t="n">
        <v>44452</v>
      </c>
      <c r="C4052" s="1" t="n">
        <v>45357</v>
      </c>
      <c r="D4052" t="inlineStr">
        <is>
          <t>GÄVLEBORGS LÄN</t>
        </is>
      </c>
      <c r="E4052" t="inlineStr">
        <is>
          <t>OCKELBO</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48614-2021</t>
        </is>
      </c>
      <c r="B4053" s="1" t="n">
        <v>44452</v>
      </c>
      <c r="C4053" s="1" t="n">
        <v>45357</v>
      </c>
      <c r="D4053" t="inlineStr">
        <is>
          <t>GÄVLEBORGS LÄN</t>
        </is>
      </c>
      <c r="E4053" t="inlineStr">
        <is>
          <t>HUDIKSVALL</t>
        </is>
      </c>
      <c r="F4053" t="inlineStr">
        <is>
          <t>Holmen skog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48674-2021</t>
        </is>
      </c>
      <c r="B4054" s="1" t="n">
        <v>44452</v>
      </c>
      <c r="C4054" s="1" t="n">
        <v>45357</v>
      </c>
      <c r="D4054" t="inlineStr">
        <is>
          <t>GÄVLEBORGS LÄN</t>
        </is>
      </c>
      <c r="E4054" t="inlineStr">
        <is>
          <t>LJUSDAL</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48733-2021</t>
        </is>
      </c>
      <c r="B4055" s="1" t="n">
        <v>44452</v>
      </c>
      <c r="C4055" s="1" t="n">
        <v>45357</v>
      </c>
      <c r="D4055" t="inlineStr">
        <is>
          <t>GÄVLEBORGS LÄN</t>
        </is>
      </c>
      <c r="E4055" t="inlineStr">
        <is>
          <t>HUDIKSVALL</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48679-2021</t>
        </is>
      </c>
      <c r="B4056" s="1" t="n">
        <v>44452</v>
      </c>
      <c r="C4056" s="1" t="n">
        <v>45357</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48731-2021</t>
        </is>
      </c>
      <c r="B4057" s="1" t="n">
        <v>44452</v>
      </c>
      <c r="C4057" s="1" t="n">
        <v>45357</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48718-2021</t>
        </is>
      </c>
      <c r="B4058" s="1" t="n">
        <v>44452</v>
      </c>
      <c r="C4058" s="1" t="n">
        <v>45357</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48753-2021</t>
        </is>
      </c>
      <c r="B4059" s="1" t="n">
        <v>44452</v>
      </c>
      <c r="C4059" s="1" t="n">
        <v>45357</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48587-2021</t>
        </is>
      </c>
      <c r="B4060" s="1" t="n">
        <v>44452</v>
      </c>
      <c r="C4060" s="1" t="n">
        <v>45357</v>
      </c>
      <c r="D4060" t="inlineStr">
        <is>
          <t>GÄVLEBORGS LÄN</t>
        </is>
      </c>
      <c r="E4060" t="inlineStr">
        <is>
          <t>LJUSDAL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48765-2021</t>
        </is>
      </c>
      <c r="B4061" s="1" t="n">
        <v>44452</v>
      </c>
      <c r="C4061" s="1" t="n">
        <v>45357</v>
      </c>
      <c r="D4061" t="inlineStr">
        <is>
          <t>GÄVLEBORGS LÄN</t>
        </is>
      </c>
      <c r="E4061" t="inlineStr">
        <is>
          <t>SANDVIKEN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48804-2021</t>
        </is>
      </c>
      <c r="B4062" s="1" t="n">
        <v>44452</v>
      </c>
      <c r="C4062" s="1" t="n">
        <v>45357</v>
      </c>
      <c r="D4062" t="inlineStr">
        <is>
          <t>GÄVLEBORGS LÄN</t>
        </is>
      </c>
      <c r="E4062" t="inlineStr">
        <is>
          <t>SANDVIKEN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48881-2021</t>
        </is>
      </c>
      <c r="B4063" s="1" t="n">
        <v>44452</v>
      </c>
      <c r="C4063" s="1" t="n">
        <v>45357</v>
      </c>
      <c r="D4063" t="inlineStr">
        <is>
          <t>GÄVLEBORGS LÄN</t>
        </is>
      </c>
      <c r="E4063" t="inlineStr">
        <is>
          <t>GÄVLE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48953-2021</t>
        </is>
      </c>
      <c r="B4064" s="1" t="n">
        <v>44453</v>
      </c>
      <c r="C4064" s="1" t="n">
        <v>45357</v>
      </c>
      <c r="D4064" t="inlineStr">
        <is>
          <t>GÄVLEBORGS LÄN</t>
        </is>
      </c>
      <c r="E4064" t="inlineStr">
        <is>
          <t>LJUSDAL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49068-2021</t>
        </is>
      </c>
      <c r="B4065" s="1" t="n">
        <v>44453</v>
      </c>
      <c r="C4065" s="1" t="n">
        <v>45357</v>
      </c>
      <c r="D4065" t="inlineStr">
        <is>
          <t>GÄVLEBORGS LÄN</t>
        </is>
      </c>
      <c r="E4065" t="inlineStr">
        <is>
          <t>LJUSDAL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49092-2021</t>
        </is>
      </c>
      <c r="B4066" s="1" t="n">
        <v>44453</v>
      </c>
      <c r="C4066" s="1" t="n">
        <v>45357</v>
      </c>
      <c r="D4066" t="inlineStr">
        <is>
          <t>GÄVLEBORGS LÄN</t>
        </is>
      </c>
      <c r="E4066" t="inlineStr">
        <is>
          <t>HUDIKSVALL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49114-2021</t>
        </is>
      </c>
      <c r="B4067" s="1" t="n">
        <v>44453</v>
      </c>
      <c r="C4067" s="1" t="n">
        <v>45357</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49147-2021</t>
        </is>
      </c>
      <c r="B4068" s="1" t="n">
        <v>44453</v>
      </c>
      <c r="C4068" s="1" t="n">
        <v>45357</v>
      </c>
      <c r="D4068" t="inlineStr">
        <is>
          <t>GÄVLEBORGS LÄN</t>
        </is>
      </c>
      <c r="E4068" t="inlineStr">
        <is>
          <t>HUDIKSVALL</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49099-2021</t>
        </is>
      </c>
      <c r="B4069" s="1" t="n">
        <v>44453</v>
      </c>
      <c r="C4069" s="1" t="n">
        <v>45357</v>
      </c>
      <c r="D4069" t="inlineStr">
        <is>
          <t>GÄVLEBORGS LÄN</t>
        </is>
      </c>
      <c r="E4069" t="inlineStr">
        <is>
          <t>LJUSDAL</t>
        </is>
      </c>
      <c r="F4069" t="inlineStr">
        <is>
          <t>Sveaskog</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49197-2021</t>
        </is>
      </c>
      <c r="B4070" s="1" t="n">
        <v>44454</v>
      </c>
      <c r="C4070" s="1" t="n">
        <v>45357</v>
      </c>
      <c r="D4070" t="inlineStr">
        <is>
          <t>GÄVLEBORGS LÄN</t>
        </is>
      </c>
      <c r="E4070" t="inlineStr">
        <is>
          <t>NORDANSTIG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49315-2021</t>
        </is>
      </c>
      <c r="B4071" s="1" t="n">
        <v>44454</v>
      </c>
      <c r="C4071" s="1" t="n">
        <v>45357</v>
      </c>
      <c r="D4071" t="inlineStr">
        <is>
          <t>GÄVLEBORGS LÄN</t>
        </is>
      </c>
      <c r="E4071" t="inlineStr">
        <is>
          <t>HUDIKSVALL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49327-2021</t>
        </is>
      </c>
      <c r="B4072" s="1" t="n">
        <v>44454</v>
      </c>
      <c r="C4072" s="1" t="n">
        <v>45357</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49405-2021</t>
        </is>
      </c>
      <c r="B4073" s="1" t="n">
        <v>44454</v>
      </c>
      <c r="C4073" s="1" t="n">
        <v>45357</v>
      </c>
      <c r="D4073" t="inlineStr">
        <is>
          <t>GÄVLEBORGS LÄN</t>
        </is>
      </c>
      <c r="E4073" t="inlineStr">
        <is>
          <t>HUDIKSVALL</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49445-2021</t>
        </is>
      </c>
      <c r="B4074" s="1" t="n">
        <v>44454</v>
      </c>
      <c r="C4074" s="1" t="n">
        <v>45357</v>
      </c>
      <c r="D4074" t="inlineStr">
        <is>
          <t>GÄVLEBORGS LÄN</t>
        </is>
      </c>
      <c r="E4074" t="inlineStr">
        <is>
          <t>BOLLNÄS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49501-2021</t>
        </is>
      </c>
      <c r="B4075" s="1" t="n">
        <v>44455</v>
      </c>
      <c r="C4075" s="1" t="n">
        <v>45357</v>
      </c>
      <c r="D4075" t="inlineStr">
        <is>
          <t>GÄVLEBORGS LÄN</t>
        </is>
      </c>
      <c r="E4075" t="inlineStr">
        <is>
          <t>LJUSDAL</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49565-2021</t>
        </is>
      </c>
      <c r="B4076" s="1" t="n">
        <v>44455</v>
      </c>
      <c r="C4076" s="1" t="n">
        <v>45357</v>
      </c>
      <c r="D4076" t="inlineStr">
        <is>
          <t>GÄVLEBORGS LÄN</t>
        </is>
      </c>
      <c r="E4076" t="inlineStr">
        <is>
          <t>OVANÅKER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49604-2021</t>
        </is>
      </c>
      <c r="B4077" s="1" t="n">
        <v>44455</v>
      </c>
      <c r="C4077" s="1" t="n">
        <v>45357</v>
      </c>
      <c r="D4077" t="inlineStr">
        <is>
          <t>GÄVLEBORGS LÄN</t>
        </is>
      </c>
      <c r="E4077" t="inlineStr">
        <is>
          <t>HUDIKSVALL</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49811-2021</t>
        </is>
      </c>
      <c r="B4078" s="1" t="n">
        <v>44455</v>
      </c>
      <c r="C4078" s="1" t="n">
        <v>45357</v>
      </c>
      <c r="D4078" t="inlineStr">
        <is>
          <t>GÄVLEBORGS LÄN</t>
        </is>
      </c>
      <c r="E4078" t="inlineStr">
        <is>
          <t>GÄVLE</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49827-2021</t>
        </is>
      </c>
      <c r="B4079" s="1" t="n">
        <v>44455</v>
      </c>
      <c r="C4079" s="1" t="n">
        <v>45357</v>
      </c>
      <c r="D4079" t="inlineStr">
        <is>
          <t>GÄVLEBORGS LÄN</t>
        </is>
      </c>
      <c r="E4079" t="inlineStr">
        <is>
          <t>GÄVLE</t>
        </is>
      </c>
      <c r="F4079" t="inlineStr">
        <is>
          <t>Bergvik skog öst AB</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49903-2021</t>
        </is>
      </c>
      <c r="B4080" s="1" t="n">
        <v>44455</v>
      </c>
      <c r="C4080" s="1" t="n">
        <v>45357</v>
      </c>
      <c r="D4080" t="inlineStr">
        <is>
          <t>GÄVLEBORGS LÄN</t>
        </is>
      </c>
      <c r="E4080" t="inlineStr">
        <is>
          <t>NORDANSTIG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49780-2021</t>
        </is>
      </c>
      <c r="B4081" s="1" t="n">
        <v>44455</v>
      </c>
      <c r="C4081" s="1" t="n">
        <v>45357</v>
      </c>
      <c r="D4081" t="inlineStr">
        <is>
          <t>GÄVLEBORGS LÄN</t>
        </is>
      </c>
      <c r="E4081" t="inlineStr">
        <is>
          <t>LJUSDAL</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49928-2021</t>
        </is>
      </c>
      <c r="B4082" s="1" t="n">
        <v>44455</v>
      </c>
      <c r="C4082" s="1" t="n">
        <v>45357</v>
      </c>
      <c r="D4082" t="inlineStr">
        <is>
          <t>GÄVLEBORGS LÄN</t>
        </is>
      </c>
      <c r="E4082" t="inlineStr">
        <is>
          <t>HUDIKSVALL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49925-2021</t>
        </is>
      </c>
      <c r="B4083" s="1" t="n">
        <v>44456</v>
      </c>
      <c r="C4083" s="1" t="n">
        <v>45357</v>
      </c>
      <c r="D4083" t="inlineStr">
        <is>
          <t>GÄVLEBORGS LÄN</t>
        </is>
      </c>
      <c r="E4083" t="inlineStr">
        <is>
          <t>HUDIKSVALL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50036-2021</t>
        </is>
      </c>
      <c r="B4084" s="1" t="n">
        <v>44456</v>
      </c>
      <c r="C4084" s="1" t="n">
        <v>45357</v>
      </c>
      <c r="D4084" t="inlineStr">
        <is>
          <t>GÄVLEBORGS LÄN</t>
        </is>
      </c>
      <c r="E4084" t="inlineStr">
        <is>
          <t>NORDANSTIG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50055-2021</t>
        </is>
      </c>
      <c r="B4085" s="1" t="n">
        <v>44456</v>
      </c>
      <c r="C4085" s="1" t="n">
        <v>45357</v>
      </c>
      <c r="D4085" t="inlineStr">
        <is>
          <t>GÄVLEBORGS LÄN</t>
        </is>
      </c>
      <c r="E4085" t="inlineStr">
        <is>
          <t>LJUSDAL</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50057-2021</t>
        </is>
      </c>
      <c r="B4086" s="1" t="n">
        <v>44456</v>
      </c>
      <c r="C4086" s="1" t="n">
        <v>45357</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50278-2021</t>
        </is>
      </c>
      <c r="B4087" s="1" t="n">
        <v>44456</v>
      </c>
      <c r="C4087" s="1" t="n">
        <v>45357</v>
      </c>
      <c r="D4087" t="inlineStr">
        <is>
          <t>GÄVLEBORGS LÄN</t>
        </is>
      </c>
      <c r="E4087" t="inlineStr">
        <is>
          <t>HOFORS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50331-2021</t>
        </is>
      </c>
      <c r="B4088" s="1" t="n">
        <v>44459</v>
      </c>
      <c r="C4088" s="1" t="n">
        <v>45357</v>
      </c>
      <c r="D4088" t="inlineStr">
        <is>
          <t>GÄVLEBORGS LÄN</t>
        </is>
      </c>
      <c r="E4088" t="inlineStr">
        <is>
          <t>LJUSDAL</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50389-2021</t>
        </is>
      </c>
      <c r="B4089" s="1" t="n">
        <v>44459</v>
      </c>
      <c r="C4089" s="1" t="n">
        <v>45357</v>
      </c>
      <c r="D4089" t="inlineStr">
        <is>
          <t>GÄVLEBORGS LÄN</t>
        </is>
      </c>
      <c r="E4089" t="inlineStr">
        <is>
          <t>GÄVLE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50409-2021</t>
        </is>
      </c>
      <c r="B4090" s="1" t="n">
        <v>44459</v>
      </c>
      <c r="C4090" s="1" t="n">
        <v>45357</v>
      </c>
      <c r="D4090" t="inlineStr">
        <is>
          <t>GÄVLEBORGS LÄN</t>
        </is>
      </c>
      <c r="E4090" t="inlineStr">
        <is>
          <t>SANDVIKEN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50716-2021</t>
        </is>
      </c>
      <c r="B4091" s="1" t="n">
        <v>44460</v>
      </c>
      <c r="C4091" s="1" t="n">
        <v>45357</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50899-2021</t>
        </is>
      </c>
      <c r="B4092" s="1" t="n">
        <v>44460</v>
      </c>
      <c r="C4092" s="1" t="n">
        <v>45357</v>
      </c>
      <c r="D4092" t="inlineStr">
        <is>
          <t>GÄVLEBORGS LÄN</t>
        </is>
      </c>
      <c r="E4092" t="inlineStr">
        <is>
          <t>HUDIKSVALL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50681-2021</t>
        </is>
      </c>
      <c r="B4093" s="1" t="n">
        <v>44460</v>
      </c>
      <c r="C4093" s="1" t="n">
        <v>45357</v>
      </c>
      <c r="D4093" t="inlineStr">
        <is>
          <t>GÄVLEBORGS LÄN</t>
        </is>
      </c>
      <c r="E4093" t="inlineStr">
        <is>
          <t>HOFORS</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50732-2021</t>
        </is>
      </c>
      <c r="B4094" s="1" t="n">
        <v>44460</v>
      </c>
      <c r="C4094" s="1" t="n">
        <v>45357</v>
      </c>
      <c r="D4094" t="inlineStr">
        <is>
          <t>GÄVLEBORGS LÄN</t>
        </is>
      </c>
      <c r="E4094" t="inlineStr">
        <is>
          <t>LJUSDAL</t>
        </is>
      </c>
      <c r="F4094" t="inlineStr">
        <is>
          <t>Holmen skog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50811-2021</t>
        </is>
      </c>
      <c r="B4095" s="1" t="n">
        <v>44460</v>
      </c>
      <c r="C4095" s="1" t="n">
        <v>45357</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50762-2021</t>
        </is>
      </c>
      <c r="B4096" s="1" t="n">
        <v>44460</v>
      </c>
      <c r="C4096" s="1" t="n">
        <v>45357</v>
      </c>
      <c r="D4096" t="inlineStr">
        <is>
          <t>GÄVLEBORGS LÄN</t>
        </is>
      </c>
      <c r="E4096" t="inlineStr">
        <is>
          <t>OCKELBO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50697-2021</t>
        </is>
      </c>
      <c r="B4097" s="1" t="n">
        <v>44460</v>
      </c>
      <c r="C4097" s="1" t="n">
        <v>45357</v>
      </c>
      <c r="D4097" t="inlineStr">
        <is>
          <t>GÄVLEBORGS LÄN</t>
        </is>
      </c>
      <c r="E4097" t="inlineStr">
        <is>
          <t>LJUSDAL</t>
        </is>
      </c>
      <c r="F4097" t="inlineStr">
        <is>
          <t>Holmen skog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50739-2021</t>
        </is>
      </c>
      <c r="B4098" s="1" t="n">
        <v>44460</v>
      </c>
      <c r="C4098" s="1" t="n">
        <v>45357</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50849-2021</t>
        </is>
      </c>
      <c r="B4099" s="1" t="n">
        <v>44460</v>
      </c>
      <c r="C4099" s="1" t="n">
        <v>45357</v>
      </c>
      <c r="D4099" t="inlineStr">
        <is>
          <t>GÄVLEBORGS LÄN</t>
        </is>
      </c>
      <c r="E4099" t="inlineStr">
        <is>
          <t>LJUSDAL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50876-2021</t>
        </is>
      </c>
      <c r="B4100" s="1" t="n">
        <v>44460</v>
      </c>
      <c r="C4100" s="1" t="n">
        <v>45357</v>
      </c>
      <c r="D4100" t="inlineStr">
        <is>
          <t>GÄVLEBORGS LÄN</t>
        </is>
      </c>
      <c r="E4100" t="inlineStr">
        <is>
          <t>SANDVIKEN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50935-2021</t>
        </is>
      </c>
      <c r="B4101" s="1" t="n">
        <v>44460</v>
      </c>
      <c r="C4101" s="1" t="n">
        <v>45357</v>
      </c>
      <c r="D4101" t="inlineStr">
        <is>
          <t>GÄVLEBORGS LÄN</t>
        </is>
      </c>
      <c r="E4101" t="inlineStr">
        <is>
          <t>BOLLNÄS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51250-2021</t>
        </is>
      </c>
      <c r="B4102" s="1" t="n">
        <v>44460</v>
      </c>
      <c r="C4102" s="1" t="n">
        <v>45357</v>
      </c>
      <c r="D4102" t="inlineStr">
        <is>
          <t>GÄVLEBORGS LÄN</t>
        </is>
      </c>
      <c r="E4102" t="inlineStr">
        <is>
          <t>OCKELBO</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51273-2021</t>
        </is>
      </c>
      <c r="B4103" s="1" t="n">
        <v>44460</v>
      </c>
      <c r="C4103" s="1" t="n">
        <v>45357</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51271-2021</t>
        </is>
      </c>
      <c r="B4104" s="1" t="n">
        <v>44460</v>
      </c>
      <c r="C4104" s="1" t="n">
        <v>45357</v>
      </c>
      <c r="D4104" t="inlineStr">
        <is>
          <t>GÄVLEBORGS LÄN</t>
        </is>
      </c>
      <c r="E4104" t="inlineStr">
        <is>
          <t>OCKELBO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51206-2021</t>
        </is>
      </c>
      <c r="B4105" s="1" t="n">
        <v>44460</v>
      </c>
      <c r="C4105" s="1" t="n">
        <v>45357</v>
      </c>
      <c r="D4105" t="inlineStr">
        <is>
          <t>GÄVLEBORGS LÄN</t>
        </is>
      </c>
      <c r="E4105" t="inlineStr">
        <is>
          <t>OCKELBO</t>
        </is>
      </c>
      <c r="G4105" t="n">
        <v>16.8</v>
      </c>
      <c r="H4105" t="n">
        <v>0</v>
      </c>
      <c r="I4105" t="n">
        <v>0</v>
      </c>
      <c r="J4105" t="n">
        <v>0</v>
      </c>
      <c r="K4105" t="n">
        <v>0</v>
      </c>
      <c r="L4105" t="n">
        <v>0</v>
      </c>
      <c r="M4105" t="n">
        <v>0</v>
      </c>
      <c r="N4105" t="n">
        <v>0</v>
      </c>
      <c r="O4105" t="n">
        <v>0</v>
      </c>
      <c r="P4105" t="n">
        <v>0</v>
      </c>
      <c r="Q4105" t="n">
        <v>0</v>
      </c>
      <c r="R4105" s="2" t="inlineStr"/>
    </row>
    <row r="4106" ht="15" customHeight="1">
      <c r="A4106" t="inlineStr">
        <is>
          <t>A 51565-2021</t>
        </is>
      </c>
      <c r="B4106" s="1" t="n">
        <v>44460</v>
      </c>
      <c r="C4106" s="1" t="n">
        <v>45357</v>
      </c>
      <c r="D4106" t="inlineStr">
        <is>
          <t>GÄVLEBORGS LÄN</t>
        </is>
      </c>
      <c r="E4106" t="inlineStr">
        <is>
          <t>OCKELBO</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51257-2021</t>
        </is>
      </c>
      <c r="B4107" s="1" t="n">
        <v>44460</v>
      </c>
      <c r="C4107" s="1" t="n">
        <v>45357</v>
      </c>
      <c r="D4107" t="inlineStr">
        <is>
          <t>GÄVLEBORGS LÄN</t>
        </is>
      </c>
      <c r="E4107" t="inlineStr">
        <is>
          <t>OCKELBO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51249-2021</t>
        </is>
      </c>
      <c r="B4108" s="1" t="n">
        <v>44461</v>
      </c>
      <c r="C4108" s="1" t="n">
        <v>45357</v>
      </c>
      <c r="D4108" t="inlineStr">
        <is>
          <t>GÄVLEBORGS LÄN</t>
        </is>
      </c>
      <c r="E4108" t="inlineStr">
        <is>
          <t>GÄVLE</t>
        </is>
      </c>
      <c r="F4108" t="inlineStr">
        <is>
          <t>Bergvik skog öst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51223-2021</t>
        </is>
      </c>
      <c r="B4109" s="1" t="n">
        <v>44461</v>
      </c>
      <c r="C4109" s="1" t="n">
        <v>45357</v>
      </c>
      <c r="D4109" t="inlineStr">
        <is>
          <t>GÄVLEBORGS LÄN</t>
        </is>
      </c>
      <c r="E4109" t="inlineStr">
        <is>
          <t>NORDANSTIG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51400-2021</t>
        </is>
      </c>
      <c r="B4110" s="1" t="n">
        <v>44461</v>
      </c>
      <c r="C4110" s="1" t="n">
        <v>45357</v>
      </c>
      <c r="D4110" t="inlineStr">
        <is>
          <t>GÄVLEBORGS LÄN</t>
        </is>
      </c>
      <c r="E4110" t="inlineStr">
        <is>
          <t>NORDANSTIG</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51431-2021</t>
        </is>
      </c>
      <c r="B4111" s="1" t="n">
        <v>44461</v>
      </c>
      <c r="C4111" s="1" t="n">
        <v>45357</v>
      </c>
      <c r="D4111" t="inlineStr">
        <is>
          <t>GÄVLEBORGS LÄN</t>
        </is>
      </c>
      <c r="E4111" t="inlineStr">
        <is>
          <t>LJUSDAL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51543-2021</t>
        </is>
      </c>
      <c r="B4112" s="1" t="n">
        <v>44461</v>
      </c>
      <c r="C4112" s="1" t="n">
        <v>45357</v>
      </c>
      <c r="D4112" t="inlineStr">
        <is>
          <t>GÄVLEBORGS LÄN</t>
        </is>
      </c>
      <c r="E4112" t="inlineStr">
        <is>
          <t>NORDANSTIG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51571-2021</t>
        </is>
      </c>
      <c r="B4113" s="1" t="n">
        <v>44462</v>
      </c>
      <c r="C4113" s="1" t="n">
        <v>45357</v>
      </c>
      <c r="D4113" t="inlineStr">
        <is>
          <t>GÄVLEBORGS LÄN</t>
        </is>
      </c>
      <c r="E4113" t="inlineStr">
        <is>
          <t>OCKELBO</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51762-2021</t>
        </is>
      </c>
      <c r="B4114" s="1" t="n">
        <v>44462</v>
      </c>
      <c r="C4114" s="1" t="n">
        <v>45357</v>
      </c>
      <c r="D4114" t="inlineStr">
        <is>
          <t>GÄVLEBORGS LÄN</t>
        </is>
      </c>
      <c r="E4114" t="inlineStr">
        <is>
          <t>HUDIKSVALL</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51493-2021</t>
        </is>
      </c>
      <c r="B4115" s="1" t="n">
        <v>44462</v>
      </c>
      <c r="C4115" s="1" t="n">
        <v>45357</v>
      </c>
      <c r="D4115" t="inlineStr">
        <is>
          <t>GÄVLEBORGS LÄN</t>
        </is>
      </c>
      <c r="E4115" t="inlineStr">
        <is>
          <t>OCKELBO</t>
        </is>
      </c>
      <c r="F4115" t="inlineStr">
        <is>
          <t>Kyrkan</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51550-2021</t>
        </is>
      </c>
      <c r="B4116" s="1" t="n">
        <v>44462</v>
      </c>
      <c r="C4116" s="1" t="n">
        <v>45357</v>
      </c>
      <c r="D4116" t="inlineStr">
        <is>
          <t>GÄVLEBORGS LÄN</t>
        </is>
      </c>
      <c r="E4116" t="inlineStr">
        <is>
          <t>OCKELBO</t>
        </is>
      </c>
      <c r="F4116" t="inlineStr">
        <is>
          <t>Bergvik skog väst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51551-2021</t>
        </is>
      </c>
      <c r="B4117" s="1" t="n">
        <v>44462</v>
      </c>
      <c r="C4117" s="1" t="n">
        <v>45357</v>
      </c>
      <c r="D4117" t="inlineStr">
        <is>
          <t>GÄVLEBORGS LÄN</t>
        </is>
      </c>
      <c r="E4117" t="inlineStr">
        <is>
          <t>NORDANSTIG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51692-2021</t>
        </is>
      </c>
      <c r="B4118" s="1" t="n">
        <v>44462</v>
      </c>
      <c r="C4118" s="1" t="n">
        <v>45357</v>
      </c>
      <c r="D4118" t="inlineStr">
        <is>
          <t>GÄVLEBORGS LÄN</t>
        </is>
      </c>
      <c r="E4118" t="inlineStr">
        <is>
          <t>HUDIKSVALL</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51708-2021</t>
        </is>
      </c>
      <c r="B4119" s="1" t="n">
        <v>44462</v>
      </c>
      <c r="C4119" s="1" t="n">
        <v>45357</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51721-2021</t>
        </is>
      </c>
      <c r="B4120" s="1" t="n">
        <v>44462</v>
      </c>
      <c r="C4120" s="1" t="n">
        <v>45357</v>
      </c>
      <c r="D4120" t="inlineStr">
        <is>
          <t>GÄVLEBORGS LÄN</t>
        </is>
      </c>
      <c r="E4120" t="inlineStr">
        <is>
          <t>NORDANSTIG</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51761-2021</t>
        </is>
      </c>
      <c r="B4121" s="1" t="n">
        <v>44462</v>
      </c>
      <c r="C4121" s="1" t="n">
        <v>45357</v>
      </c>
      <c r="D4121" t="inlineStr">
        <is>
          <t>GÄVLEBORGS LÄN</t>
        </is>
      </c>
      <c r="E4121" t="inlineStr">
        <is>
          <t>BOLLNÄS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51809-2021</t>
        </is>
      </c>
      <c r="B4122" s="1" t="n">
        <v>44462</v>
      </c>
      <c r="C4122" s="1" t="n">
        <v>45357</v>
      </c>
      <c r="D4122" t="inlineStr">
        <is>
          <t>GÄVLEBORGS LÄN</t>
        </is>
      </c>
      <c r="E4122" t="inlineStr">
        <is>
          <t>GÄVLE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51716-2021</t>
        </is>
      </c>
      <c r="B4123" s="1" t="n">
        <v>44462</v>
      </c>
      <c r="C4123" s="1" t="n">
        <v>45357</v>
      </c>
      <c r="D4123" t="inlineStr">
        <is>
          <t>GÄVLEBORGS LÄN</t>
        </is>
      </c>
      <c r="E4123" t="inlineStr">
        <is>
          <t>HUDIKSVALL</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52117-2021</t>
        </is>
      </c>
      <c r="B4124" s="1" t="n">
        <v>44462</v>
      </c>
      <c r="C4124" s="1" t="n">
        <v>45357</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52046-2021</t>
        </is>
      </c>
      <c r="B4125" s="1" t="n">
        <v>44463</v>
      </c>
      <c r="C4125" s="1" t="n">
        <v>45357</v>
      </c>
      <c r="D4125" t="inlineStr">
        <is>
          <t>GÄVLEBORGS LÄN</t>
        </is>
      </c>
      <c r="E4125" t="inlineStr">
        <is>
          <t>OVANÅKER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52096-2021</t>
        </is>
      </c>
      <c r="B4126" s="1" t="n">
        <v>44463</v>
      </c>
      <c r="C4126" s="1" t="n">
        <v>45357</v>
      </c>
      <c r="D4126" t="inlineStr">
        <is>
          <t>GÄVLEBORGS LÄN</t>
        </is>
      </c>
      <c r="E4126" t="inlineStr">
        <is>
          <t>SANDVIKEN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52256-2021</t>
        </is>
      </c>
      <c r="B4127" s="1" t="n">
        <v>44463</v>
      </c>
      <c r="C4127" s="1" t="n">
        <v>45357</v>
      </c>
      <c r="D4127" t="inlineStr">
        <is>
          <t>GÄVLEBORGS LÄN</t>
        </is>
      </c>
      <c r="E4127" t="inlineStr">
        <is>
          <t>HUDIKSVALL</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52191-2021</t>
        </is>
      </c>
      <c r="B4128" s="1" t="n">
        <v>44463</v>
      </c>
      <c r="C4128" s="1" t="n">
        <v>45357</v>
      </c>
      <c r="D4128" t="inlineStr">
        <is>
          <t>GÄVLEBORGS LÄN</t>
        </is>
      </c>
      <c r="E4128" t="inlineStr">
        <is>
          <t>SÖDERHAMN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52613-2021</t>
        </is>
      </c>
      <c r="B4129" s="1" t="n">
        <v>44466</v>
      </c>
      <c r="C4129" s="1" t="n">
        <v>45357</v>
      </c>
      <c r="D4129" t="inlineStr">
        <is>
          <t>GÄVLEBORGS LÄN</t>
        </is>
      </c>
      <c r="E4129" t="inlineStr">
        <is>
          <t>LJUSDAL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52664-2021</t>
        </is>
      </c>
      <c r="B4130" s="1" t="n">
        <v>44466</v>
      </c>
      <c r="C4130" s="1" t="n">
        <v>45357</v>
      </c>
      <c r="D4130" t="inlineStr">
        <is>
          <t>GÄVLEBORGS LÄN</t>
        </is>
      </c>
      <c r="E4130" t="inlineStr">
        <is>
          <t>GÄVLE</t>
        </is>
      </c>
      <c r="F4130" t="inlineStr">
        <is>
          <t>Bergvik skog väst AB</t>
        </is>
      </c>
      <c r="G4130" t="n">
        <v>18.2</v>
      </c>
      <c r="H4130" t="n">
        <v>0</v>
      </c>
      <c r="I4130" t="n">
        <v>0</v>
      </c>
      <c r="J4130" t="n">
        <v>0</v>
      </c>
      <c r="K4130" t="n">
        <v>0</v>
      </c>
      <c r="L4130" t="n">
        <v>0</v>
      </c>
      <c r="M4130" t="n">
        <v>0</v>
      </c>
      <c r="N4130" t="n">
        <v>0</v>
      </c>
      <c r="O4130" t="n">
        <v>0</v>
      </c>
      <c r="P4130" t="n">
        <v>0</v>
      </c>
      <c r="Q4130" t="n">
        <v>0</v>
      </c>
      <c r="R4130" s="2" t="inlineStr"/>
    </row>
    <row r="4131" ht="15" customHeight="1">
      <c r="A4131" t="inlineStr">
        <is>
          <t>A 52608-2021</t>
        </is>
      </c>
      <c r="B4131" s="1" t="n">
        <v>44466</v>
      </c>
      <c r="C4131" s="1" t="n">
        <v>45357</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52614-2021</t>
        </is>
      </c>
      <c r="B4132" s="1" t="n">
        <v>44466</v>
      </c>
      <c r="C4132" s="1" t="n">
        <v>45357</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52417-2021</t>
        </is>
      </c>
      <c r="B4133" s="1" t="n">
        <v>44466</v>
      </c>
      <c r="C4133" s="1" t="n">
        <v>45357</v>
      </c>
      <c r="D4133" t="inlineStr">
        <is>
          <t>GÄVLEBORGS LÄN</t>
        </is>
      </c>
      <c r="E4133" t="inlineStr">
        <is>
          <t>NORDANSTIG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52495-2021</t>
        </is>
      </c>
      <c r="B4134" s="1" t="n">
        <v>44466</v>
      </c>
      <c r="C4134" s="1" t="n">
        <v>45357</v>
      </c>
      <c r="D4134" t="inlineStr">
        <is>
          <t>GÄVLEBORGS LÄN</t>
        </is>
      </c>
      <c r="E4134" t="inlineStr">
        <is>
          <t>GÄVLE</t>
        </is>
      </c>
      <c r="F4134" t="inlineStr">
        <is>
          <t>Bergvik skog väst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52655-2021</t>
        </is>
      </c>
      <c r="B4135" s="1" t="n">
        <v>44466</v>
      </c>
      <c r="C4135" s="1" t="n">
        <v>45357</v>
      </c>
      <c r="D4135" t="inlineStr">
        <is>
          <t>GÄVLEBORGS LÄN</t>
        </is>
      </c>
      <c r="E4135" t="inlineStr">
        <is>
          <t>OCKELBO</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52780-2021</t>
        </is>
      </c>
      <c r="B4136" s="1" t="n">
        <v>44467</v>
      </c>
      <c r="C4136" s="1" t="n">
        <v>45357</v>
      </c>
      <c r="D4136" t="inlineStr">
        <is>
          <t>GÄVLEBORGS LÄN</t>
        </is>
      </c>
      <c r="E4136" t="inlineStr">
        <is>
          <t>LJUSDAL</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52778-2021</t>
        </is>
      </c>
      <c r="B4137" s="1" t="n">
        <v>44467</v>
      </c>
      <c r="C4137" s="1" t="n">
        <v>45357</v>
      </c>
      <c r="D4137" t="inlineStr">
        <is>
          <t>GÄVLEBORGS LÄN</t>
        </is>
      </c>
      <c r="E4137" t="inlineStr">
        <is>
          <t>LJUSDAL</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52792-2021</t>
        </is>
      </c>
      <c r="B4138" s="1" t="n">
        <v>44467</v>
      </c>
      <c r="C4138" s="1" t="n">
        <v>45357</v>
      </c>
      <c r="D4138" t="inlineStr">
        <is>
          <t>GÄVLEBORGS LÄN</t>
        </is>
      </c>
      <c r="E4138" t="inlineStr">
        <is>
          <t>BOLLNÄS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52839-2021</t>
        </is>
      </c>
      <c r="B4139" s="1" t="n">
        <v>44467</v>
      </c>
      <c r="C4139" s="1" t="n">
        <v>45357</v>
      </c>
      <c r="D4139" t="inlineStr">
        <is>
          <t>GÄVLEBORGS LÄN</t>
        </is>
      </c>
      <c r="E4139" t="inlineStr">
        <is>
          <t>LJUSDAL</t>
        </is>
      </c>
      <c r="F4139" t="inlineStr">
        <is>
          <t>Holmen skog AB</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52890-2021</t>
        </is>
      </c>
      <c r="B4140" s="1" t="n">
        <v>44467</v>
      </c>
      <c r="C4140" s="1" t="n">
        <v>45357</v>
      </c>
      <c r="D4140" t="inlineStr">
        <is>
          <t>GÄVLEBORGS LÄN</t>
        </is>
      </c>
      <c r="E4140" t="inlineStr">
        <is>
          <t>HOFORS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52784-2021</t>
        </is>
      </c>
      <c r="B4141" s="1" t="n">
        <v>44467</v>
      </c>
      <c r="C4141" s="1" t="n">
        <v>45357</v>
      </c>
      <c r="D4141" t="inlineStr">
        <is>
          <t>GÄVLEBORGS LÄN</t>
        </is>
      </c>
      <c r="E4141" t="inlineStr">
        <is>
          <t>BOLLNÄS</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52990-2021</t>
        </is>
      </c>
      <c r="B4142" s="1" t="n">
        <v>44467</v>
      </c>
      <c r="C4142" s="1" t="n">
        <v>45357</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52948-2021</t>
        </is>
      </c>
      <c r="B4143" s="1" t="n">
        <v>44467</v>
      </c>
      <c r="C4143" s="1" t="n">
        <v>45357</v>
      </c>
      <c r="D4143" t="inlineStr">
        <is>
          <t>GÄVLEBORGS LÄN</t>
        </is>
      </c>
      <c r="E4143" t="inlineStr">
        <is>
          <t>LJUSDAL</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53306-2021</t>
        </is>
      </c>
      <c r="B4144" s="1" t="n">
        <v>44468</v>
      </c>
      <c r="C4144" s="1" t="n">
        <v>45357</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53397-2021</t>
        </is>
      </c>
      <c r="B4145" s="1" t="n">
        <v>44468</v>
      </c>
      <c r="C4145" s="1" t="n">
        <v>45357</v>
      </c>
      <c r="D4145" t="inlineStr">
        <is>
          <t>GÄVLEBORGS LÄN</t>
        </is>
      </c>
      <c r="E4145" t="inlineStr">
        <is>
          <t>HUDIKSVALL</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53432-2021</t>
        </is>
      </c>
      <c r="B4146" s="1" t="n">
        <v>44468</v>
      </c>
      <c r="C4146" s="1" t="n">
        <v>45357</v>
      </c>
      <c r="D4146" t="inlineStr">
        <is>
          <t>GÄVLEBORGS LÄN</t>
        </is>
      </c>
      <c r="E4146" t="inlineStr">
        <is>
          <t>GÄVLE</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54013-2021</t>
        </is>
      </c>
      <c r="B4147" s="1" t="n">
        <v>44470</v>
      </c>
      <c r="C4147" s="1" t="n">
        <v>45357</v>
      </c>
      <c r="D4147" t="inlineStr">
        <is>
          <t>GÄVLEBORGS LÄN</t>
        </is>
      </c>
      <c r="E4147" t="inlineStr">
        <is>
          <t>OVANÅKER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54113-2021</t>
        </is>
      </c>
      <c r="B4148" s="1" t="n">
        <v>44470</v>
      </c>
      <c r="C4148" s="1" t="n">
        <v>45357</v>
      </c>
      <c r="D4148" t="inlineStr">
        <is>
          <t>GÄVLEBORGS LÄN</t>
        </is>
      </c>
      <c r="E4148" t="inlineStr">
        <is>
          <t>LJUSDAL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54126-2021</t>
        </is>
      </c>
      <c r="B4149" s="1" t="n">
        <v>44470</v>
      </c>
      <c r="C4149" s="1" t="n">
        <v>45357</v>
      </c>
      <c r="D4149" t="inlineStr">
        <is>
          <t>GÄVLEBORGS LÄN</t>
        </is>
      </c>
      <c r="E4149" t="inlineStr">
        <is>
          <t>HUDIKSVALL</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54154-2021</t>
        </is>
      </c>
      <c r="B4150" s="1" t="n">
        <v>44470</v>
      </c>
      <c r="C4150" s="1" t="n">
        <v>45357</v>
      </c>
      <c r="D4150" t="inlineStr">
        <is>
          <t>GÄVLEBORGS LÄN</t>
        </is>
      </c>
      <c r="E4150" t="inlineStr">
        <is>
          <t>HOFORS</t>
        </is>
      </c>
      <c r="F4150" t="inlineStr">
        <is>
          <t>Bergvik skog öst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53999-2021</t>
        </is>
      </c>
      <c r="B4151" s="1" t="n">
        <v>44470</v>
      </c>
      <c r="C4151" s="1" t="n">
        <v>45357</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54080-2021</t>
        </is>
      </c>
      <c r="B4152" s="1" t="n">
        <v>44470</v>
      </c>
      <c r="C4152" s="1" t="n">
        <v>45357</v>
      </c>
      <c r="D4152" t="inlineStr">
        <is>
          <t>GÄVLEBORGS LÄN</t>
        </is>
      </c>
      <c r="E4152" t="inlineStr">
        <is>
          <t>OVANÅKER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54237-2021</t>
        </is>
      </c>
      <c r="B4153" s="1" t="n">
        <v>44470</v>
      </c>
      <c r="C4153" s="1" t="n">
        <v>45357</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54363-2021</t>
        </is>
      </c>
      <c r="B4154" s="1" t="n">
        <v>44473</v>
      </c>
      <c r="C4154" s="1" t="n">
        <v>45357</v>
      </c>
      <c r="D4154" t="inlineStr">
        <is>
          <t>GÄVLEBORGS LÄN</t>
        </is>
      </c>
      <c r="E4154" t="inlineStr">
        <is>
          <t>HUDIKSVALL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54350-2021</t>
        </is>
      </c>
      <c r="B4155" s="1" t="n">
        <v>44473</v>
      </c>
      <c r="C4155" s="1" t="n">
        <v>45357</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54380-2021</t>
        </is>
      </c>
      <c r="B4156" s="1" t="n">
        <v>44473</v>
      </c>
      <c r="C4156" s="1" t="n">
        <v>45357</v>
      </c>
      <c r="D4156" t="inlineStr">
        <is>
          <t>GÄVLEBORGS LÄN</t>
        </is>
      </c>
      <c r="E4156" t="inlineStr">
        <is>
          <t>HUDIKSVALL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54496-2021</t>
        </is>
      </c>
      <c r="B4157" s="1" t="n">
        <v>44473</v>
      </c>
      <c r="C4157" s="1" t="n">
        <v>45357</v>
      </c>
      <c r="D4157" t="inlineStr">
        <is>
          <t>GÄVLEBORGS LÄN</t>
        </is>
      </c>
      <c r="E4157" t="inlineStr">
        <is>
          <t>NORDANSTIG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54529-2021</t>
        </is>
      </c>
      <c r="B4158" s="1" t="n">
        <v>44473</v>
      </c>
      <c r="C4158" s="1" t="n">
        <v>45357</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54570-2021</t>
        </is>
      </c>
      <c r="B4159" s="1" t="n">
        <v>44473</v>
      </c>
      <c r="C4159" s="1" t="n">
        <v>45357</v>
      </c>
      <c r="D4159" t="inlineStr">
        <is>
          <t>GÄVLEBORGS LÄN</t>
        </is>
      </c>
      <c r="E4159" t="inlineStr">
        <is>
          <t>NORDANSTIG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54616-2021</t>
        </is>
      </c>
      <c r="B4160" s="1" t="n">
        <v>44473</v>
      </c>
      <c r="C4160" s="1" t="n">
        <v>45357</v>
      </c>
      <c r="D4160" t="inlineStr">
        <is>
          <t>GÄVLEBORGS LÄN</t>
        </is>
      </c>
      <c r="E4160" t="inlineStr">
        <is>
          <t>HOFORS</t>
        </is>
      </c>
      <c r="F4160" t="inlineStr">
        <is>
          <t>Bergvik skog väst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54565-2021</t>
        </is>
      </c>
      <c r="B4161" s="1" t="n">
        <v>44473</v>
      </c>
      <c r="C4161" s="1" t="n">
        <v>45357</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54661-2021</t>
        </is>
      </c>
      <c r="B4162" s="1" t="n">
        <v>44473</v>
      </c>
      <c r="C4162" s="1" t="n">
        <v>45357</v>
      </c>
      <c r="D4162" t="inlineStr">
        <is>
          <t>GÄVLEBORGS LÄN</t>
        </is>
      </c>
      <c r="E4162" t="inlineStr">
        <is>
          <t>OVANÅKER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54834-2021</t>
        </is>
      </c>
      <c r="B4163" s="1" t="n">
        <v>44473</v>
      </c>
      <c r="C4163" s="1" t="n">
        <v>45357</v>
      </c>
      <c r="D4163" t="inlineStr">
        <is>
          <t>GÄVLEBORGS LÄN</t>
        </is>
      </c>
      <c r="E4163" t="inlineStr">
        <is>
          <t>GÄVLE</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54826-2021</t>
        </is>
      </c>
      <c r="B4164" s="1" t="n">
        <v>44473</v>
      </c>
      <c r="C4164" s="1" t="n">
        <v>45357</v>
      </c>
      <c r="D4164" t="inlineStr">
        <is>
          <t>GÄVLEBORGS LÄN</t>
        </is>
      </c>
      <c r="E4164" t="inlineStr">
        <is>
          <t>HOFORS</t>
        </is>
      </c>
      <c r="F4164" t="inlineStr">
        <is>
          <t>Bergvik skog väst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55082-2021</t>
        </is>
      </c>
      <c r="B4165" s="1" t="n">
        <v>44474</v>
      </c>
      <c r="C4165" s="1" t="n">
        <v>45357</v>
      </c>
      <c r="D4165" t="inlineStr">
        <is>
          <t>GÄVLEBORGS LÄN</t>
        </is>
      </c>
      <c r="E4165" t="inlineStr">
        <is>
          <t>SANDVIKEN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55243-2021</t>
        </is>
      </c>
      <c r="B4166" s="1" t="n">
        <v>44475</v>
      </c>
      <c r="C4166" s="1" t="n">
        <v>45357</v>
      </c>
      <c r="D4166" t="inlineStr">
        <is>
          <t>GÄVLEBORGS LÄN</t>
        </is>
      </c>
      <c r="E4166" t="inlineStr">
        <is>
          <t>OVANÅKER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55230-2021</t>
        </is>
      </c>
      <c r="B4167" s="1" t="n">
        <v>44475</v>
      </c>
      <c r="C4167" s="1" t="n">
        <v>45357</v>
      </c>
      <c r="D4167" t="inlineStr">
        <is>
          <t>GÄVLEBORGS LÄN</t>
        </is>
      </c>
      <c r="E4167" t="inlineStr">
        <is>
          <t>LJUSDAL</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55209-2021</t>
        </is>
      </c>
      <c r="B4168" s="1" t="n">
        <v>44475</v>
      </c>
      <c r="C4168" s="1" t="n">
        <v>45357</v>
      </c>
      <c r="D4168" t="inlineStr">
        <is>
          <t>GÄVLEBORGS LÄN</t>
        </is>
      </c>
      <c r="E4168" t="inlineStr">
        <is>
          <t>LJUSDAL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55241-2021</t>
        </is>
      </c>
      <c r="B4169" s="1" t="n">
        <v>44475</v>
      </c>
      <c r="C4169" s="1" t="n">
        <v>45357</v>
      </c>
      <c r="D4169" t="inlineStr">
        <is>
          <t>GÄVLEBORGS LÄN</t>
        </is>
      </c>
      <c r="E4169" t="inlineStr">
        <is>
          <t>OVANÅKER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55309-2021</t>
        </is>
      </c>
      <c r="B4170" s="1" t="n">
        <v>44475</v>
      </c>
      <c r="C4170" s="1" t="n">
        <v>45357</v>
      </c>
      <c r="D4170" t="inlineStr">
        <is>
          <t>GÄVLEBORGS LÄN</t>
        </is>
      </c>
      <c r="E4170" t="inlineStr">
        <is>
          <t>HUDIKSVALL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55336-2021</t>
        </is>
      </c>
      <c r="B4171" s="1" t="n">
        <v>44475</v>
      </c>
      <c r="C4171" s="1" t="n">
        <v>45357</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55408-2021</t>
        </is>
      </c>
      <c r="B4172" s="1" t="n">
        <v>44475</v>
      </c>
      <c r="C4172" s="1" t="n">
        <v>45357</v>
      </c>
      <c r="D4172" t="inlineStr">
        <is>
          <t>GÄVLEBORGS LÄN</t>
        </is>
      </c>
      <c r="E4172" t="inlineStr">
        <is>
          <t>OVANÅKER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55446-2021</t>
        </is>
      </c>
      <c r="B4173" s="1" t="n">
        <v>44475</v>
      </c>
      <c r="C4173" s="1" t="n">
        <v>45357</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55489-2021</t>
        </is>
      </c>
      <c r="B4174" s="1" t="n">
        <v>44475</v>
      </c>
      <c r="C4174" s="1" t="n">
        <v>45357</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55298-2021</t>
        </is>
      </c>
      <c r="B4175" s="1" t="n">
        <v>44475</v>
      </c>
      <c r="C4175" s="1" t="n">
        <v>45357</v>
      </c>
      <c r="D4175" t="inlineStr">
        <is>
          <t>GÄVLEBORGS LÄN</t>
        </is>
      </c>
      <c r="E4175" t="inlineStr">
        <is>
          <t>OVANÅKER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55319-2021</t>
        </is>
      </c>
      <c r="B4176" s="1" t="n">
        <v>44475</v>
      </c>
      <c r="C4176" s="1" t="n">
        <v>45357</v>
      </c>
      <c r="D4176" t="inlineStr">
        <is>
          <t>GÄVLEBORGS LÄN</t>
        </is>
      </c>
      <c r="E4176" t="inlineStr">
        <is>
          <t>HUDIKSVALL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55330-2021</t>
        </is>
      </c>
      <c r="B4177" s="1" t="n">
        <v>44475</v>
      </c>
      <c r="C4177" s="1" t="n">
        <v>45357</v>
      </c>
      <c r="D4177" t="inlineStr">
        <is>
          <t>GÄVLEBORGS LÄN</t>
        </is>
      </c>
      <c r="E4177" t="inlineStr">
        <is>
          <t>HUDIKSVALL</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55371-2021</t>
        </is>
      </c>
      <c r="B4178" s="1" t="n">
        <v>44475</v>
      </c>
      <c r="C4178" s="1" t="n">
        <v>45357</v>
      </c>
      <c r="D4178" t="inlineStr">
        <is>
          <t>GÄVLEBORGS LÄN</t>
        </is>
      </c>
      <c r="E4178" t="inlineStr">
        <is>
          <t>OVANÅKER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55403-2021</t>
        </is>
      </c>
      <c r="B4179" s="1" t="n">
        <v>44475</v>
      </c>
      <c r="C4179" s="1" t="n">
        <v>45357</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55409-2021</t>
        </is>
      </c>
      <c r="B4180" s="1" t="n">
        <v>44475</v>
      </c>
      <c r="C4180" s="1" t="n">
        <v>45357</v>
      </c>
      <c r="D4180" t="inlineStr">
        <is>
          <t>GÄVLEBORGS LÄN</t>
        </is>
      </c>
      <c r="E4180" t="inlineStr">
        <is>
          <t>LJUSDAL</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55534-2021</t>
        </is>
      </c>
      <c r="B4181" s="1" t="n">
        <v>44475</v>
      </c>
      <c r="C4181" s="1" t="n">
        <v>45357</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55535-2021</t>
        </is>
      </c>
      <c r="B4182" s="1" t="n">
        <v>44475</v>
      </c>
      <c r="C4182" s="1" t="n">
        <v>45357</v>
      </c>
      <c r="D4182" t="inlineStr">
        <is>
          <t>GÄVLEBORGS LÄN</t>
        </is>
      </c>
      <c r="E4182" t="inlineStr">
        <is>
          <t>LJUSDAL</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55563-2021</t>
        </is>
      </c>
      <c r="B4183" s="1" t="n">
        <v>44475</v>
      </c>
      <c r="C4183" s="1" t="n">
        <v>45357</v>
      </c>
      <c r="D4183" t="inlineStr">
        <is>
          <t>GÄVLEBORGS LÄN</t>
        </is>
      </c>
      <c r="E4183" t="inlineStr">
        <is>
          <t>OCKELBO</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55314-2021</t>
        </is>
      </c>
      <c r="B4184" s="1" t="n">
        <v>44475</v>
      </c>
      <c r="C4184" s="1" t="n">
        <v>45357</v>
      </c>
      <c r="D4184" t="inlineStr">
        <is>
          <t>GÄVLEBORGS LÄN</t>
        </is>
      </c>
      <c r="E4184" t="inlineStr">
        <is>
          <t>NORDANSTIG</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55666-2021</t>
        </is>
      </c>
      <c r="B4185" s="1" t="n">
        <v>44476</v>
      </c>
      <c r="C4185" s="1" t="n">
        <v>45357</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56136-2021</t>
        </is>
      </c>
      <c r="B4186" s="1" t="n">
        <v>44477</v>
      </c>
      <c r="C4186" s="1" t="n">
        <v>45357</v>
      </c>
      <c r="D4186" t="inlineStr">
        <is>
          <t>GÄVLEBORGS LÄN</t>
        </is>
      </c>
      <c r="E4186" t="inlineStr">
        <is>
          <t>HUDIKSVALL</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56016-2021</t>
        </is>
      </c>
      <c r="B4187" s="1" t="n">
        <v>44477</v>
      </c>
      <c r="C4187" s="1" t="n">
        <v>45357</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56310-2021</t>
        </is>
      </c>
      <c r="B4188" s="1" t="n">
        <v>44477</v>
      </c>
      <c r="C4188" s="1" t="n">
        <v>45357</v>
      </c>
      <c r="D4188" t="inlineStr">
        <is>
          <t>GÄVLEBORGS LÄN</t>
        </is>
      </c>
      <c r="E4188" t="inlineStr">
        <is>
          <t>SANDVIKEN</t>
        </is>
      </c>
      <c r="F4188" t="inlineStr">
        <is>
          <t>Bergvik skog väst AB</t>
        </is>
      </c>
      <c r="G4188" t="n">
        <v>18.5</v>
      </c>
      <c r="H4188" t="n">
        <v>0</v>
      </c>
      <c r="I4188" t="n">
        <v>0</v>
      </c>
      <c r="J4188" t="n">
        <v>0</v>
      </c>
      <c r="K4188" t="n">
        <v>0</v>
      </c>
      <c r="L4188" t="n">
        <v>0</v>
      </c>
      <c r="M4188" t="n">
        <v>0</v>
      </c>
      <c r="N4188" t="n">
        <v>0</v>
      </c>
      <c r="O4188" t="n">
        <v>0</v>
      </c>
      <c r="P4188" t="n">
        <v>0</v>
      </c>
      <c r="Q4188" t="n">
        <v>0</v>
      </c>
      <c r="R4188" s="2" t="inlineStr"/>
    </row>
    <row r="4189" ht="15" customHeight="1">
      <c r="A4189" t="inlineStr">
        <is>
          <t>A 56282-2021</t>
        </is>
      </c>
      <c r="B4189" s="1" t="n">
        <v>44479</v>
      </c>
      <c r="C4189" s="1" t="n">
        <v>45357</v>
      </c>
      <c r="D4189" t="inlineStr">
        <is>
          <t>GÄVLEBORGS LÄN</t>
        </is>
      </c>
      <c r="E4189" t="inlineStr">
        <is>
          <t>OCKELBO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56418-2021</t>
        </is>
      </c>
      <c r="B4190" s="1" t="n">
        <v>44480</v>
      </c>
      <c r="C4190" s="1" t="n">
        <v>45357</v>
      </c>
      <c r="D4190" t="inlineStr">
        <is>
          <t>GÄVLEBORGS LÄN</t>
        </is>
      </c>
      <c r="E4190" t="inlineStr">
        <is>
          <t>BOLLNÄS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56410-2021</t>
        </is>
      </c>
      <c r="B4191" s="1" t="n">
        <v>44480</v>
      </c>
      <c r="C4191" s="1" t="n">
        <v>45357</v>
      </c>
      <c r="D4191" t="inlineStr">
        <is>
          <t>GÄVLEBORGS LÄN</t>
        </is>
      </c>
      <c r="E4191" t="inlineStr">
        <is>
          <t>BOLLNÄS</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56301-2021</t>
        </is>
      </c>
      <c r="B4192" s="1" t="n">
        <v>44480</v>
      </c>
      <c r="C4192" s="1" t="n">
        <v>45357</v>
      </c>
      <c r="D4192" t="inlineStr">
        <is>
          <t>GÄVLEBORGS LÄN</t>
        </is>
      </c>
      <c r="E4192" t="inlineStr">
        <is>
          <t>LJUSDAL</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56416-2021</t>
        </is>
      </c>
      <c r="B4193" s="1" t="n">
        <v>44480</v>
      </c>
      <c r="C4193" s="1" t="n">
        <v>45357</v>
      </c>
      <c r="D4193" t="inlineStr">
        <is>
          <t>GÄVLEBORGS LÄN</t>
        </is>
      </c>
      <c r="E4193" t="inlineStr">
        <is>
          <t>BOLLNÄS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56481-2021</t>
        </is>
      </c>
      <c r="B4194" s="1" t="n">
        <v>44480</v>
      </c>
      <c r="C4194" s="1" t="n">
        <v>45357</v>
      </c>
      <c r="D4194" t="inlineStr">
        <is>
          <t>GÄVLEBORGS LÄN</t>
        </is>
      </c>
      <c r="E4194" t="inlineStr">
        <is>
          <t>BOLLNÄS</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56576-2021</t>
        </is>
      </c>
      <c r="B4195" s="1" t="n">
        <v>44480</v>
      </c>
      <c r="C4195" s="1" t="n">
        <v>45357</v>
      </c>
      <c r="D4195" t="inlineStr">
        <is>
          <t>GÄVLEBORGS LÄN</t>
        </is>
      </c>
      <c r="E4195" t="inlineStr">
        <is>
          <t>HUDIKSVALL</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56635-2021</t>
        </is>
      </c>
      <c r="B4196" s="1" t="n">
        <v>44480</v>
      </c>
      <c r="C4196" s="1" t="n">
        <v>45357</v>
      </c>
      <c r="D4196" t="inlineStr">
        <is>
          <t>GÄVLEBORGS LÄN</t>
        </is>
      </c>
      <c r="E4196" t="inlineStr">
        <is>
          <t>OCKELBO</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56686-2021</t>
        </is>
      </c>
      <c r="B4197" s="1" t="n">
        <v>44481</v>
      </c>
      <c r="C4197" s="1" t="n">
        <v>45357</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56846-2021</t>
        </is>
      </c>
      <c r="B4198" s="1" t="n">
        <v>44481</v>
      </c>
      <c r="C4198" s="1" t="n">
        <v>45357</v>
      </c>
      <c r="D4198" t="inlineStr">
        <is>
          <t>GÄVLEBORGS LÄN</t>
        </is>
      </c>
      <c r="E4198" t="inlineStr">
        <is>
          <t>LJUSDAL</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56787-2021</t>
        </is>
      </c>
      <c r="B4199" s="1" t="n">
        <v>44481</v>
      </c>
      <c r="C4199" s="1" t="n">
        <v>45357</v>
      </c>
      <c r="D4199" t="inlineStr">
        <is>
          <t>GÄVLEBORGS LÄN</t>
        </is>
      </c>
      <c r="E4199" t="inlineStr">
        <is>
          <t>LJUSDAL</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56734-2021</t>
        </is>
      </c>
      <c r="B4200" s="1" t="n">
        <v>44481</v>
      </c>
      <c r="C4200" s="1" t="n">
        <v>45357</v>
      </c>
      <c r="D4200" t="inlineStr">
        <is>
          <t>GÄVLEBORGS LÄN</t>
        </is>
      </c>
      <c r="E4200" t="inlineStr">
        <is>
          <t>SANDVIKEN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56985-2021</t>
        </is>
      </c>
      <c r="B4201" s="1" t="n">
        <v>44482</v>
      </c>
      <c r="C4201" s="1" t="n">
        <v>45357</v>
      </c>
      <c r="D4201" t="inlineStr">
        <is>
          <t>GÄVLEBORGS LÄN</t>
        </is>
      </c>
      <c r="E4201" t="inlineStr">
        <is>
          <t>LJUSDAL</t>
        </is>
      </c>
      <c r="F4201" t="inlineStr">
        <is>
          <t>Holmen skog AB</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57072-2021</t>
        </is>
      </c>
      <c r="B4202" s="1" t="n">
        <v>44482</v>
      </c>
      <c r="C4202" s="1" t="n">
        <v>45357</v>
      </c>
      <c r="D4202" t="inlineStr">
        <is>
          <t>GÄVLEBORGS LÄN</t>
        </is>
      </c>
      <c r="E4202" t="inlineStr">
        <is>
          <t>LJUSDAL</t>
        </is>
      </c>
      <c r="F4202" t="inlineStr">
        <is>
          <t>Holmen skog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56992-2021</t>
        </is>
      </c>
      <c r="B4203" s="1" t="n">
        <v>44482</v>
      </c>
      <c r="C4203" s="1" t="n">
        <v>45357</v>
      </c>
      <c r="D4203" t="inlineStr">
        <is>
          <t>GÄVLEBORGS LÄN</t>
        </is>
      </c>
      <c r="E4203" t="inlineStr">
        <is>
          <t>NORDANSTIG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57029-2021</t>
        </is>
      </c>
      <c r="B4204" s="1" t="n">
        <v>44482</v>
      </c>
      <c r="C4204" s="1" t="n">
        <v>45357</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57121-2021</t>
        </is>
      </c>
      <c r="B4205" s="1" t="n">
        <v>44482</v>
      </c>
      <c r="C4205" s="1" t="n">
        <v>45357</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57123-2021</t>
        </is>
      </c>
      <c r="B4206" s="1" t="n">
        <v>44482</v>
      </c>
      <c r="C4206" s="1" t="n">
        <v>45357</v>
      </c>
      <c r="D4206" t="inlineStr">
        <is>
          <t>GÄVLEBORGS LÄN</t>
        </is>
      </c>
      <c r="E4206" t="inlineStr">
        <is>
          <t>LJUSDAL</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57124-2021</t>
        </is>
      </c>
      <c r="B4207" s="1" t="n">
        <v>44482</v>
      </c>
      <c r="C4207" s="1" t="n">
        <v>45357</v>
      </c>
      <c r="D4207" t="inlineStr">
        <is>
          <t>GÄVLEBORGS LÄN</t>
        </is>
      </c>
      <c r="E4207" t="inlineStr">
        <is>
          <t>OVANÅKER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57369-2021</t>
        </is>
      </c>
      <c r="B4208" s="1" t="n">
        <v>44483</v>
      </c>
      <c r="C4208" s="1" t="n">
        <v>45357</v>
      </c>
      <c r="D4208" t="inlineStr">
        <is>
          <t>GÄVLEBORGS LÄN</t>
        </is>
      </c>
      <c r="E4208" t="inlineStr">
        <is>
          <t>HUDIKSVALL</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57333-2021</t>
        </is>
      </c>
      <c r="B4209" s="1" t="n">
        <v>44483</v>
      </c>
      <c r="C4209" s="1" t="n">
        <v>45357</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57344-2021</t>
        </is>
      </c>
      <c r="B4210" s="1" t="n">
        <v>44483</v>
      </c>
      <c r="C4210" s="1" t="n">
        <v>45357</v>
      </c>
      <c r="D4210" t="inlineStr">
        <is>
          <t>GÄVLEBORGS LÄN</t>
        </is>
      </c>
      <c r="E4210" t="inlineStr">
        <is>
          <t>LJUSDAL</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57337-2021</t>
        </is>
      </c>
      <c r="B4211" s="1" t="n">
        <v>44483</v>
      </c>
      <c r="C4211" s="1" t="n">
        <v>45357</v>
      </c>
      <c r="D4211" t="inlineStr">
        <is>
          <t>GÄVLEBORGS LÄN</t>
        </is>
      </c>
      <c r="E4211" t="inlineStr">
        <is>
          <t>BOLLNÄS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57399-2021</t>
        </is>
      </c>
      <c r="B4212" s="1" t="n">
        <v>44483</v>
      </c>
      <c r="C4212" s="1" t="n">
        <v>45357</v>
      </c>
      <c r="D4212" t="inlineStr">
        <is>
          <t>GÄVLEBORGS LÄN</t>
        </is>
      </c>
      <c r="E4212" t="inlineStr">
        <is>
          <t>SÖDERHAMN</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57458-2021</t>
        </is>
      </c>
      <c r="B4213" s="1" t="n">
        <v>44483</v>
      </c>
      <c r="C4213" s="1" t="n">
        <v>45357</v>
      </c>
      <c r="D4213" t="inlineStr">
        <is>
          <t>GÄVLEBORGS LÄN</t>
        </is>
      </c>
      <c r="E4213" t="inlineStr">
        <is>
          <t>LJUSDAL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57561-2021</t>
        </is>
      </c>
      <c r="B4214" s="1" t="n">
        <v>44483</v>
      </c>
      <c r="C4214" s="1" t="n">
        <v>45357</v>
      </c>
      <c r="D4214" t="inlineStr">
        <is>
          <t>GÄVLEBORGS LÄN</t>
        </is>
      </c>
      <c r="E4214" t="inlineStr">
        <is>
          <t>LJUSDAL</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57570-2021</t>
        </is>
      </c>
      <c r="B4215" s="1" t="n">
        <v>44484</v>
      </c>
      <c r="C4215" s="1" t="n">
        <v>45357</v>
      </c>
      <c r="D4215" t="inlineStr">
        <is>
          <t>GÄVLEBORGS LÄN</t>
        </is>
      </c>
      <c r="E4215" t="inlineStr">
        <is>
          <t>BOLLNÄS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57595-2021</t>
        </is>
      </c>
      <c r="B4216" s="1" t="n">
        <v>44484</v>
      </c>
      <c r="C4216" s="1" t="n">
        <v>45357</v>
      </c>
      <c r="D4216" t="inlineStr">
        <is>
          <t>GÄVLEBORGS LÄN</t>
        </is>
      </c>
      <c r="E4216" t="inlineStr">
        <is>
          <t>SÖDERHAMN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57726-2021</t>
        </is>
      </c>
      <c r="B4217" s="1" t="n">
        <v>44484</v>
      </c>
      <c r="C4217" s="1" t="n">
        <v>45357</v>
      </c>
      <c r="D4217" t="inlineStr">
        <is>
          <t>GÄVLEBORGS LÄN</t>
        </is>
      </c>
      <c r="E4217" t="inlineStr">
        <is>
          <t>LJUSDAL</t>
        </is>
      </c>
      <c r="F4217" t="inlineStr">
        <is>
          <t>Sveaskog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57658-2021</t>
        </is>
      </c>
      <c r="B4218" s="1" t="n">
        <v>44484</v>
      </c>
      <c r="C4218" s="1" t="n">
        <v>45357</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57576-2021</t>
        </is>
      </c>
      <c r="B4219" s="1" t="n">
        <v>44484</v>
      </c>
      <c r="C4219" s="1" t="n">
        <v>45357</v>
      </c>
      <c r="D4219" t="inlineStr">
        <is>
          <t>GÄVLEBORGS LÄN</t>
        </is>
      </c>
      <c r="E4219" t="inlineStr">
        <is>
          <t>HUDIKSVALL</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57609-2021</t>
        </is>
      </c>
      <c r="B4220" s="1" t="n">
        <v>44484</v>
      </c>
      <c r="C4220" s="1" t="n">
        <v>45357</v>
      </c>
      <c r="D4220" t="inlineStr">
        <is>
          <t>GÄVLEBORGS LÄN</t>
        </is>
      </c>
      <c r="E4220" t="inlineStr">
        <is>
          <t>NORDANSTIG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57624-2021</t>
        </is>
      </c>
      <c r="B4221" s="1" t="n">
        <v>44484</v>
      </c>
      <c r="C4221" s="1" t="n">
        <v>45357</v>
      </c>
      <c r="D4221" t="inlineStr">
        <is>
          <t>GÄVLEBORGS LÄN</t>
        </is>
      </c>
      <c r="E4221" t="inlineStr">
        <is>
          <t>NORDANSTIG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57638-2021</t>
        </is>
      </c>
      <c r="B4222" s="1" t="n">
        <v>44484</v>
      </c>
      <c r="C4222" s="1" t="n">
        <v>45357</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57632-2021</t>
        </is>
      </c>
      <c r="B4223" s="1" t="n">
        <v>44484</v>
      </c>
      <c r="C4223" s="1" t="n">
        <v>45357</v>
      </c>
      <c r="D4223" t="inlineStr">
        <is>
          <t>GÄVLEBORGS LÄN</t>
        </is>
      </c>
      <c r="E4223" t="inlineStr">
        <is>
          <t>HOFORS</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57798-2021</t>
        </is>
      </c>
      <c r="B4224" s="1" t="n">
        <v>44484</v>
      </c>
      <c r="C4224" s="1" t="n">
        <v>45357</v>
      </c>
      <c r="D4224" t="inlineStr">
        <is>
          <t>GÄVLEBORGS LÄN</t>
        </is>
      </c>
      <c r="E4224" t="inlineStr">
        <is>
          <t>OVANÅKER</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58198-2021</t>
        </is>
      </c>
      <c r="B4225" s="1" t="n">
        <v>44487</v>
      </c>
      <c r="C4225" s="1" t="n">
        <v>45357</v>
      </c>
      <c r="D4225" t="inlineStr">
        <is>
          <t>GÄVLEBORGS LÄN</t>
        </is>
      </c>
      <c r="E4225" t="inlineStr">
        <is>
          <t>SÖDERHAMN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58112-2021</t>
        </is>
      </c>
      <c r="B4226" s="1" t="n">
        <v>44487</v>
      </c>
      <c r="C4226" s="1" t="n">
        <v>45357</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58240-2021</t>
        </is>
      </c>
      <c r="B4227" s="1" t="n">
        <v>44487</v>
      </c>
      <c r="C4227" s="1" t="n">
        <v>45357</v>
      </c>
      <c r="D4227" t="inlineStr">
        <is>
          <t>GÄVLEBORGS LÄN</t>
        </is>
      </c>
      <c r="E4227" t="inlineStr">
        <is>
          <t>HOFORS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58356-2021</t>
        </is>
      </c>
      <c r="B4228" s="1" t="n">
        <v>44488</v>
      </c>
      <c r="C4228" s="1" t="n">
        <v>45357</v>
      </c>
      <c r="D4228" t="inlineStr">
        <is>
          <t>GÄVLEBORGS LÄN</t>
        </is>
      </c>
      <c r="E4228" t="inlineStr">
        <is>
          <t>OCKELBO</t>
        </is>
      </c>
      <c r="F4228" t="inlineStr">
        <is>
          <t>Bergvik skog väst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58397-2021</t>
        </is>
      </c>
      <c r="B4229" s="1" t="n">
        <v>44488</v>
      </c>
      <c r="C4229" s="1" t="n">
        <v>45357</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58374-2021</t>
        </is>
      </c>
      <c r="B4230" s="1" t="n">
        <v>44488</v>
      </c>
      <c r="C4230" s="1" t="n">
        <v>45357</v>
      </c>
      <c r="D4230" t="inlineStr">
        <is>
          <t>GÄVLEBORGS LÄN</t>
        </is>
      </c>
      <c r="E4230" t="inlineStr">
        <is>
          <t>OCKELBO</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58385-2021</t>
        </is>
      </c>
      <c r="B4231" s="1" t="n">
        <v>44488</v>
      </c>
      <c r="C4231" s="1" t="n">
        <v>45357</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58434-2021</t>
        </is>
      </c>
      <c r="B4232" s="1" t="n">
        <v>44488</v>
      </c>
      <c r="C4232" s="1" t="n">
        <v>45357</v>
      </c>
      <c r="D4232" t="inlineStr">
        <is>
          <t>GÄVLEBORGS LÄN</t>
        </is>
      </c>
      <c r="E4232" t="inlineStr">
        <is>
          <t>BOLLNÄS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58449-2021</t>
        </is>
      </c>
      <c r="B4233" s="1" t="n">
        <v>44488</v>
      </c>
      <c r="C4233" s="1" t="n">
        <v>45357</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58515-2021</t>
        </is>
      </c>
      <c r="B4234" s="1" t="n">
        <v>44488</v>
      </c>
      <c r="C4234" s="1" t="n">
        <v>45357</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58431-2021</t>
        </is>
      </c>
      <c r="B4235" s="1" t="n">
        <v>44488</v>
      </c>
      <c r="C4235" s="1" t="n">
        <v>45357</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58445-2021</t>
        </is>
      </c>
      <c r="B4236" s="1" t="n">
        <v>44488</v>
      </c>
      <c r="C4236" s="1" t="n">
        <v>45357</v>
      </c>
      <c r="D4236" t="inlineStr">
        <is>
          <t>GÄVLEBORGS LÄN</t>
        </is>
      </c>
      <c r="E4236" t="inlineStr">
        <is>
          <t>GÄVLE</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58523-2021</t>
        </is>
      </c>
      <c r="B4237" s="1" t="n">
        <v>44488</v>
      </c>
      <c r="C4237" s="1" t="n">
        <v>45357</v>
      </c>
      <c r="D4237" t="inlineStr">
        <is>
          <t>GÄVLEBORGS LÄN</t>
        </is>
      </c>
      <c r="E4237" t="inlineStr">
        <is>
          <t>BOLLNÄS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58528-2021</t>
        </is>
      </c>
      <c r="B4238" s="1" t="n">
        <v>44488</v>
      </c>
      <c r="C4238" s="1" t="n">
        <v>45357</v>
      </c>
      <c r="D4238" t="inlineStr">
        <is>
          <t>GÄVLEBORGS LÄN</t>
        </is>
      </c>
      <c r="E4238" t="inlineStr">
        <is>
          <t>BOLLNÄS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58648-2021</t>
        </is>
      </c>
      <c r="B4239" s="1" t="n">
        <v>44489</v>
      </c>
      <c r="C4239" s="1" t="n">
        <v>45357</v>
      </c>
      <c r="D4239" t="inlineStr">
        <is>
          <t>GÄVLEBORGS LÄN</t>
        </is>
      </c>
      <c r="E4239" t="inlineStr">
        <is>
          <t>LJUSDAL</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58787-2021</t>
        </is>
      </c>
      <c r="B4240" s="1" t="n">
        <v>44489</v>
      </c>
      <c r="C4240" s="1" t="n">
        <v>45357</v>
      </c>
      <c r="D4240" t="inlineStr">
        <is>
          <t>GÄVLEBORGS LÄN</t>
        </is>
      </c>
      <c r="E4240" t="inlineStr">
        <is>
          <t>HOFORS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58731-2021</t>
        </is>
      </c>
      <c r="B4241" s="1" t="n">
        <v>44489</v>
      </c>
      <c r="C4241" s="1" t="n">
        <v>45357</v>
      </c>
      <c r="D4241" t="inlineStr">
        <is>
          <t>GÄVLEBORGS LÄN</t>
        </is>
      </c>
      <c r="E4241" t="inlineStr">
        <is>
          <t>LJUSDAL</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58624-2021</t>
        </is>
      </c>
      <c r="B4242" s="1" t="n">
        <v>44489</v>
      </c>
      <c r="C4242" s="1" t="n">
        <v>45357</v>
      </c>
      <c r="D4242" t="inlineStr">
        <is>
          <t>GÄVLEBORGS LÄN</t>
        </is>
      </c>
      <c r="E4242" t="inlineStr">
        <is>
          <t>LJUSDAL</t>
        </is>
      </c>
      <c r="F4242" t="inlineStr">
        <is>
          <t>Holmen skog AB</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58874-2021</t>
        </is>
      </c>
      <c r="B4243" s="1" t="n">
        <v>44489</v>
      </c>
      <c r="C4243" s="1" t="n">
        <v>45357</v>
      </c>
      <c r="D4243" t="inlineStr">
        <is>
          <t>GÄVLEBORGS LÄN</t>
        </is>
      </c>
      <c r="E4243" t="inlineStr">
        <is>
          <t>LJUSDAL</t>
        </is>
      </c>
      <c r="F4243" t="inlineStr">
        <is>
          <t>Holmen skog AB</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58891-2021</t>
        </is>
      </c>
      <c r="B4244" s="1" t="n">
        <v>44489</v>
      </c>
      <c r="C4244" s="1" t="n">
        <v>45357</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58720-2021</t>
        </is>
      </c>
      <c r="B4245" s="1" t="n">
        <v>44489</v>
      </c>
      <c r="C4245" s="1" t="n">
        <v>45357</v>
      </c>
      <c r="D4245" t="inlineStr">
        <is>
          <t>GÄVLEBORGS LÄN</t>
        </is>
      </c>
      <c r="E4245" t="inlineStr">
        <is>
          <t>BOLLNÄS</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58753-2021</t>
        </is>
      </c>
      <c r="B4246" s="1" t="n">
        <v>44489</v>
      </c>
      <c r="C4246" s="1" t="n">
        <v>45357</v>
      </c>
      <c r="D4246" t="inlineStr">
        <is>
          <t>GÄVLEBORGS LÄN</t>
        </is>
      </c>
      <c r="E4246" t="inlineStr">
        <is>
          <t>BOLLNÄS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58817-2021</t>
        </is>
      </c>
      <c r="B4247" s="1" t="n">
        <v>44489</v>
      </c>
      <c r="C4247" s="1" t="n">
        <v>45357</v>
      </c>
      <c r="D4247" t="inlineStr">
        <is>
          <t>GÄVLEBORGS LÄN</t>
        </is>
      </c>
      <c r="E4247" t="inlineStr">
        <is>
          <t>OVANÅKER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59061-2021</t>
        </is>
      </c>
      <c r="B4248" s="1" t="n">
        <v>44490</v>
      </c>
      <c r="C4248" s="1" t="n">
        <v>45357</v>
      </c>
      <c r="D4248" t="inlineStr">
        <is>
          <t>GÄVLEBORGS LÄN</t>
        </is>
      </c>
      <c r="E4248" t="inlineStr">
        <is>
          <t>GÄVLE</t>
        </is>
      </c>
      <c r="F4248" t="inlineStr">
        <is>
          <t>Kyrkan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59085-2021</t>
        </is>
      </c>
      <c r="B4249" s="1" t="n">
        <v>44490</v>
      </c>
      <c r="C4249" s="1" t="n">
        <v>45357</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59129-2021</t>
        </is>
      </c>
      <c r="B4250" s="1" t="n">
        <v>44490</v>
      </c>
      <c r="C4250" s="1" t="n">
        <v>45357</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59216-2021</t>
        </is>
      </c>
      <c r="B4251" s="1" t="n">
        <v>44490</v>
      </c>
      <c r="C4251" s="1" t="n">
        <v>45357</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59214-2021</t>
        </is>
      </c>
      <c r="B4252" s="1" t="n">
        <v>44490</v>
      </c>
      <c r="C4252" s="1" t="n">
        <v>45357</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59211-2021</t>
        </is>
      </c>
      <c r="B4253" s="1" t="n">
        <v>44490</v>
      </c>
      <c r="C4253" s="1" t="n">
        <v>45357</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59267-2021</t>
        </is>
      </c>
      <c r="B4254" s="1" t="n">
        <v>44490</v>
      </c>
      <c r="C4254" s="1" t="n">
        <v>45357</v>
      </c>
      <c r="D4254" t="inlineStr">
        <is>
          <t>GÄVLEBORGS LÄN</t>
        </is>
      </c>
      <c r="E4254" t="inlineStr">
        <is>
          <t>NORDANSTIG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59270-2021</t>
        </is>
      </c>
      <c r="B4255" s="1" t="n">
        <v>44490</v>
      </c>
      <c r="C4255" s="1" t="n">
        <v>45357</v>
      </c>
      <c r="D4255" t="inlineStr">
        <is>
          <t>GÄVLEBORGS LÄN</t>
        </is>
      </c>
      <c r="E4255" t="inlineStr">
        <is>
          <t>NORDANSTIG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59442-2021</t>
        </is>
      </c>
      <c r="B4256" s="1" t="n">
        <v>44491</v>
      </c>
      <c r="C4256" s="1" t="n">
        <v>45357</v>
      </c>
      <c r="D4256" t="inlineStr">
        <is>
          <t>GÄVLEBORGS LÄN</t>
        </is>
      </c>
      <c r="E4256" t="inlineStr">
        <is>
          <t>OVANÅKER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59513-2021</t>
        </is>
      </c>
      <c r="B4257" s="1" t="n">
        <v>44491</v>
      </c>
      <c r="C4257" s="1" t="n">
        <v>45357</v>
      </c>
      <c r="D4257" t="inlineStr">
        <is>
          <t>GÄVLEBORGS LÄN</t>
        </is>
      </c>
      <c r="E4257" t="inlineStr">
        <is>
          <t>HUDIKSVALL</t>
        </is>
      </c>
      <c r="F4257" t="inlineStr">
        <is>
          <t>Holmen skog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59611-2021</t>
        </is>
      </c>
      <c r="B4258" s="1" t="n">
        <v>44491</v>
      </c>
      <c r="C4258" s="1" t="n">
        <v>45357</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59515-2021</t>
        </is>
      </c>
      <c r="B4259" s="1" t="n">
        <v>44491</v>
      </c>
      <c r="C4259" s="1" t="n">
        <v>45357</v>
      </c>
      <c r="D4259" t="inlineStr">
        <is>
          <t>GÄVLEBORGS LÄN</t>
        </is>
      </c>
      <c r="E4259" t="inlineStr">
        <is>
          <t>GÄVLE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59582-2021</t>
        </is>
      </c>
      <c r="B4260" s="1" t="n">
        <v>44491</v>
      </c>
      <c r="C4260" s="1" t="n">
        <v>45357</v>
      </c>
      <c r="D4260" t="inlineStr">
        <is>
          <t>GÄVLEBORGS LÄN</t>
        </is>
      </c>
      <c r="E4260" t="inlineStr">
        <is>
          <t>GÄVLE</t>
        </is>
      </c>
      <c r="F4260" t="inlineStr">
        <is>
          <t>Bergvik skog öst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59583-2021</t>
        </is>
      </c>
      <c r="B4261" s="1" t="n">
        <v>44491</v>
      </c>
      <c r="C4261" s="1" t="n">
        <v>45357</v>
      </c>
      <c r="D4261" t="inlineStr">
        <is>
          <t>GÄVLEBORGS LÄN</t>
        </is>
      </c>
      <c r="E4261" t="inlineStr">
        <is>
          <t>NORDANSTIG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59593-2021</t>
        </is>
      </c>
      <c r="B4262" s="1" t="n">
        <v>44491</v>
      </c>
      <c r="C4262" s="1" t="n">
        <v>45357</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59629-2021</t>
        </is>
      </c>
      <c r="B4263" s="1" t="n">
        <v>44492</v>
      </c>
      <c r="C4263" s="1" t="n">
        <v>45357</v>
      </c>
      <c r="D4263" t="inlineStr">
        <is>
          <t>GÄVLEBORGS LÄN</t>
        </is>
      </c>
      <c r="E4263" t="inlineStr">
        <is>
          <t>OCKELBO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59718-2021</t>
        </is>
      </c>
      <c r="B4264" s="1" t="n">
        <v>44494</v>
      </c>
      <c r="C4264" s="1" t="n">
        <v>45357</v>
      </c>
      <c r="D4264" t="inlineStr">
        <is>
          <t>GÄVLEBORGS LÄN</t>
        </is>
      </c>
      <c r="E4264" t="inlineStr">
        <is>
          <t>OVANÅKER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59810-2021</t>
        </is>
      </c>
      <c r="B4265" s="1" t="n">
        <v>44494</v>
      </c>
      <c r="C4265" s="1" t="n">
        <v>45357</v>
      </c>
      <c r="D4265" t="inlineStr">
        <is>
          <t>GÄVLEBORGS LÄN</t>
        </is>
      </c>
      <c r="E4265" t="inlineStr">
        <is>
          <t>GÄVLE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60127-2021</t>
        </is>
      </c>
      <c r="B4266" s="1" t="n">
        <v>44495</v>
      </c>
      <c r="C4266" s="1" t="n">
        <v>45357</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60040-2021</t>
        </is>
      </c>
      <c r="B4267" s="1" t="n">
        <v>44495</v>
      </c>
      <c r="C4267" s="1" t="n">
        <v>45357</v>
      </c>
      <c r="D4267" t="inlineStr">
        <is>
          <t>GÄVLEBORGS LÄN</t>
        </is>
      </c>
      <c r="E4267" t="inlineStr">
        <is>
          <t>HUDIKSVALL</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60149-2021</t>
        </is>
      </c>
      <c r="B4268" s="1" t="n">
        <v>44495</v>
      </c>
      <c r="C4268" s="1" t="n">
        <v>45357</v>
      </c>
      <c r="D4268" t="inlineStr">
        <is>
          <t>GÄVLEBORGS LÄN</t>
        </is>
      </c>
      <c r="E4268" t="inlineStr">
        <is>
          <t>BOLLNÄS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60346-2021</t>
        </is>
      </c>
      <c r="B4269" s="1" t="n">
        <v>44496</v>
      </c>
      <c r="C4269" s="1" t="n">
        <v>45357</v>
      </c>
      <c r="D4269" t="inlineStr">
        <is>
          <t>GÄVLEBORGS LÄN</t>
        </is>
      </c>
      <c r="E4269" t="inlineStr">
        <is>
          <t>LJUSDAL</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60476-2021</t>
        </is>
      </c>
      <c r="B4270" s="1" t="n">
        <v>44496</v>
      </c>
      <c r="C4270" s="1" t="n">
        <v>45357</v>
      </c>
      <c r="D4270" t="inlineStr">
        <is>
          <t>GÄVLEBORGS LÄN</t>
        </is>
      </c>
      <c r="E4270" t="inlineStr">
        <is>
          <t>GÄVLE</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60481-2021</t>
        </is>
      </c>
      <c r="B4271" s="1" t="n">
        <v>44496</v>
      </c>
      <c r="C4271" s="1" t="n">
        <v>45357</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60347-2021</t>
        </is>
      </c>
      <c r="B4272" s="1" t="n">
        <v>44496</v>
      </c>
      <c r="C4272" s="1" t="n">
        <v>45357</v>
      </c>
      <c r="D4272" t="inlineStr">
        <is>
          <t>GÄVLEBORGS LÄN</t>
        </is>
      </c>
      <c r="E4272" t="inlineStr">
        <is>
          <t>BOLLNÄS</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60569-2021</t>
        </is>
      </c>
      <c r="B4273" s="1" t="n">
        <v>44496</v>
      </c>
      <c r="C4273" s="1" t="n">
        <v>45357</v>
      </c>
      <c r="D4273" t="inlineStr">
        <is>
          <t>GÄVLEBORGS LÄN</t>
        </is>
      </c>
      <c r="E4273" t="inlineStr">
        <is>
          <t>LJUSDAL</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60497-2021</t>
        </is>
      </c>
      <c r="B4274" s="1" t="n">
        <v>44496</v>
      </c>
      <c r="C4274" s="1" t="n">
        <v>45357</v>
      </c>
      <c r="D4274" t="inlineStr">
        <is>
          <t>GÄVLEBORGS LÄN</t>
        </is>
      </c>
      <c r="E4274" t="inlineStr">
        <is>
          <t>OCKELBO</t>
        </is>
      </c>
      <c r="F4274" t="inlineStr">
        <is>
          <t>Bergvik skog väst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60626-2021</t>
        </is>
      </c>
      <c r="B4275" s="1" t="n">
        <v>44496</v>
      </c>
      <c r="C4275" s="1" t="n">
        <v>45357</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60405-2021</t>
        </is>
      </c>
      <c r="B4276" s="1" t="n">
        <v>44496</v>
      </c>
      <c r="C4276" s="1" t="n">
        <v>45357</v>
      </c>
      <c r="D4276" t="inlineStr">
        <is>
          <t>GÄVLEBORGS LÄN</t>
        </is>
      </c>
      <c r="E4276" t="inlineStr">
        <is>
          <t>SANDVIKEN</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60574-2021</t>
        </is>
      </c>
      <c r="B4277" s="1" t="n">
        <v>44496</v>
      </c>
      <c r="C4277" s="1" t="n">
        <v>45357</v>
      </c>
      <c r="D4277" t="inlineStr">
        <is>
          <t>GÄVLEBORGS LÄN</t>
        </is>
      </c>
      <c r="E4277" t="inlineStr">
        <is>
          <t>OCKELBO</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60689-2021</t>
        </is>
      </c>
      <c r="B4278" s="1" t="n">
        <v>44496</v>
      </c>
      <c r="C4278" s="1" t="n">
        <v>45357</v>
      </c>
      <c r="D4278" t="inlineStr">
        <is>
          <t>GÄVLEBORGS LÄN</t>
        </is>
      </c>
      <c r="E4278" t="inlineStr">
        <is>
          <t>LJUSDAL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60755-2021</t>
        </is>
      </c>
      <c r="B4279" s="1" t="n">
        <v>44496</v>
      </c>
      <c r="C4279" s="1" t="n">
        <v>45357</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60768-2021</t>
        </is>
      </c>
      <c r="B4280" s="1" t="n">
        <v>44497</v>
      </c>
      <c r="C4280" s="1" t="n">
        <v>45357</v>
      </c>
      <c r="D4280" t="inlineStr">
        <is>
          <t>GÄVLEBORGS LÄN</t>
        </is>
      </c>
      <c r="E4280" t="inlineStr">
        <is>
          <t>LJUSDAL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60999-2021</t>
        </is>
      </c>
      <c r="B4281" s="1" t="n">
        <v>44497</v>
      </c>
      <c r="C4281" s="1" t="n">
        <v>45357</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61012-2021</t>
        </is>
      </c>
      <c r="B4282" s="1" t="n">
        <v>44497</v>
      </c>
      <c r="C4282" s="1" t="n">
        <v>45357</v>
      </c>
      <c r="D4282" t="inlineStr">
        <is>
          <t>GÄVLEBORGS LÄN</t>
        </is>
      </c>
      <c r="E4282" t="inlineStr">
        <is>
          <t>LJUSDAL</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61010-2021</t>
        </is>
      </c>
      <c r="B4283" s="1" t="n">
        <v>44497</v>
      </c>
      <c r="C4283" s="1" t="n">
        <v>45357</v>
      </c>
      <c r="D4283" t="inlineStr">
        <is>
          <t>GÄVLEBORGS LÄN</t>
        </is>
      </c>
      <c r="E4283" t="inlineStr">
        <is>
          <t>LJUSDAL</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61164-2021</t>
        </is>
      </c>
      <c r="B4284" s="1" t="n">
        <v>44497</v>
      </c>
      <c r="C4284" s="1" t="n">
        <v>45357</v>
      </c>
      <c r="D4284" t="inlineStr">
        <is>
          <t>GÄVLEBORGS LÄN</t>
        </is>
      </c>
      <c r="E4284" t="inlineStr">
        <is>
          <t>LJUSDAL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60902-2021</t>
        </is>
      </c>
      <c r="B4285" s="1" t="n">
        <v>44497</v>
      </c>
      <c r="C4285" s="1" t="n">
        <v>45357</v>
      </c>
      <c r="D4285" t="inlineStr">
        <is>
          <t>GÄVLEBORGS LÄN</t>
        </is>
      </c>
      <c r="E4285" t="inlineStr">
        <is>
          <t>LJUSDAL</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61020-2021</t>
        </is>
      </c>
      <c r="B4286" s="1" t="n">
        <v>44497</v>
      </c>
      <c r="C4286" s="1" t="n">
        <v>45357</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61062-2021</t>
        </is>
      </c>
      <c r="B4287" s="1" t="n">
        <v>44497</v>
      </c>
      <c r="C4287" s="1" t="n">
        <v>45357</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61162-2021</t>
        </is>
      </c>
      <c r="B4288" s="1" t="n">
        <v>44497</v>
      </c>
      <c r="C4288" s="1" t="n">
        <v>45357</v>
      </c>
      <c r="D4288" t="inlineStr">
        <is>
          <t>GÄVLEBORGS LÄN</t>
        </is>
      </c>
      <c r="E4288" t="inlineStr">
        <is>
          <t>LJUSDAL</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60968-2021</t>
        </is>
      </c>
      <c r="B4289" s="1" t="n">
        <v>44497</v>
      </c>
      <c r="C4289" s="1" t="n">
        <v>45357</v>
      </c>
      <c r="D4289" t="inlineStr">
        <is>
          <t>GÄVLEBORGS LÄN</t>
        </is>
      </c>
      <c r="E4289" t="inlineStr">
        <is>
          <t>NORDANSTIG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61222-2021</t>
        </is>
      </c>
      <c r="B4290" s="1" t="n">
        <v>44498</v>
      </c>
      <c r="C4290" s="1" t="n">
        <v>45357</v>
      </c>
      <c r="D4290" t="inlineStr">
        <is>
          <t>GÄVLEBORGS LÄN</t>
        </is>
      </c>
      <c r="E4290" t="inlineStr">
        <is>
          <t>GÄVLE</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61351-2021</t>
        </is>
      </c>
      <c r="B4291" s="1" t="n">
        <v>44498</v>
      </c>
      <c r="C4291" s="1" t="n">
        <v>45357</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61352-2021</t>
        </is>
      </c>
      <c r="B4292" s="1" t="n">
        <v>44498</v>
      </c>
      <c r="C4292" s="1" t="n">
        <v>45357</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61502-2021</t>
        </is>
      </c>
      <c r="B4293" s="1" t="n">
        <v>44498</v>
      </c>
      <c r="C4293" s="1" t="n">
        <v>45357</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61670-2021</t>
        </is>
      </c>
      <c r="B4294" s="1" t="n">
        <v>44501</v>
      </c>
      <c r="C4294" s="1" t="n">
        <v>45357</v>
      </c>
      <c r="D4294" t="inlineStr">
        <is>
          <t>GÄVLEBORGS LÄN</t>
        </is>
      </c>
      <c r="E4294" t="inlineStr">
        <is>
          <t>LJUSDAL</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61622-2021</t>
        </is>
      </c>
      <c r="B4295" s="1" t="n">
        <v>44501</v>
      </c>
      <c r="C4295" s="1" t="n">
        <v>45357</v>
      </c>
      <c r="D4295" t="inlineStr">
        <is>
          <t>GÄVLEBORGS LÄN</t>
        </is>
      </c>
      <c r="E4295" t="inlineStr">
        <is>
          <t>OCKELBO</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61694-2021</t>
        </is>
      </c>
      <c r="B4296" s="1" t="n">
        <v>44501</v>
      </c>
      <c r="C4296" s="1" t="n">
        <v>45357</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61616-2021</t>
        </is>
      </c>
      <c r="B4297" s="1" t="n">
        <v>44501</v>
      </c>
      <c r="C4297" s="1" t="n">
        <v>45357</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61729-2021</t>
        </is>
      </c>
      <c r="B4298" s="1" t="n">
        <v>44501</v>
      </c>
      <c r="C4298" s="1" t="n">
        <v>45357</v>
      </c>
      <c r="D4298" t="inlineStr">
        <is>
          <t>GÄVLEBORGS LÄN</t>
        </is>
      </c>
      <c r="E4298" t="inlineStr">
        <is>
          <t>SANDVIKEN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61777-2021</t>
        </is>
      </c>
      <c r="B4299" s="1" t="n">
        <v>44501</v>
      </c>
      <c r="C4299" s="1" t="n">
        <v>45357</v>
      </c>
      <c r="D4299" t="inlineStr">
        <is>
          <t>GÄVLEBORGS LÄN</t>
        </is>
      </c>
      <c r="E4299" t="inlineStr">
        <is>
          <t>NORDANSTIG</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61687-2021</t>
        </is>
      </c>
      <c r="B4300" s="1" t="n">
        <v>44501</v>
      </c>
      <c r="C4300" s="1" t="n">
        <v>45357</v>
      </c>
      <c r="D4300" t="inlineStr">
        <is>
          <t>GÄVLEBORGS LÄN</t>
        </is>
      </c>
      <c r="E4300" t="inlineStr">
        <is>
          <t>HOFORS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61772-2021</t>
        </is>
      </c>
      <c r="B4301" s="1" t="n">
        <v>44501</v>
      </c>
      <c r="C4301" s="1" t="n">
        <v>45357</v>
      </c>
      <c r="D4301" t="inlineStr">
        <is>
          <t>GÄVLEBORGS LÄN</t>
        </is>
      </c>
      <c r="E4301" t="inlineStr">
        <is>
          <t>NORDANSTIG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62089-2021</t>
        </is>
      </c>
      <c r="B4302" s="1" t="n">
        <v>44502</v>
      </c>
      <c r="C4302" s="1" t="n">
        <v>45357</v>
      </c>
      <c r="D4302" t="inlineStr">
        <is>
          <t>GÄVLEBORGS LÄN</t>
        </is>
      </c>
      <c r="E4302" t="inlineStr">
        <is>
          <t>NORDANSTIG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62111-2021</t>
        </is>
      </c>
      <c r="B4303" s="1" t="n">
        <v>44502</v>
      </c>
      <c r="C4303" s="1" t="n">
        <v>45357</v>
      </c>
      <c r="D4303" t="inlineStr">
        <is>
          <t>GÄVLEBORGS LÄN</t>
        </is>
      </c>
      <c r="E4303" t="inlineStr">
        <is>
          <t>NORDANSTIG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62065-2021</t>
        </is>
      </c>
      <c r="B4304" s="1" t="n">
        <v>44502</v>
      </c>
      <c r="C4304" s="1" t="n">
        <v>45357</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62107-2021</t>
        </is>
      </c>
      <c r="B4305" s="1" t="n">
        <v>44502</v>
      </c>
      <c r="C4305" s="1" t="n">
        <v>45357</v>
      </c>
      <c r="D4305" t="inlineStr">
        <is>
          <t>GÄVLEBORGS LÄN</t>
        </is>
      </c>
      <c r="E4305" t="inlineStr">
        <is>
          <t>BOLLNÄS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62146-2021</t>
        </is>
      </c>
      <c r="B4306" s="1" t="n">
        <v>44502</v>
      </c>
      <c r="C4306" s="1" t="n">
        <v>45357</v>
      </c>
      <c r="D4306" t="inlineStr">
        <is>
          <t>GÄVLEBORGS LÄN</t>
        </is>
      </c>
      <c r="E4306" t="inlineStr">
        <is>
          <t>LJUSDAL</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62192-2021</t>
        </is>
      </c>
      <c r="B4307" s="1" t="n">
        <v>44502</v>
      </c>
      <c r="C4307" s="1" t="n">
        <v>45357</v>
      </c>
      <c r="D4307" t="inlineStr">
        <is>
          <t>GÄVLEBORGS LÄN</t>
        </is>
      </c>
      <c r="E4307" t="inlineStr">
        <is>
          <t>GÄVLE</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62250-2021</t>
        </is>
      </c>
      <c r="B4308" s="1" t="n">
        <v>44503</v>
      </c>
      <c r="C4308" s="1" t="n">
        <v>45357</v>
      </c>
      <c r="D4308" t="inlineStr">
        <is>
          <t>GÄVLEBORGS LÄN</t>
        </is>
      </c>
      <c r="E4308" t="inlineStr">
        <is>
          <t>BOLLNÄS</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62424-2021</t>
        </is>
      </c>
      <c r="B4309" s="1" t="n">
        <v>44503</v>
      </c>
      <c r="C4309" s="1" t="n">
        <v>45357</v>
      </c>
      <c r="D4309" t="inlineStr">
        <is>
          <t>GÄVLEBORGS LÄN</t>
        </is>
      </c>
      <c r="E4309" t="inlineStr">
        <is>
          <t>LJUSDAL</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62256-2021</t>
        </is>
      </c>
      <c r="B4310" s="1" t="n">
        <v>44503</v>
      </c>
      <c r="C4310" s="1" t="n">
        <v>45357</v>
      </c>
      <c r="D4310" t="inlineStr">
        <is>
          <t>GÄVLEBORGS LÄN</t>
        </is>
      </c>
      <c r="E4310" t="inlineStr">
        <is>
          <t>LJUSDAL</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62522-2021</t>
        </is>
      </c>
      <c r="B4311" s="1" t="n">
        <v>44503</v>
      </c>
      <c r="C4311" s="1" t="n">
        <v>45357</v>
      </c>
      <c r="D4311" t="inlineStr">
        <is>
          <t>GÄVLEBORGS LÄN</t>
        </is>
      </c>
      <c r="E4311" t="inlineStr">
        <is>
          <t>HUDIKSVALL</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62583-2021</t>
        </is>
      </c>
      <c r="B4312" s="1" t="n">
        <v>44503</v>
      </c>
      <c r="C4312" s="1" t="n">
        <v>45357</v>
      </c>
      <c r="D4312" t="inlineStr">
        <is>
          <t>GÄVLEBORGS LÄN</t>
        </is>
      </c>
      <c r="E4312" t="inlineStr">
        <is>
          <t>LJUSDAL</t>
        </is>
      </c>
      <c r="F4312" t="inlineStr">
        <is>
          <t>Holmen skog AB</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62450-2021</t>
        </is>
      </c>
      <c r="B4313" s="1" t="n">
        <v>44503</v>
      </c>
      <c r="C4313" s="1" t="n">
        <v>45357</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62321-2021</t>
        </is>
      </c>
      <c r="B4314" s="1" t="n">
        <v>44503</v>
      </c>
      <c r="C4314" s="1" t="n">
        <v>45357</v>
      </c>
      <c r="D4314" t="inlineStr">
        <is>
          <t>GÄVLEBORGS LÄN</t>
        </is>
      </c>
      <c r="E4314" t="inlineStr">
        <is>
          <t>HUDIKSVALL</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62505-2021</t>
        </is>
      </c>
      <c r="B4315" s="1" t="n">
        <v>44503</v>
      </c>
      <c r="C4315" s="1" t="n">
        <v>45357</v>
      </c>
      <c r="D4315" t="inlineStr">
        <is>
          <t>GÄVLEBORGS LÄN</t>
        </is>
      </c>
      <c r="E4315" t="inlineStr">
        <is>
          <t>LJUSDAL</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62595-2021</t>
        </is>
      </c>
      <c r="B4316" s="1" t="n">
        <v>44503</v>
      </c>
      <c r="C4316" s="1" t="n">
        <v>45357</v>
      </c>
      <c r="D4316" t="inlineStr">
        <is>
          <t>GÄVLEBORGS LÄN</t>
        </is>
      </c>
      <c r="E4316" t="inlineStr">
        <is>
          <t>OVANÅKER</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62465-2021</t>
        </is>
      </c>
      <c r="B4317" s="1" t="n">
        <v>44503</v>
      </c>
      <c r="C4317" s="1" t="n">
        <v>45357</v>
      </c>
      <c r="D4317" t="inlineStr">
        <is>
          <t>GÄVLEBORGS LÄN</t>
        </is>
      </c>
      <c r="E4317" t="inlineStr">
        <is>
          <t>NORDANSTIG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62532-2021</t>
        </is>
      </c>
      <c r="B4318" s="1" t="n">
        <v>44503</v>
      </c>
      <c r="C4318" s="1" t="n">
        <v>45357</v>
      </c>
      <c r="D4318" t="inlineStr">
        <is>
          <t>GÄVLEBORGS LÄN</t>
        </is>
      </c>
      <c r="E4318" t="inlineStr">
        <is>
          <t>HUDIKSVALL</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62538-2021</t>
        </is>
      </c>
      <c r="B4319" s="1" t="n">
        <v>44503</v>
      </c>
      <c r="C4319" s="1" t="n">
        <v>45357</v>
      </c>
      <c r="D4319" t="inlineStr">
        <is>
          <t>GÄVLEBORGS LÄN</t>
        </is>
      </c>
      <c r="E4319" t="inlineStr">
        <is>
          <t>SÖDERHAMN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62568-2021</t>
        </is>
      </c>
      <c r="B4320" s="1" t="n">
        <v>44503</v>
      </c>
      <c r="C4320" s="1" t="n">
        <v>45357</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62589-2021</t>
        </is>
      </c>
      <c r="B4321" s="1" t="n">
        <v>44503</v>
      </c>
      <c r="C4321" s="1" t="n">
        <v>45357</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62650-2021</t>
        </is>
      </c>
      <c r="B4322" s="1" t="n">
        <v>44503</v>
      </c>
      <c r="C4322" s="1" t="n">
        <v>45357</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62774-2021</t>
        </is>
      </c>
      <c r="B4323" s="1" t="n">
        <v>44503</v>
      </c>
      <c r="C4323" s="1" t="n">
        <v>45357</v>
      </c>
      <c r="D4323" t="inlineStr">
        <is>
          <t>GÄVLEBORGS LÄN</t>
        </is>
      </c>
      <c r="E4323" t="inlineStr">
        <is>
          <t>OVANÅKER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62707-2021</t>
        </is>
      </c>
      <c r="B4324" s="1" t="n">
        <v>44504</v>
      </c>
      <c r="C4324" s="1" t="n">
        <v>45357</v>
      </c>
      <c r="D4324" t="inlineStr">
        <is>
          <t>GÄVLEBORGS LÄN</t>
        </is>
      </c>
      <c r="E4324" t="inlineStr">
        <is>
          <t>LJUSDAL</t>
        </is>
      </c>
      <c r="F4324" t="inlineStr">
        <is>
          <t>Holmen skog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62875-2021</t>
        </is>
      </c>
      <c r="B4325" s="1" t="n">
        <v>44504</v>
      </c>
      <c r="C4325" s="1" t="n">
        <v>45357</v>
      </c>
      <c r="D4325" t="inlineStr">
        <is>
          <t>GÄVLEBORGS LÄN</t>
        </is>
      </c>
      <c r="E4325" t="inlineStr">
        <is>
          <t>HOFORS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63108-2021</t>
        </is>
      </c>
      <c r="B4326" s="1" t="n">
        <v>44505</v>
      </c>
      <c r="C4326" s="1" t="n">
        <v>45357</v>
      </c>
      <c r="D4326" t="inlineStr">
        <is>
          <t>GÄVLEBORGS LÄN</t>
        </is>
      </c>
      <c r="E4326" t="inlineStr">
        <is>
          <t>BOLLNÄS</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63128-2021</t>
        </is>
      </c>
      <c r="B4327" s="1" t="n">
        <v>44505</v>
      </c>
      <c r="C4327" s="1" t="n">
        <v>45357</v>
      </c>
      <c r="D4327" t="inlineStr">
        <is>
          <t>GÄVLEBORGS LÄN</t>
        </is>
      </c>
      <c r="E4327" t="inlineStr">
        <is>
          <t>BOLLNÄS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62990-2021</t>
        </is>
      </c>
      <c r="B4328" s="1" t="n">
        <v>44505</v>
      </c>
      <c r="C4328" s="1" t="n">
        <v>45357</v>
      </c>
      <c r="D4328" t="inlineStr">
        <is>
          <t>GÄVLEBORGS LÄN</t>
        </is>
      </c>
      <c r="E4328" t="inlineStr">
        <is>
          <t>BOLLNÄS</t>
        </is>
      </c>
      <c r="F4328" t="inlineStr">
        <is>
          <t>Bergvik skog väst AB</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62983-2021</t>
        </is>
      </c>
      <c r="B4329" s="1" t="n">
        <v>44505</v>
      </c>
      <c r="C4329" s="1" t="n">
        <v>45357</v>
      </c>
      <c r="D4329" t="inlineStr">
        <is>
          <t>GÄVLEBORGS LÄN</t>
        </is>
      </c>
      <c r="E4329" t="inlineStr">
        <is>
          <t>BOLLNÄS</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62991-2021</t>
        </is>
      </c>
      <c r="B4330" s="1" t="n">
        <v>44505</v>
      </c>
      <c r="C4330" s="1" t="n">
        <v>45357</v>
      </c>
      <c r="D4330" t="inlineStr">
        <is>
          <t>GÄVLEBORGS LÄN</t>
        </is>
      </c>
      <c r="E4330" t="inlineStr">
        <is>
          <t>LJUSDAL</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62978-2021</t>
        </is>
      </c>
      <c r="B4331" s="1" t="n">
        <v>44505</v>
      </c>
      <c r="C4331" s="1" t="n">
        <v>45357</v>
      </c>
      <c r="D4331" t="inlineStr">
        <is>
          <t>GÄVLEBORGS LÄN</t>
        </is>
      </c>
      <c r="E4331" t="inlineStr">
        <is>
          <t>BOLLNÄS</t>
        </is>
      </c>
      <c r="F4331" t="inlineStr">
        <is>
          <t>Bergvik skog väst AB</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63084-2021</t>
        </is>
      </c>
      <c r="B4332" s="1" t="n">
        <v>44505</v>
      </c>
      <c r="C4332" s="1" t="n">
        <v>45357</v>
      </c>
      <c r="D4332" t="inlineStr">
        <is>
          <t>GÄVLEBORGS LÄN</t>
        </is>
      </c>
      <c r="E4332" t="inlineStr">
        <is>
          <t>SANDVIKEN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63109-2021</t>
        </is>
      </c>
      <c r="B4333" s="1" t="n">
        <v>44505</v>
      </c>
      <c r="C4333" s="1" t="n">
        <v>45357</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63121-2021</t>
        </is>
      </c>
      <c r="B4334" s="1" t="n">
        <v>44505</v>
      </c>
      <c r="C4334" s="1" t="n">
        <v>45357</v>
      </c>
      <c r="D4334" t="inlineStr">
        <is>
          <t>GÄVLEBORGS LÄN</t>
        </is>
      </c>
      <c r="E4334" t="inlineStr">
        <is>
          <t>BOLLNÄS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63033-2021</t>
        </is>
      </c>
      <c r="B4335" s="1" t="n">
        <v>44505</v>
      </c>
      <c r="C4335" s="1" t="n">
        <v>45357</v>
      </c>
      <c r="D4335" t="inlineStr">
        <is>
          <t>GÄVLEBORGS LÄN</t>
        </is>
      </c>
      <c r="E4335" t="inlineStr">
        <is>
          <t>SANDVIKEN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63127-2021</t>
        </is>
      </c>
      <c r="B4336" s="1" t="n">
        <v>44505</v>
      </c>
      <c r="C4336" s="1" t="n">
        <v>45357</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63086-2021</t>
        </is>
      </c>
      <c r="B4337" s="1" t="n">
        <v>44505</v>
      </c>
      <c r="C4337" s="1" t="n">
        <v>45357</v>
      </c>
      <c r="D4337" t="inlineStr">
        <is>
          <t>GÄVLEBORGS LÄN</t>
        </is>
      </c>
      <c r="E4337" t="inlineStr">
        <is>
          <t>SANDVIKEN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63149-2021</t>
        </is>
      </c>
      <c r="B4338" s="1" t="n">
        <v>44505</v>
      </c>
      <c r="C4338" s="1" t="n">
        <v>45357</v>
      </c>
      <c r="D4338" t="inlineStr">
        <is>
          <t>GÄVLEBORGS LÄN</t>
        </is>
      </c>
      <c r="E4338" t="inlineStr">
        <is>
          <t>LJUSDAL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63528-2021</t>
        </is>
      </c>
      <c r="B4339" s="1" t="n">
        <v>44508</v>
      </c>
      <c r="C4339" s="1" t="n">
        <v>45357</v>
      </c>
      <c r="D4339" t="inlineStr">
        <is>
          <t>GÄVLEBORGS LÄN</t>
        </is>
      </c>
      <c r="E4339" t="inlineStr">
        <is>
          <t>LJUSDAL</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63249-2021</t>
        </is>
      </c>
      <c r="B4340" s="1" t="n">
        <v>44508</v>
      </c>
      <c r="C4340" s="1" t="n">
        <v>45357</v>
      </c>
      <c r="D4340" t="inlineStr">
        <is>
          <t>GÄVLEBORGS LÄN</t>
        </is>
      </c>
      <c r="E4340" t="inlineStr">
        <is>
          <t>OCKELBO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63423-2021</t>
        </is>
      </c>
      <c r="B4341" s="1" t="n">
        <v>44508</v>
      </c>
      <c r="C4341" s="1" t="n">
        <v>45357</v>
      </c>
      <c r="D4341" t="inlineStr">
        <is>
          <t>GÄVLEBORGS LÄN</t>
        </is>
      </c>
      <c r="E4341" t="inlineStr">
        <is>
          <t>SÖDERHAMN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63431-2021</t>
        </is>
      </c>
      <c r="B4342" s="1" t="n">
        <v>44508</v>
      </c>
      <c r="C4342" s="1" t="n">
        <v>45357</v>
      </c>
      <c r="D4342" t="inlineStr">
        <is>
          <t>GÄVLEBORGS LÄN</t>
        </is>
      </c>
      <c r="E4342" t="inlineStr">
        <is>
          <t>SÖDERHAMN</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63731-2021</t>
        </is>
      </c>
      <c r="B4343" s="1" t="n">
        <v>44509</v>
      </c>
      <c r="C4343" s="1" t="n">
        <v>45357</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63803-2021</t>
        </is>
      </c>
      <c r="B4344" s="1" t="n">
        <v>44509</v>
      </c>
      <c r="C4344" s="1" t="n">
        <v>45357</v>
      </c>
      <c r="D4344" t="inlineStr">
        <is>
          <t>GÄVLEBORGS LÄN</t>
        </is>
      </c>
      <c r="E4344" t="inlineStr">
        <is>
          <t>BOLLNÄS</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63825-2021</t>
        </is>
      </c>
      <c r="B4345" s="1" t="n">
        <v>44509</v>
      </c>
      <c r="C4345" s="1" t="n">
        <v>45357</v>
      </c>
      <c r="D4345" t="inlineStr">
        <is>
          <t>GÄVLEBORGS LÄN</t>
        </is>
      </c>
      <c r="E4345" t="inlineStr">
        <is>
          <t>HUDIKSVALL</t>
        </is>
      </c>
      <c r="F4345" t="inlineStr">
        <is>
          <t>Holmen skog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63621-2021</t>
        </is>
      </c>
      <c r="B4346" s="1" t="n">
        <v>44509</v>
      </c>
      <c r="C4346" s="1" t="n">
        <v>45357</v>
      </c>
      <c r="D4346" t="inlineStr">
        <is>
          <t>GÄVLEBORGS LÄN</t>
        </is>
      </c>
      <c r="E4346" t="inlineStr">
        <is>
          <t>SANDVIKEN</t>
        </is>
      </c>
      <c r="F4346" t="inlineStr">
        <is>
          <t>Kommuner</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63695-2021</t>
        </is>
      </c>
      <c r="B4347" s="1" t="n">
        <v>44509</v>
      </c>
      <c r="C4347" s="1" t="n">
        <v>45357</v>
      </c>
      <c r="D4347" t="inlineStr">
        <is>
          <t>GÄVLEBORGS LÄN</t>
        </is>
      </c>
      <c r="E4347" t="inlineStr">
        <is>
          <t>BOLLNÄS</t>
        </is>
      </c>
      <c r="F4347" t="inlineStr">
        <is>
          <t>Bergvik skog väst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63702-2021</t>
        </is>
      </c>
      <c r="B4348" s="1" t="n">
        <v>44509</v>
      </c>
      <c r="C4348" s="1" t="n">
        <v>45357</v>
      </c>
      <c r="D4348" t="inlineStr">
        <is>
          <t>GÄVLEBORGS LÄN</t>
        </is>
      </c>
      <c r="E4348" t="inlineStr">
        <is>
          <t>BOLLNÄS</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63758-2021</t>
        </is>
      </c>
      <c r="B4349" s="1" t="n">
        <v>44509</v>
      </c>
      <c r="C4349" s="1" t="n">
        <v>45357</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63656-2021</t>
        </is>
      </c>
      <c r="B4350" s="1" t="n">
        <v>44509</v>
      </c>
      <c r="C4350" s="1" t="n">
        <v>45357</v>
      </c>
      <c r="D4350" t="inlineStr">
        <is>
          <t>GÄVLEBORGS LÄN</t>
        </is>
      </c>
      <c r="E4350" t="inlineStr">
        <is>
          <t>NORDANSTIG</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63706-2021</t>
        </is>
      </c>
      <c r="B4351" s="1" t="n">
        <v>44509</v>
      </c>
      <c r="C4351" s="1" t="n">
        <v>45357</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63727-2021</t>
        </is>
      </c>
      <c r="B4352" s="1" t="n">
        <v>44509</v>
      </c>
      <c r="C4352" s="1" t="n">
        <v>45357</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63783-2021</t>
        </is>
      </c>
      <c r="B4353" s="1" t="n">
        <v>44509</v>
      </c>
      <c r="C4353" s="1" t="n">
        <v>45357</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63798-2021</t>
        </is>
      </c>
      <c r="B4354" s="1" t="n">
        <v>44509</v>
      </c>
      <c r="C4354" s="1" t="n">
        <v>45357</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63882-2021</t>
        </is>
      </c>
      <c r="B4355" s="1" t="n">
        <v>44509</v>
      </c>
      <c r="C4355" s="1" t="n">
        <v>45357</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63697-2021</t>
        </is>
      </c>
      <c r="B4356" s="1" t="n">
        <v>44509</v>
      </c>
      <c r="C4356" s="1" t="n">
        <v>45357</v>
      </c>
      <c r="D4356" t="inlineStr">
        <is>
          <t>GÄVLEBORGS LÄN</t>
        </is>
      </c>
      <c r="E4356" t="inlineStr">
        <is>
          <t>BOLLNÄS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63703-2021</t>
        </is>
      </c>
      <c r="B4357" s="1" t="n">
        <v>44509</v>
      </c>
      <c r="C4357" s="1" t="n">
        <v>45357</v>
      </c>
      <c r="D4357" t="inlineStr">
        <is>
          <t>GÄVLEBORGS LÄN</t>
        </is>
      </c>
      <c r="E4357" t="inlineStr">
        <is>
          <t>NORDANSTIG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63716-2021</t>
        </is>
      </c>
      <c r="B4358" s="1" t="n">
        <v>44509</v>
      </c>
      <c r="C4358" s="1" t="n">
        <v>45357</v>
      </c>
      <c r="D4358" t="inlineStr">
        <is>
          <t>GÄVLEBORGS LÄN</t>
        </is>
      </c>
      <c r="E4358" t="inlineStr">
        <is>
          <t>BOLLNÄS</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63750-2021</t>
        </is>
      </c>
      <c r="B4359" s="1" t="n">
        <v>44509</v>
      </c>
      <c r="C4359" s="1" t="n">
        <v>45357</v>
      </c>
      <c r="D4359" t="inlineStr">
        <is>
          <t>GÄVLEBORGS LÄN</t>
        </is>
      </c>
      <c r="E4359" t="inlineStr">
        <is>
          <t>BOLLNÄS</t>
        </is>
      </c>
      <c r="F4359" t="inlineStr">
        <is>
          <t>Bergvik skog väst AB</t>
        </is>
      </c>
      <c r="G4359" t="n">
        <v>14.2</v>
      </c>
      <c r="H4359" t="n">
        <v>0</v>
      </c>
      <c r="I4359" t="n">
        <v>0</v>
      </c>
      <c r="J4359" t="n">
        <v>0</v>
      </c>
      <c r="K4359" t="n">
        <v>0</v>
      </c>
      <c r="L4359" t="n">
        <v>0</v>
      </c>
      <c r="M4359" t="n">
        <v>0</v>
      </c>
      <c r="N4359" t="n">
        <v>0</v>
      </c>
      <c r="O4359" t="n">
        <v>0</v>
      </c>
      <c r="P4359" t="n">
        <v>0</v>
      </c>
      <c r="Q4359" t="n">
        <v>0</v>
      </c>
      <c r="R4359" s="2" t="inlineStr"/>
    </row>
    <row r="4360" ht="15" customHeight="1">
      <c r="A4360" t="inlineStr">
        <is>
          <t>A 63760-2021</t>
        </is>
      </c>
      <c r="B4360" s="1" t="n">
        <v>44509</v>
      </c>
      <c r="C4360" s="1" t="n">
        <v>45357</v>
      </c>
      <c r="D4360" t="inlineStr">
        <is>
          <t>GÄVLEBORGS LÄN</t>
        </is>
      </c>
      <c r="E4360" t="inlineStr">
        <is>
          <t>LJUSDAL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63884-2021</t>
        </is>
      </c>
      <c r="B4361" s="1" t="n">
        <v>44509</v>
      </c>
      <c r="C4361" s="1" t="n">
        <v>45357</v>
      </c>
      <c r="D4361" t="inlineStr">
        <is>
          <t>GÄVLEBORGS LÄN</t>
        </is>
      </c>
      <c r="E4361" t="inlineStr">
        <is>
          <t>BOLLNÄS</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64068-2021</t>
        </is>
      </c>
      <c r="B4362" s="1" t="n">
        <v>44510</v>
      </c>
      <c r="C4362" s="1" t="n">
        <v>45357</v>
      </c>
      <c r="D4362" t="inlineStr">
        <is>
          <t>GÄVLEBORGS LÄN</t>
        </is>
      </c>
      <c r="E4362" t="inlineStr">
        <is>
          <t>SANDVIKEN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64152-2021</t>
        </is>
      </c>
      <c r="B4363" s="1" t="n">
        <v>44510</v>
      </c>
      <c r="C4363" s="1" t="n">
        <v>45357</v>
      </c>
      <c r="D4363" t="inlineStr">
        <is>
          <t>GÄVLEBORGS LÄN</t>
        </is>
      </c>
      <c r="E4363" t="inlineStr">
        <is>
          <t>SÖDERHAMN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64120-2021</t>
        </is>
      </c>
      <c r="B4364" s="1" t="n">
        <v>44510</v>
      </c>
      <c r="C4364" s="1" t="n">
        <v>45357</v>
      </c>
      <c r="D4364" t="inlineStr">
        <is>
          <t>GÄVLEBORGS LÄN</t>
        </is>
      </c>
      <c r="E4364" t="inlineStr">
        <is>
          <t>LJUSDAL</t>
        </is>
      </c>
      <c r="F4364" t="inlineStr">
        <is>
          <t>Kommuner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64215-2021</t>
        </is>
      </c>
      <c r="B4365" s="1" t="n">
        <v>44510</v>
      </c>
      <c r="C4365" s="1" t="n">
        <v>45357</v>
      </c>
      <c r="D4365" t="inlineStr">
        <is>
          <t>GÄVLEBORGS LÄN</t>
        </is>
      </c>
      <c r="E4365" t="inlineStr">
        <is>
          <t>SÖDERHAMN</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64225-2021</t>
        </is>
      </c>
      <c r="B4366" s="1" t="n">
        <v>44510</v>
      </c>
      <c r="C4366" s="1" t="n">
        <v>45357</v>
      </c>
      <c r="D4366" t="inlineStr">
        <is>
          <t>GÄVLEBORGS LÄN</t>
        </is>
      </c>
      <c r="E4366" t="inlineStr">
        <is>
          <t>SANDVIKEN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64344-2021</t>
        </is>
      </c>
      <c r="B4367" s="1" t="n">
        <v>44511</v>
      </c>
      <c r="C4367" s="1" t="n">
        <v>45357</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64423-2021</t>
        </is>
      </c>
      <c r="B4368" s="1" t="n">
        <v>44511</v>
      </c>
      <c r="C4368" s="1" t="n">
        <v>45357</v>
      </c>
      <c r="D4368" t="inlineStr">
        <is>
          <t>GÄVLEBORGS LÄN</t>
        </is>
      </c>
      <c r="E4368" t="inlineStr">
        <is>
          <t>LJUSDAL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64556-2021</t>
        </is>
      </c>
      <c r="B4369" s="1" t="n">
        <v>44511</v>
      </c>
      <c r="C4369" s="1" t="n">
        <v>45357</v>
      </c>
      <c r="D4369" t="inlineStr">
        <is>
          <t>GÄVLEBORGS LÄN</t>
        </is>
      </c>
      <c r="E4369" t="inlineStr">
        <is>
          <t>LJUSDAL</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64632-2021</t>
        </is>
      </c>
      <c r="B4370" s="1" t="n">
        <v>44511</v>
      </c>
      <c r="C4370" s="1" t="n">
        <v>45357</v>
      </c>
      <c r="D4370" t="inlineStr">
        <is>
          <t>GÄVLEBORGS LÄN</t>
        </is>
      </c>
      <c r="E4370" t="inlineStr">
        <is>
          <t>HUDIKSVALL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64538-2021</t>
        </is>
      </c>
      <c r="B4371" s="1" t="n">
        <v>44511</v>
      </c>
      <c r="C4371" s="1" t="n">
        <v>45357</v>
      </c>
      <c r="D4371" t="inlineStr">
        <is>
          <t>GÄVLEBORGS LÄN</t>
        </is>
      </c>
      <c r="E4371" t="inlineStr">
        <is>
          <t>BOLLNÄS</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64601-2021</t>
        </is>
      </c>
      <c r="B4372" s="1" t="n">
        <v>44511</v>
      </c>
      <c r="C4372" s="1" t="n">
        <v>45357</v>
      </c>
      <c r="D4372" t="inlineStr">
        <is>
          <t>GÄVLEBORGS LÄN</t>
        </is>
      </c>
      <c r="E4372" t="inlineStr">
        <is>
          <t>LJUSDAL</t>
        </is>
      </c>
      <c r="F4372" t="inlineStr">
        <is>
          <t>Kommuner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64633-2021</t>
        </is>
      </c>
      <c r="B4373" s="1" t="n">
        <v>44511</v>
      </c>
      <c r="C4373" s="1" t="n">
        <v>45357</v>
      </c>
      <c r="D4373" t="inlineStr">
        <is>
          <t>GÄVLEBORGS LÄN</t>
        </is>
      </c>
      <c r="E4373" t="inlineStr">
        <is>
          <t>BOLLNÄS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64706-2021</t>
        </is>
      </c>
      <c r="B4374" s="1" t="n">
        <v>44512</v>
      </c>
      <c r="C4374" s="1" t="n">
        <v>45357</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64829-2021</t>
        </is>
      </c>
      <c r="B4375" s="1" t="n">
        <v>44512</v>
      </c>
      <c r="C4375" s="1" t="n">
        <v>45357</v>
      </c>
      <c r="D4375" t="inlineStr">
        <is>
          <t>GÄVLEBORGS LÄN</t>
        </is>
      </c>
      <c r="E4375" t="inlineStr">
        <is>
          <t>BOLLNÄS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64712-2021</t>
        </is>
      </c>
      <c r="B4376" s="1" t="n">
        <v>44512</v>
      </c>
      <c r="C4376" s="1" t="n">
        <v>45357</v>
      </c>
      <c r="D4376" t="inlineStr">
        <is>
          <t>GÄVLEBORGS LÄN</t>
        </is>
      </c>
      <c r="E4376" t="inlineStr">
        <is>
          <t>NORDANSTIG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64720-2021</t>
        </is>
      </c>
      <c r="B4377" s="1" t="n">
        <v>44512</v>
      </c>
      <c r="C4377" s="1" t="n">
        <v>45357</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64835-2021</t>
        </is>
      </c>
      <c r="B4378" s="1" t="n">
        <v>44512</v>
      </c>
      <c r="C4378" s="1" t="n">
        <v>45357</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64843-2021</t>
        </is>
      </c>
      <c r="B4379" s="1" t="n">
        <v>44512</v>
      </c>
      <c r="C4379" s="1" t="n">
        <v>45357</v>
      </c>
      <c r="D4379" t="inlineStr">
        <is>
          <t>GÄVLEBORGS LÄN</t>
        </is>
      </c>
      <c r="E4379" t="inlineStr">
        <is>
          <t>OVANÅKER</t>
        </is>
      </c>
      <c r="F4379" t="inlineStr">
        <is>
          <t>Bergvik skog väst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64875-2021</t>
        </is>
      </c>
      <c r="B4380" s="1" t="n">
        <v>44512</v>
      </c>
      <c r="C4380" s="1" t="n">
        <v>45357</v>
      </c>
      <c r="D4380" t="inlineStr">
        <is>
          <t>GÄVLEBORGS LÄN</t>
        </is>
      </c>
      <c r="E4380" t="inlineStr">
        <is>
          <t>LJUSDAL</t>
        </is>
      </c>
      <c r="F4380" t="inlineStr">
        <is>
          <t>Sveaskog</t>
        </is>
      </c>
      <c r="G4380" t="n">
        <v>19.8</v>
      </c>
      <c r="H4380" t="n">
        <v>0</v>
      </c>
      <c r="I4380" t="n">
        <v>0</v>
      </c>
      <c r="J4380" t="n">
        <v>0</v>
      </c>
      <c r="K4380" t="n">
        <v>0</v>
      </c>
      <c r="L4380" t="n">
        <v>0</v>
      </c>
      <c r="M4380" t="n">
        <v>0</v>
      </c>
      <c r="N4380" t="n">
        <v>0</v>
      </c>
      <c r="O4380" t="n">
        <v>0</v>
      </c>
      <c r="P4380" t="n">
        <v>0</v>
      </c>
      <c r="Q4380" t="n">
        <v>0</v>
      </c>
      <c r="R4380" s="2" t="inlineStr"/>
    </row>
    <row r="4381" ht="15" customHeight="1">
      <c r="A4381" t="inlineStr">
        <is>
          <t>A 65030-2021</t>
        </is>
      </c>
      <c r="B4381" s="1" t="n">
        <v>44515</v>
      </c>
      <c r="C4381" s="1" t="n">
        <v>45357</v>
      </c>
      <c r="D4381" t="inlineStr">
        <is>
          <t>GÄVLEBORGS LÄN</t>
        </is>
      </c>
      <c r="E4381" t="inlineStr">
        <is>
          <t>BOLLNÄS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65027-2021</t>
        </is>
      </c>
      <c r="B4382" s="1" t="n">
        <v>44515</v>
      </c>
      <c r="C4382" s="1" t="n">
        <v>45357</v>
      </c>
      <c r="D4382" t="inlineStr">
        <is>
          <t>GÄVLEBORGS LÄN</t>
        </is>
      </c>
      <c r="E4382" t="inlineStr">
        <is>
          <t>BOLLNÄS</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65041-2021</t>
        </is>
      </c>
      <c r="B4383" s="1" t="n">
        <v>44515</v>
      </c>
      <c r="C4383" s="1" t="n">
        <v>45357</v>
      </c>
      <c r="D4383" t="inlineStr">
        <is>
          <t>GÄVLEBORGS LÄN</t>
        </is>
      </c>
      <c r="E4383" t="inlineStr">
        <is>
          <t>BOLLNÄS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65270-2021</t>
        </is>
      </c>
      <c r="B4384" s="1" t="n">
        <v>44515</v>
      </c>
      <c r="C4384" s="1" t="n">
        <v>45357</v>
      </c>
      <c r="D4384" t="inlineStr">
        <is>
          <t>GÄVLEBORGS LÄN</t>
        </is>
      </c>
      <c r="E4384" t="inlineStr">
        <is>
          <t>SANDVIKEN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65345-2021</t>
        </is>
      </c>
      <c r="B4385" s="1" t="n">
        <v>44515</v>
      </c>
      <c r="C4385" s="1" t="n">
        <v>45357</v>
      </c>
      <c r="D4385" t="inlineStr">
        <is>
          <t>GÄVLEBORGS LÄN</t>
        </is>
      </c>
      <c r="E4385" t="inlineStr">
        <is>
          <t>LJUSDAL</t>
        </is>
      </c>
      <c r="F4385" t="inlineStr">
        <is>
          <t>Holmen skog AB</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65403-2021</t>
        </is>
      </c>
      <c r="B4386" s="1" t="n">
        <v>44515</v>
      </c>
      <c r="C4386" s="1" t="n">
        <v>45357</v>
      </c>
      <c r="D4386" t="inlineStr">
        <is>
          <t>GÄVLEBORGS LÄN</t>
        </is>
      </c>
      <c r="E4386" t="inlineStr">
        <is>
          <t>BOLLNÄS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65363-2021</t>
        </is>
      </c>
      <c r="B4387" s="1" t="n">
        <v>44515</v>
      </c>
      <c r="C4387" s="1" t="n">
        <v>45357</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65470-2021</t>
        </is>
      </c>
      <c r="B4388" s="1" t="n">
        <v>44516</v>
      </c>
      <c r="C4388" s="1" t="n">
        <v>45357</v>
      </c>
      <c r="D4388" t="inlineStr">
        <is>
          <t>GÄVLEBORGS LÄN</t>
        </is>
      </c>
      <c r="E4388" t="inlineStr">
        <is>
          <t>SANDVIKEN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65542-2021</t>
        </is>
      </c>
      <c r="B4389" s="1" t="n">
        <v>44516</v>
      </c>
      <c r="C4389" s="1" t="n">
        <v>45357</v>
      </c>
      <c r="D4389" t="inlineStr">
        <is>
          <t>GÄVLEBORGS LÄN</t>
        </is>
      </c>
      <c r="E4389" t="inlineStr">
        <is>
          <t>OVANÅKER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65592-2021</t>
        </is>
      </c>
      <c r="B4390" s="1" t="n">
        <v>44516</v>
      </c>
      <c r="C4390" s="1" t="n">
        <v>45357</v>
      </c>
      <c r="D4390" t="inlineStr">
        <is>
          <t>GÄVLEBORGS LÄN</t>
        </is>
      </c>
      <c r="E4390" t="inlineStr">
        <is>
          <t>GÄVLE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65601-2021</t>
        </is>
      </c>
      <c r="B4391" s="1" t="n">
        <v>44516</v>
      </c>
      <c r="C4391" s="1" t="n">
        <v>45357</v>
      </c>
      <c r="D4391" t="inlineStr">
        <is>
          <t>GÄVLEBORGS LÄN</t>
        </is>
      </c>
      <c r="E4391" t="inlineStr">
        <is>
          <t>SANDVIKEN</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65606-2021</t>
        </is>
      </c>
      <c r="B4392" s="1" t="n">
        <v>44516</v>
      </c>
      <c r="C4392" s="1" t="n">
        <v>45357</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65907-2021</t>
        </is>
      </c>
      <c r="B4393" s="1" t="n">
        <v>44517</v>
      </c>
      <c r="C4393" s="1" t="n">
        <v>45357</v>
      </c>
      <c r="D4393" t="inlineStr">
        <is>
          <t>GÄVLEBORGS LÄN</t>
        </is>
      </c>
      <c r="E4393" t="inlineStr">
        <is>
          <t>HUDIKSVALL</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65936-2021</t>
        </is>
      </c>
      <c r="B4394" s="1" t="n">
        <v>44517</v>
      </c>
      <c r="C4394" s="1" t="n">
        <v>45357</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65879-2021</t>
        </is>
      </c>
      <c r="B4395" s="1" t="n">
        <v>44517</v>
      </c>
      <c r="C4395" s="1" t="n">
        <v>45357</v>
      </c>
      <c r="D4395" t="inlineStr">
        <is>
          <t>GÄVLEBORGS LÄN</t>
        </is>
      </c>
      <c r="E4395" t="inlineStr">
        <is>
          <t>GÄVLE</t>
        </is>
      </c>
      <c r="F4395" t="inlineStr">
        <is>
          <t>Kyrkan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65960-2021</t>
        </is>
      </c>
      <c r="B4396" s="1" t="n">
        <v>44517</v>
      </c>
      <c r="C4396" s="1" t="n">
        <v>45357</v>
      </c>
      <c r="D4396" t="inlineStr">
        <is>
          <t>GÄVLEBORGS LÄN</t>
        </is>
      </c>
      <c r="E4396" t="inlineStr">
        <is>
          <t>OVANÅKER</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66083-2021</t>
        </is>
      </c>
      <c r="B4397" s="1" t="n">
        <v>44517</v>
      </c>
      <c r="C4397" s="1" t="n">
        <v>45357</v>
      </c>
      <c r="D4397" t="inlineStr">
        <is>
          <t>GÄVLEBORGS LÄN</t>
        </is>
      </c>
      <c r="E4397" t="inlineStr">
        <is>
          <t>OVANÅKER</t>
        </is>
      </c>
      <c r="F4397" t="inlineStr">
        <is>
          <t>Bergvik skog väst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66042-2021</t>
        </is>
      </c>
      <c r="B4398" s="1" t="n">
        <v>44517</v>
      </c>
      <c r="C4398" s="1" t="n">
        <v>45357</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66120-2021</t>
        </is>
      </c>
      <c r="B4399" s="1" t="n">
        <v>44517</v>
      </c>
      <c r="C4399" s="1" t="n">
        <v>45357</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66129-2021</t>
        </is>
      </c>
      <c r="B4400" s="1" t="n">
        <v>44517</v>
      </c>
      <c r="C4400" s="1" t="n">
        <v>45357</v>
      </c>
      <c r="D4400" t="inlineStr">
        <is>
          <t>GÄVLEBORGS LÄN</t>
        </is>
      </c>
      <c r="E4400" t="inlineStr">
        <is>
          <t>BOLLNÄS</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66125-2021</t>
        </is>
      </c>
      <c r="B4401" s="1" t="n">
        <v>44517</v>
      </c>
      <c r="C4401" s="1" t="n">
        <v>45357</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66121-2021</t>
        </is>
      </c>
      <c r="B4402" s="1" t="n">
        <v>44517</v>
      </c>
      <c r="C4402" s="1" t="n">
        <v>45357</v>
      </c>
      <c r="D4402" t="inlineStr">
        <is>
          <t>GÄVLEBORGS LÄN</t>
        </is>
      </c>
      <c r="E4402" t="inlineStr">
        <is>
          <t>BOLLNÄS</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66118-2021</t>
        </is>
      </c>
      <c r="B4403" s="1" t="n">
        <v>44517</v>
      </c>
      <c r="C4403" s="1" t="n">
        <v>45357</v>
      </c>
      <c r="D4403" t="inlineStr">
        <is>
          <t>GÄVLEBORGS LÄN</t>
        </is>
      </c>
      <c r="E4403" t="inlineStr">
        <is>
          <t>OCKELBO</t>
        </is>
      </c>
      <c r="F4403" t="inlineStr">
        <is>
          <t>Bergvik skog väst AB</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66128-2021</t>
        </is>
      </c>
      <c r="B4404" s="1" t="n">
        <v>44517</v>
      </c>
      <c r="C4404" s="1" t="n">
        <v>45357</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66208-2021</t>
        </is>
      </c>
      <c r="B4405" s="1" t="n">
        <v>44518</v>
      </c>
      <c r="C4405" s="1" t="n">
        <v>45357</v>
      </c>
      <c r="D4405" t="inlineStr">
        <is>
          <t>GÄVLEBORGS LÄN</t>
        </is>
      </c>
      <c r="E4405" t="inlineStr">
        <is>
          <t>LJUSDAL</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66217-2021</t>
        </is>
      </c>
      <c r="B4406" s="1" t="n">
        <v>44518</v>
      </c>
      <c r="C4406" s="1" t="n">
        <v>45357</v>
      </c>
      <c r="D4406" t="inlineStr">
        <is>
          <t>GÄVLEBORGS LÄN</t>
        </is>
      </c>
      <c r="E4406" t="inlineStr">
        <is>
          <t>NORDANSTIG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66299-2021</t>
        </is>
      </c>
      <c r="B4407" s="1" t="n">
        <v>44518</v>
      </c>
      <c r="C4407" s="1" t="n">
        <v>45357</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66316-2021</t>
        </is>
      </c>
      <c r="B4408" s="1" t="n">
        <v>44518</v>
      </c>
      <c r="C4408" s="1" t="n">
        <v>45357</v>
      </c>
      <c r="D4408" t="inlineStr">
        <is>
          <t>GÄVLEBORGS LÄN</t>
        </is>
      </c>
      <c r="E4408" t="inlineStr">
        <is>
          <t>SANDVIKEN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66345-2021</t>
        </is>
      </c>
      <c r="B4409" s="1" t="n">
        <v>44518</v>
      </c>
      <c r="C4409" s="1" t="n">
        <v>45357</v>
      </c>
      <c r="D4409" t="inlineStr">
        <is>
          <t>GÄVLEBORGS LÄN</t>
        </is>
      </c>
      <c r="E4409" t="inlineStr">
        <is>
          <t>SANDVIKEN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66351-2021</t>
        </is>
      </c>
      <c r="B4410" s="1" t="n">
        <v>44518</v>
      </c>
      <c r="C4410" s="1" t="n">
        <v>45357</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66420-2021</t>
        </is>
      </c>
      <c r="B4411" s="1" t="n">
        <v>44518</v>
      </c>
      <c r="C4411" s="1" t="n">
        <v>45357</v>
      </c>
      <c r="D4411" t="inlineStr">
        <is>
          <t>GÄVLEBORGS LÄN</t>
        </is>
      </c>
      <c r="E4411" t="inlineStr">
        <is>
          <t>OCKELBO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66359-2021</t>
        </is>
      </c>
      <c r="B4412" s="1" t="n">
        <v>44518</v>
      </c>
      <c r="C4412" s="1" t="n">
        <v>45357</v>
      </c>
      <c r="D4412" t="inlineStr">
        <is>
          <t>GÄVLEBORGS LÄN</t>
        </is>
      </c>
      <c r="E4412" t="inlineStr">
        <is>
          <t>OCKELBO</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66403-2021</t>
        </is>
      </c>
      <c r="B4413" s="1" t="n">
        <v>44518</v>
      </c>
      <c r="C4413" s="1" t="n">
        <v>45357</v>
      </c>
      <c r="D4413" t="inlineStr">
        <is>
          <t>GÄVLEBORGS LÄN</t>
        </is>
      </c>
      <c r="E4413" t="inlineStr">
        <is>
          <t>OVANÅKER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66418-2021</t>
        </is>
      </c>
      <c r="B4414" s="1" t="n">
        <v>44518</v>
      </c>
      <c r="C4414" s="1" t="n">
        <v>45357</v>
      </c>
      <c r="D4414" t="inlineStr">
        <is>
          <t>GÄVLEBORGS LÄN</t>
        </is>
      </c>
      <c r="E4414" t="inlineStr">
        <is>
          <t>HUDIKSVALL</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66494-2021</t>
        </is>
      </c>
      <c r="B4415" s="1" t="n">
        <v>44519</v>
      </c>
      <c r="C4415" s="1" t="n">
        <v>45357</v>
      </c>
      <c r="D4415" t="inlineStr">
        <is>
          <t>GÄVLEBORGS LÄN</t>
        </is>
      </c>
      <c r="E4415" t="inlineStr">
        <is>
          <t>GÄVLE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66590-2021</t>
        </is>
      </c>
      <c r="B4416" s="1" t="n">
        <v>44519</v>
      </c>
      <c r="C4416" s="1" t="n">
        <v>45357</v>
      </c>
      <c r="D4416" t="inlineStr">
        <is>
          <t>GÄVLEBORGS LÄN</t>
        </is>
      </c>
      <c r="E4416" t="inlineStr">
        <is>
          <t>SANDVIKEN</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66493-2021</t>
        </is>
      </c>
      <c r="B4417" s="1" t="n">
        <v>44519</v>
      </c>
      <c r="C4417" s="1" t="n">
        <v>45357</v>
      </c>
      <c r="D4417" t="inlineStr">
        <is>
          <t>GÄVLEBORGS LÄN</t>
        </is>
      </c>
      <c r="E4417" t="inlineStr">
        <is>
          <t>GÄVLE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66491-2021</t>
        </is>
      </c>
      <c r="B4418" s="1" t="n">
        <v>44519</v>
      </c>
      <c r="C4418" s="1" t="n">
        <v>45357</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66718-2021</t>
        </is>
      </c>
      <c r="B4419" s="1" t="n">
        <v>44519</v>
      </c>
      <c r="C4419" s="1" t="n">
        <v>45357</v>
      </c>
      <c r="D4419" t="inlineStr">
        <is>
          <t>GÄVLEBORGS LÄN</t>
        </is>
      </c>
      <c r="E4419" t="inlineStr">
        <is>
          <t>OCKELBO</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66758-2021</t>
        </is>
      </c>
      <c r="B4420" s="1" t="n">
        <v>44521</v>
      </c>
      <c r="C4420" s="1" t="n">
        <v>45357</v>
      </c>
      <c r="D4420" t="inlineStr">
        <is>
          <t>GÄVLEBORGS LÄN</t>
        </is>
      </c>
      <c r="E4420" t="inlineStr">
        <is>
          <t>HUDIKSVALL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66814-2021</t>
        </is>
      </c>
      <c r="B4421" s="1" t="n">
        <v>44522</v>
      </c>
      <c r="C4421" s="1" t="n">
        <v>45357</v>
      </c>
      <c r="D4421" t="inlineStr">
        <is>
          <t>GÄVLEBORGS LÄN</t>
        </is>
      </c>
      <c r="E4421" t="inlineStr">
        <is>
          <t>NORDANSTIG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66825-2021</t>
        </is>
      </c>
      <c r="B4422" s="1" t="n">
        <v>44522</v>
      </c>
      <c r="C4422" s="1" t="n">
        <v>45357</v>
      </c>
      <c r="D4422" t="inlineStr">
        <is>
          <t>GÄVLEBORGS LÄN</t>
        </is>
      </c>
      <c r="E4422" t="inlineStr">
        <is>
          <t>OCKELBO</t>
        </is>
      </c>
      <c r="F4422" t="inlineStr">
        <is>
          <t>Bergvik skog väst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66986-2021</t>
        </is>
      </c>
      <c r="B4423" s="1" t="n">
        <v>44522</v>
      </c>
      <c r="C4423" s="1" t="n">
        <v>45357</v>
      </c>
      <c r="D4423" t="inlineStr">
        <is>
          <t>GÄVLEBORGS LÄN</t>
        </is>
      </c>
      <c r="E4423" t="inlineStr">
        <is>
          <t>BOLLNÄS</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67049-2021</t>
        </is>
      </c>
      <c r="B4424" s="1" t="n">
        <v>44522</v>
      </c>
      <c r="C4424" s="1" t="n">
        <v>45357</v>
      </c>
      <c r="D4424" t="inlineStr">
        <is>
          <t>GÄVLEBORGS LÄN</t>
        </is>
      </c>
      <c r="E4424" t="inlineStr">
        <is>
          <t>HUDIKSVALL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67082-2021</t>
        </is>
      </c>
      <c r="B4425" s="1" t="n">
        <v>44522</v>
      </c>
      <c r="C4425" s="1" t="n">
        <v>45357</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67043-2021</t>
        </is>
      </c>
      <c r="B4426" s="1" t="n">
        <v>44522</v>
      </c>
      <c r="C4426" s="1" t="n">
        <v>45357</v>
      </c>
      <c r="D4426" t="inlineStr">
        <is>
          <t>GÄVLEBORGS LÄN</t>
        </is>
      </c>
      <c r="E4426" t="inlineStr">
        <is>
          <t>HUDIKSVALL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67088-2021</t>
        </is>
      </c>
      <c r="B4427" s="1" t="n">
        <v>44522</v>
      </c>
      <c r="C4427" s="1" t="n">
        <v>45357</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67180-2021</t>
        </is>
      </c>
      <c r="B4428" s="1" t="n">
        <v>44523</v>
      </c>
      <c r="C4428" s="1" t="n">
        <v>45357</v>
      </c>
      <c r="D4428" t="inlineStr">
        <is>
          <t>GÄVLEBORGS LÄN</t>
        </is>
      </c>
      <c r="E4428" t="inlineStr">
        <is>
          <t>SANDVIKEN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67188-2021</t>
        </is>
      </c>
      <c r="B4429" s="1" t="n">
        <v>44523</v>
      </c>
      <c r="C4429" s="1" t="n">
        <v>45357</v>
      </c>
      <c r="D4429" t="inlineStr">
        <is>
          <t>GÄVLEBORGS LÄN</t>
        </is>
      </c>
      <c r="E4429" t="inlineStr">
        <is>
          <t>OVANÅKER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67300-2021</t>
        </is>
      </c>
      <c r="B4430" s="1" t="n">
        <v>44523</v>
      </c>
      <c r="C4430" s="1" t="n">
        <v>45357</v>
      </c>
      <c r="D4430" t="inlineStr">
        <is>
          <t>GÄVLEBORGS LÄN</t>
        </is>
      </c>
      <c r="E4430" t="inlineStr">
        <is>
          <t>SÖDERHAMN</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67307-2021</t>
        </is>
      </c>
      <c r="B4431" s="1" t="n">
        <v>44523</v>
      </c>
      <c r="C4431" s="1" t="n">
        <v>45357</v>
      </c>
      <c r="D4431" t="inlineStr">
        <is>
          <t>GÄVLEBORGS LÄN</t>
        </is>
      </c>
      <c r="E4431" t="inlineStr">
        <is>
          <t>HUDIKSVALL</t>
        </is>
      </c>
      <c r="F4431" t="inlineStr">
        <is>
          <t>Naturvårdsverket</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67315-2021</t>
        </is>
      </c>
      <c r="B4432" s="1" t="n">
        <v>44523</v>
      </c>
      <c r="C4432" s="1" t="n">
        <v>45357</v>
      </c>
      <c r="D4432" t="inlineStr">
        <is>
          <t>GÄVLEBORGS LÄN</t>
        </is>
      </c>
      <c r="E4432" t="inlineStr">
        <is>
          <t>OVANÅKER</t>
        </is>
      </c>
      <c r="F4432" t="inlineStr">
        <is>
          <t>Bergvik skog väst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67327-2021</t>
        </is>
      </c>
      <c r="B4433" s="1" t="n">
        <v>44523</v>
      </c>
      <c r="C4433" s="1" t="n">
        <v>45357</v>
      </c>
      <c r="D4433" t="inlineStr">
        <is>
          <t>GÄVLEBORGS LÄN</t>
        </is>
      </c>
      <c r="E4433" t="inlineStr">
        <is>
          <t>LJUSDAL</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67334-2021</t>
        </is>
      </c>
      <c r="B4434" s="1" t="n">
        <v>44523</v>
      </c>
      <c r="C4434" s="1" t="n">
        <v>45357</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67380-2021</t>
        </is>
      </c>
      <c r="B4435" s="1" t="n">
        <v>44523</v>
      </c>
      <c r="C4435" s="1" t="n">
        <v>45357</v>
      </c>
      <c r="D4435" t="inlineStr">
        <is>
          <t>GÄVLEBORGS LÄN</t>
        </is>
      </c>
      <c r="E4435" t="inlineStr">
        <is>
          <t>LJUSDAL</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67527-2021</t>
        </is>
      </c>
      <c r="B4436" s="1" t="n">
        <v>44524</v>
      </c>
      <c r="C4436" s="1" t="n">
        <v>45357</v>
      </c>
      <c r="D4436" t="inlineStr">
        <is>
          <t>GÄVLEBORGS LÄN</t>
        </is>
      </c>
      <c r="E4436" t="inlineStr">
        <is>
          <t>BOLLNÄS</t>
        </is>
      </c>
      <c r="F4436" t="inlineStr">
        <is>
          <t>Övriga statliga verk och myndigheter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67558-2021</t>
        </is>
      </c>
      <c r="B4437" s="1" t="n">
        <v>44524</v>
      </c>
      <c r="C4437" s="1" t="n">
        <v>45357</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67547-2021</t>
        </is>
      </c>
      <c r="B4438" s="1" t="n">
        <v>44524</v>
      </c>
      <c r="C4438" s="1" t="n">
        <v>45357</v>
      </c>
      <c r="D4438" t="inlineStr">
        <is>
          <t>GÄVLEBORGS LÄN</t>
        </is>
      </c>
      <c r="E4438" t="inlineStr">
        <is>
          <t>BOLLNÄS</t>
        </is>
      </c>
      <c r="F4438" t="inlineStr">
        <is>
          <t>Övriga statliga verk och myndigheter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67573-2021</t>
        </is>
      </c>
      <c r="B4439" s="1" t="n">
        <v>44524</v>
      </c>
      <c r="C4439" s="1" t="n">
        <v>45357</v>
      </c>
      <c r="D4439" t="inlineStr">
        <is>
          <t>GÄVLEBORGS LÄN</t>
        </is>
      </c>
      <c r="E4439" t="inlineStr">
        <is>
          <t>SANDVIKEN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67634-2021</t>
        </is>
      </c>
      <c r="B4440" s="1" t="n">
        <v>44524</v>
      </c>
      <c r="C4440" s="1" t="n">
        <v>45357</v>
      </c>
      <c r="D4440" t="inlineStr">
        <is>
          <t>GÄVLEBORGS LÄN</t>
        </is>
      </c>
      <c r="E4440" t="inlineStr">
        <is>
          <t>SÖDERHAMN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67716-2021</t>
        </is>
      </c>
      <c r="B4441" s="1" t="n">
        <v>44525</v>
      </c>
      <c r="C4441" s="1" t="n">
        <v>45357</v>
      </c>
      <c r="D4441" t="inlineStr">
        <is>
          <t>GÄVLEBORGS LÄN</t>
        </is>
      </c>
      <c r="E4441" t="inlineStr">
        <is>
          <t>NORDANSTIG</t>
        </is>
      </c>
      <c r="F4441" t="inlineStr">
        <is>
          <t>Holmen skog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67768-2021</t>
        </is>
      </c>
      <c r="B4442" s="1" t="n">
        <v>44525</v>
      </c>
      <c r="C4442" s="1" t="n">
        <v>45357</v>
      </c>
      <c r="D4442" t="inlineStr">
        <is>
          <t>GÄVLEBORGS LÄN</t>
        </is>
      </c>
      <c r="E4442" t="inlineStr">
        <is>
          <t>OCKELBO</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67781-2021</t>
        </is>
      </c>
      <c r="B4443" s="1" t="n">
        <v>44525</v>
      </c>
      <c r="C4443" s="1" t="n">
        <v>45357</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67757-2021</t>
        </is>
      </c>
      <c r="B4444" s="1" t="n">
        <v>44525</v>
      </c>
      <c r="C4444" s="1" t="n">
        <v>45357</v>
      </c>
      <c r="D4444" t="inlineStr">
        <is>
          <t>GÄVLEBORGS LÄN</t>
        </is>
      </c>
      <c r="E4444" t="inlineStr">
        <is>
          <t>SANDVIKEN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67776-2021</t>
        </is>
      </c>
      <c r="B4445" s="1" t="n">
        <v>44525</v>
      </c>
      <c r="C4445" s="1" t="n">
        <v>45357</v>
      </c>
      <c r="D4445" t="inlineStr">
        <is>
          <t>GÄVLEBORGS LÄN</t>
        </is>
      </c>
      <c r="E4445" t="inlineStr">
        <is>
          <t>LJUSDAL</t>
        </is>
      </c>
      <c r="F4445" t="inlineStr">
        <is>
          <t>Holmen skog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67854-2021</t>
        </is>
      </c>
      <c r="B4446" s="1" t="n">
        <v>44525</v>
      </c>
      <c r="C4446" s="1" t="n">
        <v>45357</v>
      </c>
      <c r="D4446" t="inlineStr">
        <is>
          <t>GÄVLEBORGS LÄN</t>
        </is>
      </c>
      <c r="E4446" t="inlineStr">
        <is>
          <t>LJUSDAL</t>
        </is>
      </c>
      <c r="F4446" t="inlineStr">
        <is>
          <t>Bergvik skog väst AB</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67794-2021</t>
        </is>
      </c>
      <c r="B4447" s="1" t="n">
        <v>44525</v>
      </c>
      <c r="C4447" s="1" t="n">
        <v>45357</v>
      </c>
      <c r="D4447" t="inlineStr">
        <is>
          <t>GÄVLEBORGS LÄN</t>
        </is>
      </c>
      <c r="E4447" t="inlineStr">
        <is>
          <t>LJUSDAL</t>
        </is>
      </c>
      <c r="F4447" t="inlineStr">
        <is>
          <t>Allmännings- och besparingsskogar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67879-2021</t>
        </is>
      </c>
      <c r="B4448" s="1" t="n">
        <v>44525</v>
      </c>
      <c r="C4448" s="1" t="n">
        <v>45357</v>
      </c>
      <c r="D4448" t="inlineStr">
        <is>
          <t>GÄVLEBORGS LÄN</t>
        </is>
      </c>
      <c r="E4448" t="inlineStr">
        <is>
          <t>NORDANSTIG</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67923-2021</t>
        </is>
      </c>
      <c r="B4449" s="1" t="n">
        <v>44525</v>
      </c>
      <c r="C4449" s="1" t="n">
        <v>45357</v>
      </c>
      <c r="D4449" t="inlineStr">
        <is>
          <t>GÄVLEBORGS LÄN</t>
        </is>
      </c>
      <c r="E4449" t="inlineStr">
        <is>
          <t>LJUSDAL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67931-2021</t>
        </is>
      </c>
      <c r="B4450" s="1" t="n">
        <v>44525</v>
      </c>
      <c r="C4450" s="1" t="n">
        <v>45357</v>
      </c>
      <c r="D4450" t="inlineStr">
        <is>
          <t>GÄVLEBORGS LÄN</t>
        </is>
      </c>
      <c r="E4450" t="inlineStr">
        <is>
          <t>NORDANSTIG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68154-2021</t>
        </is>
      </c>
      <c r="B4451" s="1" t="n">
        <v>44526</v>
      </c>
      <c r="C4451" s="1" t="n">
        <v>45357</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68242-2021</t>
        </is>
      </c>
      <c r="B4452" s="1" t="n">
        <v>44526</v>
      </c>
      <c r="C4452" s="1" t="n">
        <v>45357</v>
      </c>
      <c r="D4452" t="inlineStr">
        <is>
          <t>GÄVLEBORGS LÄN</t>
        </is>
      </c>
      <c r="E4452" t="inlineStr">
        <is>
          <t>BOLLNÄS</t>
        </is>
      </c>
      <c r="F4452" t="inlineStr">
        <is>
          <t>Holmen skog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68516-2021</t>
        </is>
      </c>
      <c r="B4453" s="1" t="n">
        <v>44526</v>
      </c>
      <c r="C4453" s="1" t="n">
        <v>45357</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68079-2021</t>
        </is>
      </c>
      <c r="B4454" s="1" t="n">
        <v>44526</v>
      </c>
      <c r="C4454" s="1" t="n">
        <v>45357</v>
      </c>
      <c r="D4454" t="inlineStr">
        <is>
          <t>GÄVLEBORGS LÄN</t>
        </is>
      </c>
      <c r="E4454" t="inlineStr">
        <is>
          <t>HOFORS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68156-2021</t>
        </is>
      </c>
      <c r="B4455" s="1" t="n">
        <v>44526</v>
      </c>
      <c r="C4455" s="1" t="n">
        <v>45357</v>
      </c>
      <c r="D4455" t="inlineStr">
        <is>
          <t>GÄVLEBORGS LÄN</t>
        </is>
      </c>
      <c r="E4455" t="inlineStr">
        <is>
          <t>BOLLNÄS</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68076-2021</t>
        </is>
      </c>
      <c r="B4456" s="1" t="n">
        <v>44526</v>
      </c>
      <c r="C4456" s="1" t="n">
        <v>45357</v>
      </c>
      <c r="D4456" t="inlineStr">
        <is>
          <t>GÄVLEBORGS LÄN</t>
        </is>
      </c>
      <c r="E4456" t="inlineStr">
        <is>
          <t>HOFORS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68119-2021</t>
        </is>
      </c>
      <c r="B4457" s="1" t="n">
        <v>44526</v>
      </c>
      <c r="C4457" s="1" t="n">
        <v>45357</v>
      </c>
      <c r="D4457" t="inlineStr">
        <is>
          <t>GÄVLEBORGS LÄN</t>
        </is>
      </c>
      <c r="E4457" t="inlineStr">
        <is>
          <t>GÄVLE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68078-2021</t>
        </is>
      </c>
      <c r="B4458" s="1" t="n">
        <v>44526</v>
      </c>
      <c r="C4458" s="1" t="n">
        <v>45357</v>
      </c>
      <c r="D4458" t="inlineStr">
        <is>
          <t>GÄVLEBORGS LÄN</t>
        </is>
      </c>
      <c r="E4458" t="inlineStr">
        <is>
          <t>HOFORS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68112-2021</t>
        </is>
      </c>
      <c r="B4459" s="1" t="n">
        <v>44526</v>
      </c>
      <c r="C4459" s="1" t="n">
        <v>45357</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68245-2021</t>
        </is>
      </c>
      <c r="B4460" s="1" t="n">
        <v>44526</v>
      </c>
      <c r="C4460" s="1" t="n">
        <v>45357</v>
      </c>
      <c r="D4460" t="inlineStr">
        <is>
          <t>GÄVLEBORGS LÄN</t>
        </is>
      </c>
      <c r="E4460" t="inlineStr">
        <is>
          <t>OVANÅKER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68342-2021</t>
        </is>
      </c>
      <c r="B4461" s="1" t="n">
        <v>44528</v>
      </c>
      <c r="C4461" s="1" t="n">
        <v>45357</v>
      </c>
      <c r="D4461" t="inlineStr">
        <is>
          <t>GÄVLEBORGS LÄN</t>
        </is>
      </c>
      <c r="E4461" t="inlineStr">
        <is>
          <t>HUDIKSVALL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68541-2021</t>
        </is>
      </c>
      <c r="B4462" s="1" t="n">
        <v>44529</v>
      </c>
      <c r="C4462" s="1" t="n">
        <v>45357</v>
      </c>
      <c r="D4462" t="inlineStr">
        <is>
          <t>GÄVLEBORGS LÄN</t>
        </is>
      </c>
      <c r="E4462" t="inlineStr">
        <is>
          <t>OCKELBO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68659-2021</t>
        </is>
      </c>
      <c r="B4463" s="1" t="n">
        <v>44529</v>
      </c>
      <c r="C4463" s="1" t="n">
        <v>45357</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68396-2021</t>
        </is>
      </c>
      <c r="B4464" s="1" t="n">
        <v>44529</v>
      </c>
      <c r="C4464" s="1" t="n">
        <v>45357</v>
      </c>
      <c r="D4464" t="inlineStr">
        <is>
          <t>GÄVLEBORGS LÄN</t>
        </is>
      </c>
      <c r="E4464" t="inlineStr">
        <is>
          <t>NORDANSTIG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68612-2021</t>
        </is>
      </c>
      <c r="B4465" s="1" t="n">
        <v>44529</v>
      </c>
      <c r="C4465" s="1" t="n">
        <v>45357</v>
      </c>
      <c r="D4465" t="inlineStr">
        <is>
          <t>GÄVLEBORGS LÄN</t>
        </is>
      </c>
      <c r="E4465" t="inlineStr">
        <is>
          <t>SÖDERHAMN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68662-2021</t>
        </is>
      </c>
      <c r="B4466" s="1" t="n">
        <v>44529</v>
      </c>
      <c r="C4466" s="1" t="n">
        <v>45357</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68730-2021</t>
        </is>
      </c>
      <c r="B4467" s="1" t="n">
        <v>44529</v>
      </c>
      <c r="C4467" s="1" t="n">
        <v>45357</v>
      </c>
      <c r="D4467" t="inlineStr">
        <is>
          <t>GÄVLEBORGS LÄN</t>
        </is>
      </c>
      <c r="E4467" t="inlineStr">
        <is>
          <t>HUDIKSVALL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69001-2021</t>
        </is>
      </c>
      <c r="B4468" s="1" t="n">
        <v>44530</v>
      </c>
      <c r="C4468" s="1" t="n">
        <v>45357</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69057-2021</t>
        </is>
      </c>
      <c r="B4469" s="1" t="n">
        <v>44530</v>
      </c>
      <c r="C4469" s="1" t="n">
        <v>45357</v>
      </c>
      <c r="D4469" t="inlineStr">
        <is>
          <t>GÄVLEBORGS LÄN</t>
        </is>
      </c>
      <c r="E4469" t="inlineStr">
        <is>
          <t>LJUSDAL</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69127-2021</t>
        </is>
      </c>
      <c r="B4470" s="1" t="n">
        <v>44530</v>
      </c>
      <c r="C4470" s="1" t="n">
        <v>45357</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69007-2021</t>
        </is>
      </c>
      <c r="B4471" s="1" t="n">
        <v>44530</v>
      </c>
      <c r="C4471" s="1" t="n">
        <v>45357</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69125-2021</t>
        </is>
      </c>
      <c r="B4472" s="1" t="n">
        <v>44530</v>
      </c>
      <c r="C4472" s="1" t="n">
        <v>45357</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69184-2021</t>
        </is>
      </c>
      <c r="B4473" s="1" t="n">
        <v>44531</v>
      </c>
      <c r="C4473" s="1" t="n">
        <v>45357</v>
      </c>
      <c r="D4473" t="inlineStr">
        <is>
          <t>GÄVLEBORGS LÄN</t>
        </is>
      </c>
      <c r="E4473" t="inlineStr">
        <is>
          <t>BOLLNÄS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69378-2021</t>
        </is>
      </c>
      <c r="B4474" s="1" t="n">
        <v>44531</v>
      </c>
      <c r="C4474" s="1" t="n">
        <v>45357</v>
      </c>
      <c r="D4474" t="inlineStr">
        <is>
          <t>GÄVLEBORGS LÄN</t>
        </is>
      </c>
      <c r="E4474" t="inlineStr">
        <is>
          <t>BOLLNÄS</t>
        </is>
      </c>
      <c r="F4474" t="inlineStr">
        <is>
          <t>Bergvik skog väst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69406-2021</t>
        </is>
      </c>
      <c r="B4475" s="1" t="n">
        <v>44531</v>
      </c>
      <c r="C4475" s="1" t="n">
        <v>45357</v>
      </c>
      <c r="D4475" t="inlineStr">
        <is>
          <t>GÄVLEBORGS LÄN</t>
        </is>
      </c>
      <c r="E4475" t="inlineStr">
        <is>
          <t>BOLLNÄS</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69445-2021</t>
        </is>
      </c>
      <c r="B4476" s="1" t="n">
        <v>44531</v>
      </c>
      <c r="C4476" s="1" t="n">
        <v>45357</v>
      </c>
      <c r="D4476" t="inlineStr">
        <is>
          <t>GÄVLEBORGS LÄN</t>
        </is>
      </c>
      <c r="E4476" t="inlineStr">
        <is>
          <t>OVANÅKER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69521-2021</t>
        </is>
      </c>
      <c r="B4477" s="1" t="n">
        <v>44531</v>
      </c>
      <c r="C4477" s="1" t="n">
        <v>45357</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69572-2021</t>
        </is>
      </c>
      <c r="B4478" s="1" t="n">
        <v>44532</v>
      </c>
      <c r="C4478" s="1" t="n">
        <v>45357</v>
      </c>
      <c r="D4478" t="inlineStr">
        <is>
          <t>GÄVLEBORGS LÄN</t>
        </is>
      </c>
      <c r="E4478" t="inlineStr">
        <is>
          <t>OCKELBO</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69580-2021</t>
        </is>
      </c>
      <c r="B4479" s="1" t="n">
        <v>44532</v>
      </c>
      <c r="C4479" s="1" t="n">
        <v>45357</v>
      </c>
      <c r="D4479" t="inlineStr">
        <is>
          <t>GÄVLEBORGS LÄN</t>
        </is>
      </c>
      <c r="E4479" t="inlineStr">
        <is>
          <t>OCKELBO</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69613-2021</t>
        </is>
      </c>
      <c r="B4480" s="1" t="n">
        <v>44532</v>
      </c>
      <c r="C4480" s="1" t="n">
        <v>45357</v>
      </c>
      <c r="D4480" t="inlineStr">
        <is>
          <t>GÄVLEBORGS LÄN</t>
        </is>
      </c>
      <c r="E4480" t="inlineStr">
        <is>
          <t>BOLLNÄS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69620-2021</t>
        </is>
      </c>
      <c r="B4481" s="1" t="n">
        <v>44532</v>
      </c>
      <c r="C4481" s="1" t="n">
        <v>45357</v>
      </c>
      <c r="D4481" t="inlineStr">
        <is>
          <t>GÄVLEBORGS LÄN</t>
        </is>
      </c>
      <c r="E4481" t="inlineStr">
        <is>
          <t>BOLLNÄS</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69617-2021</t>
        </is>
      </c>
      <c r="B4482" s="1" t="n">
        <v>44532</v>
      </c>
      <c r="C4482" s="1" t="n">
        <v>45357</v>
      </c>
      <c r="D4482" t="inlineStr">
        <is>
          <t>GÄVLEBORGS LÄN</t>
        </is>
      </c>
      <c r="E4482" t="inlineStr">
        <is>
          <t>NORDANSTIG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69688-2021</t>
        </is>
      </c>
      <c r="B4483" s="1" t="n">
        <v>44532</v>
      </c>
      <c r="C4483" s="1" t="n">
        <v>45357</v>
      </c>
      <c r="D4483" t="inlineStr">
        <is>
          <t>GÄVLEBORGS LÄN</t>
        </is>
      </c>
      <c r="E4483" t="inlineStr">
        <is>
          <t>OVANÅKER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69851-2021</t>
        </is>
      </c>
      <c r="B4484" s="1" t="n">
        <v>44532</v>
      </c>
      <c r="C4484" s="1" t="n">
        <v>45357</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69836-2021</t>
        </is>
      </c>
      <c r="B4485" s="1" t="n">
        <v>44532</v>
      </c>
      <c r="C4485" s="1" t="n">
        <v>45357</v>
      </c>
      <c r="D4485" t="inlineStr">
        <is>
          <t>GÄVLEBORGS LÄN</t>
        </is>
      </c>
      <c r="E4485" t="inlineStr">
        <is>
          <t>BOLLNÄS</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69784-2021</t>
        </is>
      </c>
      <c r="B4486" s="1" t="n">
        <v>44532</v>
      </c>
      <c r="C4486" s="1" t="n">
        <v>45357</v>
      </c>
      <c r="D4486" t="inlineStr">
        <is>
          <t>GÄVLEBORGS LÄN</t>
        </is>
      </c>
      <c r="E4486" t="inlineStr">
        <is>
          <t>BOLLNÄS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69833-2021</t>
        </is>
      </c>
      <c r="B4487" s="1" t="n">
        <v>44532</v>
      </c>
      <c r="C4487" s="1" t="n">
        <v>45357</v>
      </c>
      <c r="D4487" t="inlineStr">
        <is>
          <t>GÄVLEBORGS LÄN</t>
        </is>
      </c>
      <c r="E4487" t="inlineStr">
        <is>
          <t>OCKELBO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69880-2021</t>
        </is>
      </c>
      <c r="B4488" s="1" t="n">
        <v>44532</v>
      </c>
      <c r="C4488" s="1" t="n">
        <v>45357</v>
      </c>
      <c r="D4488" t="inlineStr">
        <is>
          <t>GÄVLEBORGS LÄN</t>
        </is>
      </c>
      <c r="E4488" t="inlineStr">
        <is>
          <t>OCKELBO</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69942-2021</t>
        </is>
      </c>
      <c r="B4489" s="1" t="n">
        <v>44533</v>
      </c>
      <c r="C4489" s="1" t="n">
        <v>45357</v>
      </c>
      <c r="D4489" t="inlineStr">
        <is>
          <t>GÄVLEBORGS LÄN</t>
        </is>
      </c>
      <c r="E4489" t="inlineStr">
        <is>
          <t>SÖDERHAMN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70150-2021</t>
        </is>
      </c>
      <c r="B4490" s="1" t="n">
        <v>44533</v>
      </c>
      <c r="C4490" s="1" t="n">
        <v>45357</v>
      </c>
      <c r="D4490" t="inlineStr">
        <is>
          <t>GÄVLEBORGS LÄN</t>
        </is>
      </c>
      <c r="E4490" t="inlineStr">
        <is>
          <t>SANDVIKEN</t>
        </is>
      </c>
      <c r="F4490" t="inlineStr">
        <is>
          <t>Naturvårdsverket</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70096-2021</t>
        </is>
      </c>
      <c r="B4491" s="1" t="n">
        <v>44533</v>
      </c>
      <c r="C4491" s="1" t="n">
        <v>45357</v>
      </c>
      <c r="D4491" t="inlineStr">
        <is>
          <t>GÄVLEBORGS LÄN</t>
        </is>
      </c>
      <c r="E4491" t="inlineStr">
        <is>
          <t>BOLLNÄS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70043-2021</t>
        </is>
      </c>
      <c r="B4492" s="1" t="n">
        <v>44533</v>
      </c>
      <c r="C4492" s="1" t="n">
        <v>45357</v>
      </c>
      <c r="D4492" t="inlineStr">
        <is>
          <t>GÄVLEBORGS LÄN</t>
        </is>
      </c>
      <c r="E4492" t="inlineStr">
        <is>
          <t>GÄVLE</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70219-2021</t>
        </is>
      </c>
      <c r="B4493" s="1" t="n">
        <v>44535</v>
      </c>
      <c r="C4493" s="1" t="n">
        <v>45357</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70305-2021</t>
        </is>
      </c>
      <c r="B4494" s="1" t="n">
        <v>44536</v>
      </c>
      <c r="C4494" s="1" t="n">
        <v>45357</v>
      </c>
      <c r="D4494" t="inlineStr">
        <is>
          <t>GÄVLEBORGS LÄN</t>
        </is>
      </c>
      <c r="E4494" t="inlineStr">
        <is>
          <t>OVANÅKER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70264-2021</t>
        </is>
      </c>
      <c r="B4495" s="1" t="n">
        <v>44536</v>
      </c>
      <c r="C4495" s="1" t="n">
        <v>45357</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70288-2021</t>
        </is>
      </c>
      <c r="B4496" s="1" t="n">
        <v>44536</v>
      </c>
      <c r="C4496" s="1" t="n">
        <v>45357</v>
      </c>
      <c r="D4496" t="inlineStr">
        <is>
          <t>GÄVLEBORGS LÄN</t>
        </is>
      </c>
      <c r="E4496" t="inlineStr">
        <is>
          <t>SANDVIKEN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v>
      </c>
      <c r="C4497" s="1" t="n">
        <v>45357</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70432-2021</t>
        </is>
      </c>
      <c r="B4498" s="1" t="n">
        <v>44536</v>
      </c>
      <c r="C4498" s="1" t="n">
        <v>45357</v>
      </c>
      <c r="D4498" t="inlineStr">
        <is>
          <t>GÄVLEBORGS LÄN</t>
        </is>
      </c>
      <c r="E4498" t="inlineStr">
        <is>
          <t>HUDIKSVALL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70478-2021</t>
        </is>
      </c>
      <c r="B4499" s="1" t="n">
        <v>44536</v>
      </c>
      <c r="C4499" s="1" t="n">
        <v>45357</v>
      </c>
      <c r="D4499" t="inlineStr">
        <is>
          <t>GÄVLEBORGS LÄN</t>
        </is>
      </c>
      <c r="E4499" t="inlineStr">
        <is>
          <t>LJUSDAL</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70473-2021</t>
        </is>
      </c>
      <c r="B4500" s="1" t="n">
        <v>44536</v>
      </c>
      <c r="C4500" s="1" t="n">
        <v>45357</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70454-2021</t>
        </is>
      </c>
      <c r="B4501" s="1" t="n">
        <v>44536</v>
      </c>
      <c r="C4501" s="1" t="n">
        <v>45357</v>
      </c>
      <c r="D4501" t="inlineStr">
        <is>
          <t>GÄVLEBORGS LÄN</t>
        </is>
      </c>
      <c r="E4501" t="inlineStr">
        <is>
          <t>HUDIKSVALL</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70573-2021</t>
        </is>
      </c>
      <c r="B4502" s="1" t="n">
        <v>44537</v>
      </c>
      <c r="C4502" s="1" t="n">
        <v>45357</v>
      </c>
      <c r="D4502" t="inlineStr">
        <is>
          <t>GÄVLEBORGS LÄN</t>
        </is>
      </c>
      <c r="E4502" t="inlineStr">
        <is>
          <t>OVANÅKER</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70972-2021</t>
        </is>
      </c>
      <c r="B4503" s="1" t="n">
        <v>44538</v>
      </c>
      <c r="C4503" s="1" t="n">
        <v>45357</v>
      </c>
      <c r="D4503" t="inlineStr">
        <is>
          <t>GÄVLEBORGS LÄN</t>
        </is>
      </c>
      <c r="E4503" t="inlineStr">
        <is>
          <t>OCKELBO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70914-2021</t>
        </is>
      </c>
      <c r="B4504" s="1" t="n">
        <v>44538</v>
      </c>
      <c r="C4504" s="1" t="n">
        <v>45357</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71070-2021</t>
        </is>
      </c>
      <c r="B4505" s="1" t="n">
        <v>44538</v>
      </c>
      <c r="C4505" s="1" t="n">
        <v>45357</v>
      </c>
      <c r="D4505" t="inlineStr">
        <is>
          <t>GÄVLEBORGS LÄN</t>
        </is>
      </c>
      <c r="E4505" t="inlineStr">
        <is>
          <t>LJUSDAL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71068-2021</t>
        </is>
      </c>
      <c r="B4506" s="1" t="n">
        <v>44538</v>
      </c>
      <c r="C4506" s="1" t="n">
        <v>45357</v>
      </c>
      <c r="D4506" t="inlineStr">
        <is>
          <t>GÄVLEBORGS LÄN</t>
        </is>
      </c>
      <c r="E4506" t="inlineStr">
        <is>
          <t>LJUSDAL</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71057-2021</t>
        </is>
      </c>
      <c r="B4507" s="1" t="n">
        <v>44538</v>
      </c>
      <c r="C4507" s="1" t="n">
        <v>45357</v>
      </c>
      <c r="D4507" t="inlineStr">
        <is>
          <t>GÄVLEBORGS LÄN</t>
        </is>
      </c>
      <c r="E4507" t="inlineStr">
        <is>
          <t>GÄVLE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71122-2021</t>
        </is>
      </c>
      <c r="B4508" s="1" t="n">
        <v>44539</v>
      </c>
      <c r="C4508" s="1" t="n">
        <v>45357</v>
      </c>
      <c r="D4508" t="inlineStr">
        <is>
          <t>GÄVLEBORGS LÄN</t>
        </is>
      </c>
      <c r="E4508" t="inlineStr">
        <is>
          <t>HUDIKSVALL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71249-2021</t>
        </is>
      </c>
      <c r="B4509" s="1" t="n">
        <v>44539</v>
      </c>
      <c r="C4509" s="1" t="n">
        <v>45357</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71215-2021</t>
        </is>
      </c>
      <c r="B4510" s="1" t="n">
        <v>44539</v>
      </c>
      <c r="C4510" s="1" t="n">
        <v>45357</v>
      </c>
      <c r="D4510" t="inlineStr">
        <is>
          <t>GÄVLEBORGS LÄN</t>
        </is>
      </c>
      <c r="E4510" t="inlineStr">
        <is>
          <t>GÄVLE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71305-2021</t>
        </is>
      </c>
      <c r="B4511" s="1" t="n">
        <v>44539</v>
      </c>
      <c r="C4511" s="1" t="n">
        <v>45357</v>
      </c>
      <c r="D4511" t="inlineStr">
        <is>
          <t>GÄVLEBORGS LÄN</t>
        </is>
      </c>
      <c r="E4511" t="inlineStr">
        <is>
          <t>LJUSDAL</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71489-2021</t>
        </is>
      </c>
      <c r="B4512" s="1" t="n">
        <v>44540</v>
      </c>
      <c r="C4512" s="1" t="n">
        <v>45357</v>
      </c>
      <c r="D4512" t="inlineStr">
        <is>
          <t>GÄVLEBORGS LÄN</t>
        </is>
      </c>
      <c r="E4512" t="inlineStr">
        <is>
          <t>BOLLNÄS</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71408-2021</t>
        </is>
      </c>
      <c r="B4513" s="1" t="n">
        <v>44540</v>
      </c>
      <c r="C4513" s="1" t="n">
        <v>45357</v>
      </c>
      <c r="D4513" t="inlineStr">
        <is>
          <t>GÄVLEBORGS LÄN</t>
        </is>
      </c>
      <c r="E4513" t="inlineStr">
        <is>
          <t>HUDIKSVALL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71415-2021</t>
        </is>
      </c>
      <c r="B4514" s="1" t="n">
        <v>44540</v>
      </c>
      <c r="C4514" s="1" t="n">
        <v>45357</v>
      </c>
      <c r="D4514" t="inlineStr">
        <is>
          <t>GÄVLEBORGS LÄN</t>
        </is>
      </c>
      <c r="E4514" t="inlineStr">
        <is>
          <t>NORDANSTIG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71442-2021</t>
        </is>
      </c>
      <c r="B4515" s="1" t="n">
        <v>44540</v>
      </c>
      <c r="C4515" s="1" t="n">
        <v>45357</v>
      </c>
      <c r="D4515" t="inlineStr">
        <is>
          <t>GÄVLEBORGS LÄN</t>
        </is>
      </c>
      <c r="E4515" t="inlineStr">
        <is>
          <t>NORDANSTIG</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71515-2021</t>
        </is>
      </c>
      <c r="B4516" s="1" t="n">
        <v>44540</v>
      </c>
      <c r="C4516" s="1" t="n">
        <v>45357</v>
      </c>
      <c r="D4516" t="inlineStr">
        <is>
          <t>GÄVLEBORGS LÄN</t>
        </is>
      </c>
      <c r="E4516" t="inlineStr">
        <is>
          <t>BOLLNÄS</t>
        </is>
      </c>
      <c r="F4516" t="inlineStr">
        <is>
          <t>Holmen skog AB</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71532-2021</t>
        </is>
      </c>
      <c r="B4517" s="1" t="n">
        <v>44540</v>
      </c>
      <c r="C4517" s="1" t="n">
        <v>45357</v>
      </c>
      <c r="D4517" t="inlineStr">
        <is>
          <t>GÄVLEBORGS LÄN</t>
        </is>
      </c>
      <c r="E4517" t="inlineStr">
        <is>
          <t>NORDANSTIG</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71490-2021</t>
        </is>
      </c>
      <c r="B4518" s="1" t="n">
        <v>44540</v>
      </c>
      <c r="C4518" s="1" t="n">
        <v>45357</v>
      </c>
      <c r="D4518" t="inlineStr">
        <is>
          <t>GÄVLEBORGS LÄN</t>
        </is>
      </c>
      <c r="E4518" t="inlineStr">
        <is>
          <t>NORDANSTIG</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71526-2021</t>
        </is>
      </c>
      <c r="B4519" s="1" t="n">
        <v>44540</v>
      </c>
      <c r="C4519" s="1" t="n">
        <v>45357</v>
      </c>
      <c r="D4519" t="inlineStr">
        <is>
          <t>GÄVLEBORGS LÄN</t>
        </is>
      </c>
      <c r="E4519" t="inlineStr">
        <is>
          <t>NORDANSTIG</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71698-2021</t>
        </is>
      </c>
      <c r="B4520" s="1" t="n">
        <v>44543</v>
      </c>
      <c r="C4520" s="1" t="n">
        <v>45357</v>
      </c>
      <c r="D4520" t="inlineStr">
        <is>
          <t>GÄVLEBORGS LÄN</t>
        </is>
      </c>
      <c r="E4520" t="inlineStr">
        <is>
          <t>LJUSDAL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71710-2021</t>
        </is>
      </c>
      <c r="B4521" s="1" t="n">
        <v>44543</v>
      </c>
      <c r="C4521" s="1" t="n">
        <v>45357</v>
      </c>
      <c r="D4521" t="inlineStr">
        <is>
          <t>GÄVLEBORGS LÄN</t>
        </is>
      </c>
      <c r="E4521" t="inlineStr">
        <is>
          <t>GÄVLE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71645-2021</t>
        </is>
      </c>
      <c r="B4522" s="1" t="n">
        <v>44543</v>
      </c>
      <c r="C4522" s="1" t="n">
        <v>45357</v>
      </c>
      <c r="D4522" t="inlineStr">
        <is>
          <t>GÄVLEBORGS LÄN</t>
        </is>
      </c>
      <c r="E4522" t="inlineStr">
        <is>
          <t>SÖDERHAMN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71657-2021</t>
        </is>
      </c>
      <c r="B4523" s="1" t="n">
        <v>44543</v>
      </c>
      <c r="C4523" s="1" t="n">
        <v>45357</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71658-2021</t>
        </is>
      </c>
      <c r="B4524" s="1" t="n">
        <v>44543</v>
      </c>
      <c r="C4524" s="1" t="n">
        <v>45357</v>
      </c>
      <c r="D4524" t="inlineStr">
        <is>
          <t>GÄVLEBORGS LÄN</t>
        </is>
      </c>
      <c r="E4524" t="inlineStr">
        <is>
          <t>OCKELBO</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71678-2021</t>
        </is>
      </c>
      <c r="B4525" s="1" t="n">
        <v>44543</v>
      </c>
      <c r="C4525" s="1" t="n">
        <v>45357</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71790-2021</t>
        </is>
      </c>
      <c r="B4526" s="1" t="n">
        <v>44543</v>
      </c>
      <c r="C4526" s="1" t="n">
        <v>45357</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71680-2021</t>
        </is>
      </c>
      <c r="B4527" s="1" t="n">
        <v>44543</v>
      </c>
      <c r="C4527" s="1" t="n">
        <v>45357</v>
      </c>
      <c r="D4527" t="inlineStr">
        <is>
          <t>GÄVLEBORGS LÄN</t>
        </is>
      </c>
      <c r="E4527" t="inlineStr">
        <is>
          <t>LJUSDAL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72077-2021</t>
        </is>
      </c>
      <c r="B4528" s="1" t="n">
        <v>44544</v>
      </c>
      <c r="C4528" s="1" t="n">
        <v>45357</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72083-2021</t>
        </is>
      </c>
      <c r="B4529" s="1" t="n">
        <v>44544</v>
      </c>
      <c r="C4529" s="1" t="n">
        <v>45357</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71995-2021</t>
        </is>
      </c>
      <c r="B4530" s="1" t="n">
        <v>44544</v>
      </c>
      <c r="C4530" s="1" t="n">
        <v>45357</v>
      </c>
      <c r="D4530" t="inlineStr">
        <is>
          <t>GÄVLEBORGS LÄN</t>
        </is>
      </c>
      <c r="E4530" t="inlineStr">
        <is>
          <t>SANDVIKEN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72150-2021</t>
        </is>
      </c>
      <c r="B4531" s="1" t="n">
        <v>44544</v>
      </c>
      <c r="C4531" s="1" t="n">
        <v>45357</v>
      </c>
      <c r="D4531" t="inlineStr">
        <is>
          <t>GÄVLEBORGS LÄN</t>
        </is>
      </c>
      <c r="E4531" t="inlineStr">
        <is>
          <t>LJUSDAL</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71973-2021</t>
        </is>
      </c>
      <c r="B4532" s="1" t="n">
        <v>44544</v>
      </c>
      <c r="C4532" s="1" t="n">
        <v>45357</v>
      </c>
      <c r="D4532" t="inlineStr">
        <is>
          <t>GÄVLEBORGS LÄN</t>
        </is>
      </c>
      <c r="E4532" t="inlineStr">
        <is>
          <t>NORDANSTIG</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72082-2021</t>
        </is>
      </c>
      <c r="B4533" s="1" t="n">
        <v>44544</v>
      </c>
      <c r="C4533" s="1" t="n">
        <v>45357</v>
      </c>
      <c r="D4533" t="inlineStr">
        <is>
          <t>GÄVLEBORGS LÄN</t>
        </is>
      </c>
      <c r="E4533" t="inlineStr">
        <is>
          <t>NORDANSTIG</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72087-2021</t>
        </is>
      </c>
      <c r="B4534" s="1" t="n">
        <v>44544</v>
      </c>
      <c r="C4534" s="1" t="n">
        <v>45357</v>
      </c>
      <c r="D4534" t="inlineStr">
        <is>
          <t>GÄVLEBORGS LÄN</t>
        </is>
      </c>
      <c r="E4534" t="inlineStr">
        <is>
          <t>SÖDERHAMN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72105-2021</t>
        </is>
      </c>
      <c r="B4535" s="1" t="n">
        <v>44544</v>
      </c>
      <c r="C4535" s="1" t="n">
        <v>45357</v>
      </c>
      <c r="D4535" t="inlineStr">
        <is>
          <t>GÄVLEBORGS LÄN</t>
        </is>
      </c>
      <c r="E4535" t="inlineStr">
        <is>
          <t>NORDANSTIG</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72144-2021</t>
        </is>
      </c>
      <c r="B4536" s="1" t="n">
        <v>44544</v>
      </c>
      <c r="C4536" s="1" t="n">
        <v>45357</v>
      </c>
      <c r="D4536" t="inlineStr">
        <is>
          <t>GÄVLEBORGS LÄN</t>
        </is>
      </c>
      <c r="E4536" t="inlineStr">
        <is>
          <t>HUDIKSVALL</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72164-2021</t>
        </is>
      </c>
      <c r="B4537" s="1" t="n">
        <v>44544</v>
      </c>
      <c r="C4537" s="1" t="n">
        <v>45357</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72056-2021</t>
        </is>
      </c>
      <c r="B4538" s="1" t="n">
        <v>44544</v>
      </c>
      <c r="C4538" s="1" t="n">
        <v>45357</v>
      </c>
      <c r="D4538" t="inlineStr">
        <is>
          <t>GÄVLEBORGS LÄN</t>
        </is>
      </c>
      <c r="E4538" t="inlineStr">
        <is>
          <t>NORDANSTIG</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72080-2021</t>
        </is>
      </c>
      <c r="B4539" s="1" t="n">
        <v>44544</v>
      </c>
      <c r="C4539" s="1" t="n">
        <v>45357</v>
      </c>
      <c r="D4539" t="inlineStr">
        <is>
          <t>GÄVLEBORGS LÄN</t>
        </is>
      </c>
      <c r="E4539" t="inlineStr">
        <is>
          <t>NORDANSTIG</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72102-2021</t>
        </is>
      </c>
      <c r="B4540" s="1" t="n">
        <v>44544</v>
      </c>
      <c r="C4540" s="1" t="n">
        <v>45357</v>
      </c>
      <c r="D4540" t="inlineStr">
        <is>
          <t>GÄVLEBORGS LÄN</t>
        </is>
      </c>
      <c r="E4540" t="inlineStr">
        <is>
          <t>NORDANSTIG</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72110-2021</t>
        </is>
      </c>
      <c r="B4541" s="1" t="n">
        <v>44544</v>
      </c>
      <c r="C4541" s="1" t="n">
        <v>45357</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72229-2021</t>
        </is>
      </c>
      <c r="B4542" s="1" t="n">
        <v>44544</v>
      </c>
      <c r="C4542" s="1" t="n">
        <v>45357</v>
      </c>
      <c r="D4542" t="inlineStr">
        <is>
          <t>GÄVLEBORGS LÄN</t>
        </is>
      </c>
      <c r="E4542" t="inlineStr">
        <is>
          <t>HUDIKSVALL</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72391-2021</t>
        </is>
      </c>
      <c r="B4543" s="1" t="n">
        <v>44545</v>
      </c>
      <c r="C4543" s="1" t="n">
        <v>45357</v>
      </c>
      <c r="D4543" t="inlineStr">
        <is>
          <t>GÄVLEBORGS LÄN</t>
        </is>
      </c>
      <c r="E4543" t="inlineStr">
        <is>
          <t>GÄVLE</t>
        </is>
      </c>
      <c r="F4543" t="inlineStr">
        <is>
          <t>Bergvik skog öst AB</t>
        </is>
      </c>
      <c r="G4543" t="n">
        <v>11.5</v>
      </c>
      <c r="H4543" t="n">
        <v>0</v>
      </c>
      <c r="I4543" t="n">
        <v>0</v>
      </c>
      <c r="J4543" t="n">
        <v>0</v>
      </c>
      <c r="K4543" t="n">
        <v>0</v>
      </c>
      <c r="L4543" t="n">
        <v>0</v>
      </c>
      <c r="M4543" t="n">
        <v>0</v>
      </c>
      <c r="N4543" t="n">
        <v>0</v>
      </c>
      <c r="O4543" t="n">
        <v>0</v>
      </c>
      <c r="P4543" t="n">
        <v>0</v>
      </c>
      <c r="Q4543" t="n">
        <v>0</v>
      </c>
      <c r="R4543" s="2" t="inlineStr"/>
    </row>
    <row r="4544" ht="15" customHeight="1">
      <c r="A4544" t="inlineStr">
        <is>
          <t>A 72433-2021</t>
        </is>
      </c>
      <c r="B4544" s="1" t="n">
        <v>44545</v>
      </c>
      <c r="C4544" s="1" t="n">
        <v>45357</v>
      </c>
      <c r="D4544" t="inlineStr">
        <is>
          <t>GÄVLEBORGS LÄN</t>
        </is>
      </c>
      <c r="E4544" t="inlineStr">
        <is>
          <t>NORDANSTIG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72457-2021</t>
        </is>
      </c>
      <c r="B4545" s="1" t="n">
        <v>44545</v>
      </c>
      <c r="C4545" s="1" t="n">
        <v>45357</v>
      </c>
      <c r="D4545" t="inlineStr">
        <is>
          <t>GÄVLEBORGS LÄN</t>
        </is>
      </c>
      <c r="E4545" t="inlineStr">
        <is>
          <t>LJUSDAL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72256-2021</t>
        </is>
      </c>
      <c r="B4546" s="1" t="n">
        <v>44545</v>
      </c>
      <c r="C4546" s="1" t="n">
        <v>45357</v>
      </c>
      <c r="D4546" t="inlineStr">
        <is>
          <t>GÄVLEBORGS LÄN</t>
        </is>
      </c>
      <c r="E4546" t="inlineStr">
        <is>
          <t>HUDIKSVALL</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72435-2021</t>
        </is>
      </c>
      <c r="B4547" s="1" t="n">
        <v>44545</v>
      </c>
      <c r="C4547" s="1" t="n">
        <v>45357</v>
      </c>
      <c r="D4547" t="inlineStr">
        <is>
          <t>GÄVLEBORGS LÄN</t>
        </is>
      </c>
      <c r="E4547" t="inlineStr">
        <is>
          <t>NORDANSTIG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72464-2021</t>
        </is>
      </c>
      <c r="B4548" s="1" t="n">
        <v>44545</v>
      </c>
      <c r="C4548" s="1" t="n">
        <v>45357</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72541-2021</t>
        </is>
      </c>
      <c r="B4549" s="1" t="n">
        <v>44546</v>
      </c>
      <c r="C4549" s="1" t="n">
        <v>45357</v>
      </c>
      <c r="D4549" t="inlineStr">
        <is>
          <t>GÄVLEBORGS LÄN</t>
        </is>
      </c>
      <c r="E4549" t="inlineStr">
        <is>
          <t>GÄVLE</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72504-2021</t>
        </is>
      </c>
      <c r="B4550" s="1" t="n">
        <v>44546</v>
      </c>
      <c r="C4550" s="1" t="n">
        <v>45357</v>
      </c>
      <c r="D4550" t="inlineStr">
        <is>
          <t>GÄVLEBORGS LÄN</t>
        </is>
      </c>
      <c r="E4550" t="inlineStr">
        <is>
          <t>GÄVLE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72535-2021</t>
        </is>
      </c>
      <c r="B4551" s="1" t="n">
        <v>44546</v>
      </c>
      <c r="C4551" s="1" t="n">
        <v>45357</v>
      </c>
      <c r="D4551" t="inlineStr">
        <is>
          <t>GÄVLEBORGS LÄN</t>
        </is>
      </c>
      <c r="E4551" t="inlineStr">
        <is>
          <t>HUDIKSVALL</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72594-2021</t>
        </is>
      </c>
      <c r="B4552" s="1" t="n">
        <v>44546</v>
      </c>
      <c r="C4552" s="1" t="n">
        <v>45357</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72730-2021</t>
        </is>
      </c>
      <c r="B4553" s="1" t="n">
        <v>44546</v>
      </c>
      <c r="C4553" s="1" t="n">
        <v>45357</v>
      </c>
      <c r="D4553" t="inlineStr">
        <is>
          <t>GÄVLEBORGS LÄN</t>
        </is>
      </c>
      <c r="E4553" t="inlineStr">
        <is>
          <t>GÄVLE</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72734-2021</t>
        </is>
      </c>
      <c r="B4554" s="1" t="n">
        <v>44546</v>
      </c>
      <c r="C4554" s="1" t="n">
        <v>45357</v>
      </c>
      <c r="D4554" t="inlineStr">
        <is>
          <t>GÄVLEBORGS LÄN</t>
        </is>
      </c>
      <c r="E4554" t="inlineStr">
        <is>
          <t>GÄVLE</t>
        </is>
      </c>
      <c r="F4554" t="inlineStr">
        <is>
          <t>Kommuner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72644-2021</t>
        </is>
      </c>
      <c r="B4555" s="1" t="n">
        <v>44546</v>
      </c>
      <c r="C4555" s="1" t="n">
        <v>45357</v>
      </c>
      <c r="D4555" t="inlineStr">
        <is>
          <t>GÄVLEBORGS LÄN</t>
        </is>
      </c>
      <c r="E4555" t="inlineStr">
        <is>
          <t>SÖDERHAMN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72645-2021</t>
        </is>
      </c>
      <c r="B4556" s="1" t="n">
        <v>44546</v>
      </c>
      <c r="C4556" s="1" t="n">
        <v>45357</v>
      </c>
      <c r="D4556" t="inlineStr">
        <is>
          <t>GÄVLEBORGS LÄN</t>
        </is>
      </c>
      <c r="E4556" t="inlineStr">
        <is>
          <t>SÖDERHAMN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72678-2021</t>
        </is>
      </c>
      <c r="B4557" s="1" t="n">
        <v>44546</v>
      </c>
      <c r="C4557" s="1" t="n">
        <v>45357</v>
      </c>
      <c r="D4557" t="inlineStr">
        <is>
          <t>GÄVLEBORGS LÄN</t>
        </is>
      </c>
      <c r="E4557" t="inlineStr">
        <is>
          <t>HUDIKSVALL</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72711-2021</t>
        </is>
      </c>
      <c r="B4558" s="1" t="n">
        <v>44546</v>
      </c>
      <c r="C4558" s="1" t="n">
        <v>45357</v>
      </c>
      <c r="D4558" t="inlineStr">
        <is>
          <t>GÄVLEBORGS LÄN</t>
        </is>
      </c>
      <c r="E4558" t="inlineStr">
        <is>
          <t>LJUSDAL</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72815-2021</t>
        </is>
      </c>
      <c r="B4559" s="1" t="n">
        <v>44547</v>
      </c>
      <c r="C4559" s="1" t="n">
        <v>45357</v>
      </c>
      <c r="D4559" t="inlineStr">
        <is>
          <t>GÄVLEBORGS LÄN</t>
        </is>
      </c>
      <c r="E4559" t="inlineStr">
        <is>
          <t>NORDANSTIG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72854-2021</t>
        </is>
      </c>
      <c r="B4560" s="1" t="n">
        <v>44547</v>
      </c>
      <c r="C4560" s="1" t="n">
        <v>45357</v>
      </c>
      <c r="D4560" t="inlineStr">
        <is>
          <t>GÄVLEBORGS LÄN</t>
        </is>
      </c>
      <c r="E4560" t="inlineStr">
        <is>
          <t>OVANÅKER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72820-2021</t>
        </is>
      </c>
      <c r="B4561" s="1" t="n">
        <v>44547</v>
      </c>
      <c r="C4561" s="1" t="n">
        <v>45357</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72899-2021</t>
        </is>
      </c>
      <c r="B4562" s="1" t="n">
        <v>44547</v>
      </c>
      <c r="C4562" s="1" t="n">
        <v>45357</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72997-2021</t>
        </is>
      </c>
      <c r="B4563" s="1" t="n">
        <v>44549</v>
      </c>
      <c r="C4563" s="1" t="n">
        <v>45357</v>
      </c>
      <c r="D4563" t="inlineStr">
        <is>
          <t>GÄVLEBORGS LÄN</t>
        </is>
      </c>
      <c r="E4563" t="inlineStr">
        <is>
          <t>SANDVIKEN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73223-2021</t>
        </is>
      </c>
      <c r="B4564" s="1" t="n">
        <v>44550</v>
      </c>
      <c r="C4564" s="1" t="n">
        <v>45357</v>
      </c>
      <c r="D4564" t="inlineStr">
        <is>
          <t>GÄVLEBORGS LÄN</t>
        </is>
      </c>
      <c r="E4564" t="inlineStr">
        <is>
          <t>OCKELBO</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73164-2021</t>
        </is>
      </c>
      <c r="B4565" s="1" t="n">
        <v>44550</v>
      </c>
      <c r="C4565" s="1" t="n">
        <v>45357</v>
      </c>
      <c r="D4565" t="inlineStr">
        <is>
          <t>GÄVLEBORGS LÄN</t>
        </is>
      </c>
      <c r="E4565" t="inlineStr">
        <is>
          <t>HUDIKSVALL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73190-2021</t>
        </is>
      </c>
      <c r="B4566" s="1" t="n">
        <v>44550</v>
      </c>
      <c r="C4566" s="1" t="n">
        <v>45357</v>
      </c>
      <c r="D4566" t="inlineStr">
        <is>
          <t>GÄVLEBORGS LÄN</t>
        </is>
      </c>
      <c r="E4566" t="inlineStr">
        <is>
          <t>LJUSDAL</t>
        </is>
      </c>
      <c r="F4566" t="inlineStr">
        <is>
          <t>Holmen skog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73241-2021</t>
        </is>
      </c>
      <c r="B4567" s="1" t="n">
        <v>44550</v>
      </c>
      <c r="C4567" s="1" t="n">
        <v>45357</v>
      </c>
      <c r="D4567" t="inlineStr">
        <is>
          <t>GÄVLEBORGS LÄN</t>
        </is>
      </c>
      <c r="E4567" t="inlineStr">
        <is>
          <t>LJUSDAL</t>
        </is>
      </c>
      <c r="F4567" t="inlineStr">
        <is>
          <t>Allmännings- och besparingsskogar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73555-2021</t>
        </is>
      </c>
      <c r="B4568" s="1" t="n">
        <v>44551</v>
      </c>
      <c r="C4568" s="1" t="n">
        <v>45357</v>
      </c>
      <c r="D4568" t="inlineStr">
        <is>
          <t>GÄVLEBORGS LÄN</t>
        </is>
      </c>
      <c r="E4568" t="inlineStr">
        <is>
          <t>LJUSDAL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73447-2021</t>
        </is>
      </c>
      <c r="B4569" s="1" t="n">
        <v>44551</v>
      </c>
      <c r="C4569" s="1" t="n">
        <v>45357</v>
      </c>
      <c r="D4569" t="inlineStr">
        <is>
          <t>GÄVLEBORGS LÄN</t>
        </is>
      </c>
      <c r="E4569" t="inlineStr">
        <is>
          <t>SÖDERHAMN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73331-2021</t>
        </is>
      </c>
      <c r="B4570" s="1" t="n">
        <v>44551</v>
      </c>
      <c r="C4570" s="1" t="n">
        <v>45357</v>
      </c>
      <c r="D4570" t="inlineStr">
        <is>
          <t>GÄVLEBORGS LÄN</t>
        </is>
      </c>
      <c r="E4570" t="inlineStr">
        <is>
          <t>SANDVIKEN</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73389-2021</t>
        </is>
      </c>
      <c r="B4571" s="1" t="n">
        <v>44551</v>
      </c>
      <c r="C4571" s="1" t="n">
        <v>45357</v>
      </c>
      <c r="D4571" t="inlineStr">
        <is>
          <t>GÄVLEBORGS LÄN</t>
        </is>
      </c>
      <c r="E4571" t="inlineStr">
        <is>
          <t>NORDANSTIG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73554-2021</t>
        </is>
      </c>
      <c r="B4572" s="1" t="n">
        <v>44551</v>
      </c>
      <c r="C4572" s="1" t="n">
        <v>45357</v>
      </c>
      <c r="D4572" t="inlineStr">
        <is>
          <t>GÄVLEBORGS LÄN</t>
        </is>
      </c>
      <c r="E4572" t="inlineStr">
        <is>
          <t>LJUSDAL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73725-2021</t>
        </is>
      </c>
      <c r="B4573" s="1" t="n">
        <v>44552</v>
      </c>
      <c r="C4573" s="1" t="n">
        <v>45357</v>
      </c>
      <c r="D4573" t="inlineStr">
        <is>
          <t>GÄVLEBORGS LÄN</t>
        </is>
      </c>
      <c r="E4573" t="inlineStr">
        <is>
          <t>NORDANSTIG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73672-2021</t>
        </is>
      </c>
      <c r="B4574" s="1" t="n">
        <v>44552</v>
      </c>
      <c r="C4574" s="1" t="n">
        <v>45357</v>
      </c>
      <c r="D4574" t="inlineStr">
        <is>
          <t>GÄVLEBORGS LÄN</t>
        </is>
      </c>
      <c r="E4574" t="inlineStr">
        <is>
          <t>LJUSDAL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73750-2021</t>
        </is>
      </c>
      <c r="B4575" s="1" t="n">
        <v>44552</v>
      </c>
      <c r="C4575" s="1" t="n">
        <v>45357</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73583-2021</t>
        </is>
      </c>
      <c r="B4576" s="1" t="n">
        <v>44552</v>
      </c>
      <c r="C4576" s="1" t="n">
        <v>45357</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73642-2021</t>
        </is>
      </c>
      <c r="B4577" s="1" t="n">
        <v>44552</v>
      </c>
      <c r="C4577" s="1" t="n">
        <v>45357</v>
      </c>
      <c r="D4577" t="inlineStr">
        <is>
          <t>GÄVLEBORGS LÄN</t>
        </is>
      </c>
      <c r="E4577" t="inlineStr">
        <is>
          <t>SÖDERHAMN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73740-2021</t>
        </is>
      </c>
      <c r="B4578" s="1" t="n">
        <v>44552</v>
      </c>
      <c r="C4578" s="1" t="n">
        <v>45357</v>
      </c>
      <c r="D4578" t="inlineStr">
        <is>
          <t>GÄVLEBORGS LÄN</t>
        </is>
      </c>
      <c r="E4578" t="inlineStr">
        <is>
          <t>NORDANSTIG</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73748-2021</t>
        </is>
      </c>
      <c r="B4579" s="1" t="n">
        <v>44552</v>
      </c>
      <c r="C4579" s="1" t="n">
        <v>45357</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73868-2021</t>
        </is>
      </c>
      <c r="B4580" s="1" t="n">
        <v>44553</v>
      </c>
      <c r="C4580" s="1" t="n">
        <v>45357</v>
      </c>
      <c r="D4580" t="inlineStr">
        <is>
          <t>GÄVLEBORGS LÄN</t>
        </is>
      </c>
      <c r="E4580" t="inlineStr">
        <is>
          <t>BOLLNÄS</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73925-2021</t>
        </is>
      </c>
      <c r="B4581" s="1" t="n">
        <v>44553</v>
      </c>
      <c r="C4581" s="1" t="n">
        <v>45357</v>
      </c>
      <c r="D4581" t="inlineStr">
        <is>
          <t>GÄVLEBORGS LÄN</t>
        </is>
      </c>
      <c r="E4581" t="inlineStr">
        <is>
          <t>SANDVIKEN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74009-2021</t>
        </is>
      </c>
      <c r="B4582" s="1" t="n">
        <v>44557</v>
      </c>
      <c r="C4582" s="1" t="n">
        <v>45357</v>
      </c>
      <c r="D4582" t="inlineStr">
        <is>
          <t>GÄVLEBORGS LÄN</t>
        </is>
      </c>
      <c r="E4582" t="inlineStr">
        <is>
          <t>HUDIKSVALL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74101-2021</t>
        </is>
      </c>
      <c r="B4583" s="1" t="n">
        <v>44557</v>
      </c>
      <c r="C4583" s="1" t="n">
        <v>45357</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74193-2021</t>
        </is>
      </c>
      <c r="B4584" s="1" t="n">
        <v>44558</v>
      </c>
      <c r="C4584" s="1" t="n">
        <v>45357</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74255-2021</t>
        </is>
      </c>
      <c r="B4585" s="1" t="n">
        <v>44558</v>
      </c>
      <c r="C4585" s="1" t="n">
        <v>45357</v>
      </c>
      <c r="D4585" t="inlineStr">
        <is>
          <t>GÄVLEBORGS LÄN</t>
        </is>
      </c>
      <c r="E4585" t="inlineStr">
        <is>
          <t>HOFORS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74254-2021</t>
        </is>
      </c>
      <c r="B4586" s="1" t="n">
        <v>44558</v>
      </c>
      <c r="C4586" s="1" t="n">
        <v>45357</v>
      </c>
      <c r="D4586" t="inlineStr">
        <is>
          <t>GÄVLEBORGS LÄN</t>
        </is>
      </c>
      <c r="E4586" t="inlineStr">
        <is>
          <t>HOFORS</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74337-2021</t>
        </is>
      </c>
      <c r="B4587" s="1" t="n">
        <v>44559</v>
      </c>
      <c r="C4587" s="1" t="n">
        <v>45357</v>
      </c>
      <c r="D4587" t="inlineStr">
        <is>
          <t>GÄVLEBORGS LÄN</t>
        </is>
      </c>
      <c r="E4587" t="inlineStr">
        <is>
          <t>LJUSDAL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74349-2021</t>
        </is>
      </c>
      <c r="B4588" s="1" t="n">
        <v>44559</v>
      </c>
      <c r="C4588" s="1" t="n">
        <v>45357</v>
      </c>
      <c r="D4588" t="inlineStr">
        <is>
          <t>GÄVLEBORGS LÄN</t>
        </is>
      </c>
      <c r="E4588" t="inlineStr">
        <is>
          <t>HOFORS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74469-2021</t>
        </is>
      </c>
      <c r="B4589" s="1" t="n">
        <v>44560</v>
      </c>
      <c r="C4589" s="1" t="n">
        <v>45357</v>
      </c>
      <c r="D4589" t="inlineStr">
        <is>
          <t>GÄVLEBORGS LÄN</t>
        </is>
      </c>
      <c r="E4589" t="inlineStr">
        <is>
          <t>GÄVLE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74460-2021</t>
        </is>
      </c>
      <c r="B4590" s="1" t="n">
        <v>44560</v>
      </c>
      <c r="C4590" s="1" t="n">
        <v>45357</v>
      </c>
      <c r="D4590" t="inlineStr">
        <is>
          <t>GÄVLEBORGS LÄN</t>
        </is>
      </c>
      <c r="E4590" t="inlineStr">
        <is>
          <t>NORDANSTIG</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139-2022</t>
        </is>
      </c>
      <c r="B4591" s="1" t="n">
        <v>44564</v>
      </c>
      <c r="C4591" s="1" t="n">
        <v>45357</v>
      </c>
      <c r="D4591" t="inlineStr">
        <is>
          <t>GÄVLEBORGS LÄN</t>
        </is>
      </c>
      <c r="E4591" t="inlineStr">
        <is>
          <t>SANDVIKEN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80-2022</t>
        </is>
      </c>
      <c r="B4592" s="1" t="n">
        <v>44564</v>
      </c>
      <c r="C4592" s="1" t="n">
        <v>45357</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254-2022</t>
        </is>
      </c>
      <c r="B4593" s="1" t="n">
        <v>44564</v>
      </c>
      <c r="C4593" s="1" t="n">
        <v>45357</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30-2022</t>
        </is>
      </c>
      <c r="B4594" s="1" t="n">
        <v>44564</v>
      </c>
      <c r="C4594" s="1" t="n">
        <v>45357</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65-2022</t>
        </is>
      </c>
      <c r="B4595" s="1" t="n">
        <v>44564</v>
      </c>
      <c r="C4595" s="1" t="n">
        <v>45357</v>
      </c>
      <c r="D4595" t="inlineStr">
        <is>
          <t>GÄVLEBORGS LÄN</t>
        </is>
      </c>
      <c r="E4595" t="inlineStr">
        <is>
          <t>OVANÅKER</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331-2022</t>
        </is>
      </c>
      <c r="B4596" s="1" t="n">
        <v>44565</v>
      </c>
      <c r="C4596" s="1" t="n">
        <v>45357</v>
      </c>
      <c r="D4596" t="inlineStr">
        <is>
          <t>GÄVLEBORGS LÄN</t>
        </is>
      </c>
      <c r="E4596" t="inlineStr">
        <is>
          <t>LJUSDAL</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480-2022</t>
        </is>
      </c>
      <c r="B4597" s="1" t="n">
        <v>44566</v>
      </c>
      <c r="C4597" s="1" t="n">
        <v>45357</v>
      </c>
      <c r="D4597" t="inlineStr">
        <is>
          <t>GÄVLEBORGS LÄN</t>
        </is>
      </c>
      <c r="E4597" t="inlineStr">
        <is>
          <t>HUDIKSVALL</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541-2022</t>
        </is>
      </c>
      <c r="B4598" s="1" t="n">
        <v>44566</v>
      </c>
      <c r="C4598" s="1" t="n">
        <v>45357</v>
      </c>
      <c r="D4598" t="inlineStr">
        <is>
          <t>GÄVLEBORGS LÄN</t>
        </is>
      </c>
      <c r="E4598" t="inlineStr">
        <is>
          <t>BOLLNÄS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549-2022</t>
        </is>
      </c>
      <c r="B4599" s="1" t="n">
        <v>44566</v>
      </c>
      <c r="C4599" s="1" t="n">
        <v>45357</v>
      </c>
      <c r="D4599" t="inlineStr">
        <is>
          <t>GÄVLEBORGS LÄN</t>
        </is>
      </c>
      <c r="E4599" t="inlineStr">
        <is>
          <t>SANDVIKEN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486-2022</t>
        </is>
      </c>
      <c r="B4600" s="1" t="n">
        <v>44566</v>
      </c>
      <c r="C4600" s="1" t="n">
        <v>45357</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522-2022</t>
        </is>
      </c>
      <c r="B4601" s="1" t="n">
        <v>44566</v>
      </c>
      <c r="C4601" s="1" t="n">
        <v>45357</v>
      </c>
      <c r="D4601" t="inlineStr">
        <is>
          <t>GÄVLEBORGS LÄN</t>
        </is>
      </c>
      <c r="E4601" t="inlineStr">
        <is>
          <t>BOLLNÄS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534-2022</t>
        </is>
      </c>
      <c r="B4602" s="1" t="n">
        <v>44566</v>
      </c>
      <c r="C4602" s="1" t="n">
        <v>45357</v>
      </c>
      <c r="D4602" t="inlineStr">
        <is>
          <t>GÄVLEBORGS LÄN</t>
        </is>
      </c>
      <c r="E4602" t="inlineStr">
        <is>
          <t>BOLLNÄS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574-2022</t>
        </is>
      </c>
      <c r="B4603" s="1" t="n">
        <v>44566</v>
      </c>
      <c r="C4603" s="1" t="n">
        <v>45357</v>
      </c>
      <c r="D4603" t="inlineStr">
        <is>
          <t>GÄVLEBORGS LÄN</t>
        </is>
      </c>
      <c r="E4603" t="inlineStr">
        <is>
          <t>LJUSDAL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575-2022</t>
        </is>
      </c>
      <c r="B4604" s="1" t="n">
        <v>44566</v>
      </c>
      <c r="C4604" s="1" t="n">
        <v>45357</v>
      </c>
      <c r="D4604" t="inlineStr">
        <is>
          <t>GÄVLEBORGS LÄN</t>
        </is>
      </c>
      <c r="E4604" t="inlineStr">
        <is>
          <t>NORDANSTIG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884-2022</t>
        </is>
      </c>
      <c r="B4605" s="1" t="n">
        <v>44568</v>
      </c>
      <c r="C4605" s="1" t="n">
        <v>45357</v>
      </c>
      <c r="D4605" t="inlineStr">
        <is>
          <t>GÄVLEBORGS LÄN</t>
        </is>
      </c>
      <c r="E4605" t="inlineStr">
        <is>
          <t>HUDIKSVALL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926-2022</t>
        </is>
      </c>
      <c r="B4606" s="1" t="n">
        <v>44571</v>
      </c>
      <c r="C4606" s="1" t="n">
        <v>45357</v>
      </c>
      <c r="D4606" t="inlineStr">
        <is>
          <t>GÄVLEBORGS LÄN</t>
        </is>
      </c>
      <c r="E4606" t="inlineStr">
        <is>
          <t>OVANÅKER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983-2022</t>
        </is>
      </c>
      <c r="B4607" s="1" t="n">
        <v>44571</v>
      </c>
      <c r="C4607" s="1" t="n">
        <v>45357</v>
      </c>
      <c r="D4607" t="inlineStr">
        <is>
          <t>GÄVLEBORGS LÄN</t>
        </is>
      </c>
      <c r="E4607" t="inlineStr">
        <is>
          <t>LJUSDAL</t>
        </is>
      </c>
      <c r="F4607" t="inlineStr">
        <is>
          <t>Holmen skog AB</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816-2022</t>
        </is>
      </c>
      <c r="B4608" s="1" t="n">
        <v>44571</v>
      </c>
      <c r="C4608" s="1" t="n">
        <v>45357</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892-2022</t>
        </is>
      </c>
      <c r="B4609" s="1" t="n">
        <v>44571</v>
      </c>
      <c r="C4609" s="1" t="n">
        <v>45357</v>
      </c>
      <c r="D4609" t="inlineStr">
        <is>
          <t>GÄVLEBORGS LÄN</t>
        </is>
      </c>
      <c r="E4609" t="inlineStr">
        <is>
          <t>OVANÅKER</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960-2022</t>
        </is>
      </c>
      <c r="B4610" s="1" t="n">
        <v>44571</v>
      </c>
      <c r="C4610" s="1" t="n">
        <v>45357</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1031-2022</t>
        </is>
      </c>
      <c r="B4611" s="1" t="n">
        <v>44571</v>
      </c>
      <c r="C4611" s="1" t="n">
        <v>45357</v>
      </c>
      <c r="D4611" t="inlineStr">
        <is>
          <t>GÄVLEBORGS LÄN</t>
        </is>
      </c>
      <c r="E4611" t="inlineStr">
        <is>
          <t>GÄVLE</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1049-2022</t>
        </is>
      </c>
      <c r="B4612" s="1" t="n">
        <v>44571</v>
      </c>
      <c r="C4612" s="1" t="n">
        <v>45357</v>
      </c>
      <c r="D4612" t="inlineStr">
        <is>
          <t>GÄVLEBORGS LÄN</t>
        </is>
      </c>
      <c r="E4612" t="inlineStr">
        <is>
          <t>SANDVIKEN</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1250-2022</t>
        </is>
      </c>
      <c r="B4613" s="1" t="n">
        <v>44572</v>
      </c>
      <c r="C4613" s="1" t="n">
        <v>45357</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1306-2022</t>
        </is>
      </c>
      <c r="B4614" s="1" t="n">
        <v>44572</v>
      </c>
      <c r="C4614" s="1" t="n">
        <v>45357</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1511-2022</t>
        </is>
      </c>
      <c r="B4615" s="1" t="n">
        <v>44573</v>
      </c>
      <c r="C4615" s="1" t="n">
        <v>45357</v>
      </c>
      <c r="D4615" t="inlineStr">
        <is>
          <t>GÄVLEBORGS LÄN</t>
        </is>
      </c>
      <c r="E4615" t="inlineStr">
        <is>
          <t>SÖDERHAMN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1377-2022</t>
        </is>
      </c>
      <c r="B4616" s="1" t="n">
        <v>44573</v>
      </c>
      <c r="C4616" s="1" t="n">
        <v>45357</v>
      </c>
      <c r="D4616" t="inlineStr">
        <is>
          <t>GÄVLEBORGS LÄN</t>
        </is>
      </c>
      <c r="E4616" t="inlineStr">
        <is>
          <t>HUDIKSVALL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1483-2022</t>
        </is>
      </c>
      <c r="B4617" s="1" t="n">
        <v>44573</v>
      </c>
      <c r="C4617" s="1" t="n">
        <v>45357</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1474-2022</t>
        </is>
      </c>
      <c r="B4618" s="1" t="n">
        <v>44573</v>
      </c>
      <c r="C4618" s="1" t="n">
        <v>45357</v>
      </c>
      <c r="D4618" t="inlineStr">
        <is>
          <t>GÄVLEBORGS LÄN</t>
        </is>
      </c>
      <c r="E4618" t="inlineStr">
        <is>
          <t>BOLLNÄS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1530-2022</t>
        </is>
      </c>
      <c r="B4619" s="1" t="n">
        <v>44573</v>
      </c>
      <c r="C4619" s="1" t="n">
        <v>45357</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1588-2022</t>
        </is>
      </c>
      <c r="B4620" s="1" t="n">
        <v>44573</v>
      </c>
      <c r="C4620" s="1" t="n">
        <v>45357</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1594-2022</t>
        </is>
      </c>
      <c r="B4621" s="1" t="n">
        <v>44573</v>
      </c>
      <c r="C4621" s="1" t="n">
        <v>45357</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1634-2022</t>
        </is>
      </c>
      <c r="B4622" s="1" t="n">
        <v>44573</v>
      </c>
      <c r="C4622" s="1" t="n">
        <v>45357</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1598-2022</t>
        </is>
      </c>
      <c r="B4623" s="1" t="n">
        <v>44573</v>
      </c>
      <c r="C4623" s="1" t="n">
        <v>45357</v>
      </c>
      <c r="D4623" t="inlineStr">
        <is>
          <t>GÄVLEBORGS LÄN</t>
        </is>
      </c>
      <c r="E4623" t="inlineStr">
        <is>
          <t>OCKELBO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1699-2022</t>
        </is>
      </c>
      <c r="B4624" s="1" t="n">
        <v>44574</v>
      </c>
      <c r="C4624" s="1" t="n">
        <v>45357</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1765-2022</t>
        </is>
      </c>
      <c r="B4625" s="1" t="n">
        <v>44574</v>
      </c>
      <c r="C4625" s="1" t="n">
        <v>45357</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1707-2022</t>
        </is>
      </c>
      <c r="B4626" s="1" t="n">
        <v>44574</v>
      </c>
      <c r="C4626" s="1" t="n">
        <v>45357</v>
      </c>
      <c r="D4626" t="inlineStr">
        <is>
          <t>GÄVLEBORGS LÄN</t>
        </is>
      </c>
      <c r="E4626" t="inlineStr">
        <is>
          <t>HUDIKSVALL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1996-2022</t>
        </is>
      </c>
      <c r="B4627" s="1" t="n">
        <v>44575</v>
      </c>
      <c r="C4627" s="1" t="n">
        <v>45357</v>
      </c>
      <c r="D4627" t="inlineStr">
        <is>
          <t>GÄVLEBORGS LÄN</t>
        </is>
      </c>
      <c r="E4627" t="inlineStr">
        <is>
          <t>NORDANSTIG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2023-2022</t>
        </is>
      </c>
      <c r="B4628" s="1" t="n">
        <v>44575</v>
      </c>
      <c r="C4628" s="1" t="n">
        <v>45357</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2267-2022</t>
        </is>
      </c>
      <c r="B4629" s="1" t="n">
        <v>44578</v>
      </c>
      <c r="C4629" s="1" t="n">
        <v>45357</v>
      </c>
      <c r="D4629" t="inlineStr">
        <is>
          <t>GÄVLEBORGS LÄN</t>
        </is>
      </c>
      <c r="E4629" t="inlineStr">
        <is>
          <t>HUDIKSVALL</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2198-2022</t>
        </is>
      </c>
      <c r="B4630" s="1" t="n">
        <v>44578</v>
      </c>
      <c r="C4630" s="1" t="n">
        <v>45357</v>
      </c>
      <c r="D4630" t="inlineStr">
        <is>
          <t>GÄVLEBORGS LÄN</t>
        </is>
      </c>
      <c r="E4630" t="inlineStr">
        <is>
          <t>OCKELBO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2232-2022</t>
        </is>
      </c>
      <c r="B4631" s="1" t="n">
        <v>44578</v>
      </c>
      <c r="C4631" s="1" t="n">
        <v>45357</v>
      </c>
      <c r="D4631" t="inlineStr">
        <is>
          <t>GÄVLEBORGS LÄN</t>
        </is>
      </c>
      <c r="E4631" t="inlineStr">
        <is>
          <t>HUDIKSVALL</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2280-2022</t>
        </is>
      </c>
      <c r="B4632" s="1" t="n">
        <v>44578</v>
      </c>
      <c r="C4632" s="1" t="n">
        <v>45357</v>
      </c>
      <c r="D4632" t="inlineStr">
        <is>
          <t>GÄVLEBORGS LÄN</t>
        </is>
      </c>
      <c r="E4632" t="inlineStr">
        <is>
          <t>HUDIKSVALL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2449-2022</t>
        </is>
      </c>
      <c r="B4633" s="1" t="n">
        <v>44579</v>
      </c>
      <c r="C4633" s="1" t="n">
        <v>45357</v>
      </c>
      <c r="D4633" t="inlineStr">
        <is>
          <t>GÄVLEBORGS LÄN</t>
        </is>
      </c>
      <c r="E4633" t="inlineStr">
        <is>
          <t>LJUSDAL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2417-2022</t>
        </is>
      </c>
      <c r="B4634" s="1" t="n">
        <v>44579</v>
      </c>
      <c r="C4634" s="1" t="n">
        <v>45357</v>
      </c>
      <c r="D4634" t="inlineStr">
        <is>
          <t>GÄVLEBORGS LÄN</t>
        </is>
      </c>
      <c r="E4634" t="inlineStr">
        <is>
          <t>OVANÅKER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2489-2022</t>
        </is>
      </c>
      <c r="B4635" s="1" t="n">
        <v>44579</v>
      </c>
      <c r="C4635" s="1" t="n">
        <v>45357</v>
      </c>
      <c r="D4635" t="inlineStr">
        <is>
          <t>GÄVLEBORGS LÄN</t>
        </is>
      </c>
      <c r="E4635" t="inlineStr">
        <is>
          <t>NORDANSTIG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2546-2022</t>
        </is>
      </c>
      <c r="B4636" s="1" t="n">
        <v>44579</v>
      </c>
      <c r="C4636" s="1" t="n">
        <v>45357</v>
      </c>
      <c r="D4636" t="inlineStr">
        <is>
          <t>GÄVLEBORGS LÄN</t>
        </is>
      </c>
      <c r="E4636" t="inlineStr">
        <is>
          <t>GÄVLE</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2547-2022</t>
        </is>
      </c>
      <c r="B4637" s="1" t="n">
        <v>44580</v>
      </c>
      <c r="C4637" s="1" t="n">
        <v>45357</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2611-2022</t>
        </is>
      </c>
      <c r="B4638" s="1" t="n">
        <v>44580</v>
      </c>
      <c r="C4638" s="1" t="n">
        <v>45357</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2755-2022</t>
        </is>
      </c>
      <c r="B4639" s="1" t="n">
        <v>44580</v>
      </c>
      <c r="C4639" s="1" t="n">
        <v>45357</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2946-2022</t>
        </is>
      </c>
      <c r="B4640" s="1" t="n">
        <v>44581</v>
      </c>
      <c r="C4640" s="1" t="n">
        <v>45357</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2960-2022</t>
        </is>
      </c>
      <c r="B4641" s="1" t="n">
        <v>44581</v>
      </c>
      <c r="C4641" s="1" t="n">
        <v>45357</v>
      </c>
      <c r="D4641" t="inlineStr">
        <is>
          <t>GÄVLEBORGS LÄN</t>
        </is>
      </c>
      <c r="E4641" t="inlineStr">
        <is>
          <t>NORDANSTIG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3047-2022</t>
        </is>
      </c>
      <c r="B4642" s="1" t="n">
        <v>44581</v>
      </c>
      <c r="C4642" s="1" t="n">
        <v>45357</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3031-2022</t>
        </is>
      </c>
      <c r="B4643" s="1" t="n">
        <v>44582</v>
      </c>
      <c r="C4643" s="1" t="n">
        <v>45357</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3052-2022</t>
        </is>
      </c>
      <c r="B4644" s="1" t="n">
        <v>44582</v>
      </c>
      <c r="C4644" s="1" t="n">
        <v>45357</v>
      </c>
      <c r="D4644" t="inlineStr">
        <is>
          <t>GÄVLEBORGS LÄN</t>
        </is>
      </c>
      <c r="E4644" t="inlineStr">
        <is>
          <t>HOFORS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3119-2022</t>
        </is>
      </c>
      <c r="B4645" s="1" t="n">
        <v>44582</v>
      </c>
      <c r="C4645" s="1" t="n">
        <v>45357</v>
      </c>
      <c r="D4645" t="inlineStr">
        <is>
          <t>GÄVLEBORGS LÄN</t>
        </is>
      </c>
      <c r="E4645" t="inlineStr">
        <is>
          <t>SANDVIKEN</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3098-2022</t>
        </is>
      </c>
      <c r="B4646" s="1" t="n">
        <v>44582</v>
      </c>
      <c r="C4646" s="1" t="n">
        <v>45357</v>
      </c>
      <c r="D4646" t="inlineStr">
        <is>
          <t>GÄVLEBORGS LÄN</t>
        </is>
      </c>
      <c r="E4646" t="inlineStr">
        <is>
          <t>LJUSDAL</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3334-2022</t>
        </is>
      </c>
      <c r="B4647" s="1" t="n">
        <v>44585</v>
      </c>
      <c r="C4647" s="1" t="n">
        <v>45357</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3402-2022</t>
        </is>
      </c>
      <c r="B4648" s="1" t="n">
        <v>44585</v>
      </c>
      <c r="C4648" s="1" t="n">
        <v>45357</v>
      </c>
      <c r="D4648" t="inlineStr">
        <is>
          <t>GÄVLEBORGS LÄN</t>
        </is>
      </c>
      <c r="E4648" t="inlineStr">
        <is>
          <t>OVANÅKER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3429-2022</t>
        </is>
      </c>
      <c r="B4649" s="1" t="n">
        <v>44585</v>
      </c>
      <c r="C4649" s="1" t="n">
        <v>45357</v>
      </c>
      <c r="D4649" t="inlineStr">
        <is>
          <t>GÄVLEBORGS LÄN</t>
        </is>
      </c>
      <c r="E4649" t="inlineStr">
        <is>
          <t>BOLLNÄS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3444-2022</t>
        </is>
      </c>
      <c r="B4650" s="1" t="n">
        <v>44585</v>
      </c>
      <c r="C4650" s="1" t="n">
        <v>45357</v>
      </c>
      <c r="D4650" t="inlineStr">
        <is>
          <t>GÄVLEBORGS LÄN</t>
        </is>
      </c>
      <c r="E4650" t="inlineStr">
        <is>
          <t>BOLLNÄS</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3472-2022</t>
        </is>
      </c>
      <c r="B4651" s="1" t="n">
        <v>44585</v>
      </c>
      <c r="C4651" s="1" t="n">
        <v>45357</v>
      </c>
      <c r="D4651" t="inlineStr">
        <is>
          <t>GÄVLEBORGS LÄN</t>
        </is>
      </c>
      <c r="E4651" t="inlineStr">
        <is>
          <t>GÄVLE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3632-2022</t>
        </is>
      </c>
      <c r="B4652" s="1" t="n">
        <v>44586</v>
      </c>
      <c r="C4652" s="1" t="n">
        <v>45357</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3679-2022</t>
        </is>
      </c>
      <c r="B4653" s="1" t="n">
        <v>44586</v>
      </c>
      <c r="C4653" s="1" t="n">
        <v>45357</v>
      </c>
      <c r="D4653" t="inlineStr">
        <is>
          <t>GÄVLEBORGS LÄN</t>
        </is>
      </c>
      <c r="E4653" t="inlineStr">
        <is>
          <t>SANDVIKEN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3569-2022</t>
        </is>
      </c>
      <c r="B4654" s="1" t="n">
        <v>44586</v>
      </c>
      <c r="C4654" s="1" t="n">
        <v>45357</v>
      </c>
      <c r="D4654" t="inlineStr">
        <is>
          <t>GÄVLEBORGS LÄN</t>
        </is>
      </c>
      <c r="E4654" t="inlineStr">
        <is>
          <t>GÄVLE</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3639-2022</t>
        </is>
      </c>
      <c r="B4655" s="1" t="n">
        <v>44586</v>
      </c>
      <c r="C4655" s="1" t="n">
        <v>45357</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3662-2022</t>
        </is>
      </c>
      <c r="B4656" s="1" t="n">
        <v>44586</v>
      </c>
      <c r="C4656" s="1" t="n">
        <v>45357</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3692-2022</t>
        </is>
      </c>
      <c r="B4657" s="1" t="n">
        <v>44586</v>
      </c>
      <c r="C4657" s="1" t="n">
        <v>45357</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3745-2022</t>
        </is>
      </c>
      <c r="B4658" s="1" t="n">
        <v>44586</v>
      </c>
      <c r="C4658" s="1" t="n">
        <v>45357</v>
      </c>
      <c r="D4658" t="inlineStr">
        <is>
          <t>GÄVLEBORGS LÄN</t>
        </is>
      </c>
      <c r="E4658" t="inlineStr">
        <is>
          <t>OCKELBO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3748-2022</t>
        </is>
      </c>
      <c r="B4659" s="1" t="n">
        <v>44586</v>
      </c>
      <c r="C4659" s="1" t="n">
        <v>45357</v>
      </c>
      <c r="D4659" t="inlineStr">
        <is>
          <t>GÄVLEBORGS LÄN</t>
        </is>
      </c>
      <c r="E4659" t="inlineStr">
        <is>
          <t>SANDVIKEN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3851-2022</t>
        </is>
      </c>
      <c r="B4660" s="1" t="n">
        <v>44587</v>
      </c>
      <c r="C4660" s="1" t="n">
        <v>45357</v>
      </c>
      <c r="D4660" t="inlineStr">
        <is>
          <t>GÄVLEBORGS LÄN</t>
        </is>
      </c>
      <c r="E4660" t="inlineStr">
        <is>
          <t>HUDIKSVALL</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3868-2022</t>
        </is>
      </c>
      <c r="B4661" s="1" t="n">
        <v>44587</v>
      </c>
      <c r="C4661" s="1" t="n">
        <v>45357</v>
      </c>
      <c r="D4661" t="inlineStr">
        <is>
          <t>GÄVLEBORGS LÄN</t>
        </is>
      </c>
      <c r="E4661" t="inlineStr">
        <is>
          <t>LJUSDAL</t>
        </is>
      </c>
      <c r="F4661" t="inlineStr">
        <is>
          <t>Sveaskog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3899-2022</t>
        </is>
      </c>
      <c r="B4662" s="1" t="n">
        <v>44587</v>
      </c>
      <c r="C4662" s="1" t="n">
        <v>45357</v>
      </c>
      <c r="D4662" t="inlineStr">
        <is>
          <t>GÄVLEBORGS LÄN</t>
        </is>
      </c>
      <c r="E4662" t="inlineStr">
        <is>
          <t>SANDVIKEN</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3909-2022</t>
        </is>
      </c>
      <c r="B4663" s="1" t="n">
        <v>44587</v>
      </c>
      <c r="C4663" s="1" t="n">
        <v>45357</v>
      </c>
      <c r="D4663" t="inlineStr">
        <is>
          <t>GÄVLEBORGS LÄN</t>
        </is>
      </c>
      <c r="E4663" t="inlineStr">
        <is>
          <t>SANDVIKEN</t>
        </is>
      </c>
      <c r="F4663" t="inlineStr">
        <is>
          <t>Kyrkan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4152-2022</t>
        </is>
      </c>
      <c r="B4664" s="1" t="n">
        <v>44588</v>
      </c>
      <c r="C4664" s="1" t="n">
        <v>45357</v>
      </c>
      <c r="D4664" t="inlineStr">
        <is>
          <t>GÄVLEBORGS LÄN</t>
        </is>
      </c>
      <c r="E4664" t="inlineStr">
        <is>
          <t>GÄVLE</t>
        </is>
      </c>
      <c r="F4664" t="inlineStr">
        <is>
          <t>Bergvik skog öst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4225-2022</t>
        </is>
      </c>
      <c r="B4665" s="1" t="n">
        <v>44588</v>
      </c>
      <c r="C4665" s="1" t="n">
        <v>45357</v>
      </c>
      <c r="D4665" t="inlineStr">
        <is>
          <t>GÄVLEBORGS LÄN</t>
        </is>
      </c>
      <c r="E4665" t="inlineStr">
        <is>
          <t>HUDIKSVALL</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4313-2022</t>
        </is>
      </c>
      <c r="B4666" s="1" t="n">
        <v>44588</v>
      </c>
      <c r="C4666" s="1" t="n">
        <v>45357</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4433-2022</t>
        </is>
      </c>
      <c r="B4667" s="1" t="n">
        <v>44589</v>
      </c>
      <c r="C4667" s="1" t="n">
        <v>45357</v>
      </c>
      <c r="D4667" t="inlineStr">
        <is>
          <t>GÄVLEBORGS LÄN</t>
        </is>
      </c>
      <c r="E4667" t="inlineStr">
        <is>
          <t>LJUSDAL</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45357</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4414-2022</t>
        </is>
      </c>
      <c r="B4669" s="1" t="n">
        <v>44589</v>
      </c>
      <c r="C4669" s="1" t="n">
        <v>45357</v>
      </c>
      <c r="D4669" t="inlineStr">
        <is>
          <t>GÄVLEBORGS LÄN</t>
        </is>
      </c>
      <c r="E4669" t="inlineStr">
        <is>
          <t>NORDANSTIG</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4349-2022</t>
        </is>
      </c>
      <c r="B4670" s="1" t="n">
        <v>44589</v>
      </c>
      <c r="C4670" s="1" t="n">
        <v>45357</v>
      </c>
      <c r="D4670" t="inlineStr">
        <is>
          <t>GÄVLEBORGS LÄN</t>
        </is>
      </c>
      <c r="E4670" t="inlineStr">
        <is>
          <t>GÄVLE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4543-2022</t>
        </is>
      </c>
      <c r="B4671" s="1" t="n">
        <v>44590</v>
      </c>
      <c r="C4671" s="1" t="n">
        <v>45357</v>
      </c>
      <c r="D4671" t="inlineStr">
        <is>
          <t>GÄVLEBORGS LÄN</t>
        </is>
      </c>
      <c r="E4671" t="inlineStr">
        <is>
          <t>LJUSDAL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4759-2022</t>
        </is>
      </c>
      <c r="B4672" s="1" t="n">
        <v>44592</v>
      </c>
      <c r="C4672" s="1" t="n">
        <v>45357</v>
      </c>
      <c r="D4672" t="inlineStr">
        <is>
          <t>GÄVLEBORGS LÄN</t>
        </is>
      </c>
      <c r="E4672" t="inlineStr">
        <is>
          <t>HUDIKSVALL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4813-2022</t>
        </is>
      </c>
      <c r="B4673" s="1" t="n">
        <v>44592</v>
      </c>
      <c r="C4673" s="1" t="n">
        <v>45357</v>
      </c>
      <c r="D4673" t="inlineStr">
        <is>
          <t>GÄVLEBORGS LÄN</t>
        </is>
      </c>
      <c r="E4673" t="inlineStr">
        <is>
          <t>LJUSDAL</t>
        </is>
      </c>
      <c r="F4673" t="inlineStr">
        <is>
          <t>Sveaskog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4935-2022</t>
        </is>
      </c>
      <c r="B4674" s="1" t="n">
        <v>44593</v>
      </c>
      <c r="C4674" s="1" t="n">
        <v>45357</v>
      </c>
      <c r="D4674" t="inlineStr">
        <is>
          <t>GÄVLEBORGS LÄN</t>
        </is>
      </c>
      <c r="E4674" t="inlineStr">
        <is>
          <t>GÄVLE</t>
        </is>
      </c>
      <c r="F4674" t="inlineStr">
        <is>
          <t>Kyrkan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5033-2022</t>
        </is>
      </c>
      <c r="B4675" s="1" t="n">
        <v>44593</v>
      </c>
      <c r="C4675" s="1" t="n">
        <v>45357</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5135-2022</t>
        </is>
      </c>
      <c r="B4676" s="1" t="n">
        <v>44594</v>
      </c>
      <c r="C4676" s="1" t="n">
        <v>45357</v>
      </c>
      <c r="D4676" t="inlineStr">
        <is>
          <t>GÄVLEBORGS LÄN</t>
        </is>
      </c>
      <c r="E4676" t="inlineStr">
        <is>
          <t>BOLLNÄS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5149-2022</t>
        </is>
      </c>
      <c r="B4677" s="1" t="n">
        <v>44594</v>
      </c>
      <c r="C4677" s="1" t="n">
        <v>45357</v>
      </c>
      <c r="D4677" t="inlineStr">
        <is>
          <t>GÄVLEBORGS LÄN</t>
        </is>
      </c>
      <c r="E4677" t="inlineStr">
        <is>
          <t>GÄVLE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5296-2022</t>
        </is>
      </c>
      <c r="B4678" s="1" t="n">
        <v>44594</v>
      </c>
      <c r="C4678" s="1" t="n">
        <v>45357</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5294-2022</t>
        </is>
      </c>
      <c r="B4679" s="1" t="n">
        <v>44594</v>
      </c>
      <c r="C4679" s="1" t="n">
        <v>45357</v>
      </c>
      <c r="D4679" t="inlineStr">
        <is>
          <t>GÄVLEBORGS LÄN</t>
        </is>
      </c>
      <c r="E4679" t="inlineStr">
        <is>
          <t>NORDANSTIG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5315-2022</t>
        </is>
      </c>
      <c r="B4680" s="1" t="n">
        <v>44594</v>
      </c>
      <c r="C4680" s="1" t="n">
        <v>45357</v>
      </c>
      <c r="D4680" t="inlineStr">
        <is>
          <t>GÄVLEBORGS LÄN</t>
        </is>
      </c>
      <c r="E4680" t="inlineStr">
        <is>
          <t>HUDIKSVALL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5430-2022</t>
        </is>
      </c>
      <c r="B4681" s="1" t="n">
        <v>44595</v>
      </c>
      <c r="C4681" s="1" t="n">
        <v>45357</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5411-2022</t>
        </is>
      </c>
      <c r="B4682" s="1" t="n">
        <v>44595</v>
      </c>
      <c r="C4682" s="1" t="n">
        <v>45357</v>
      </c>
      <c r="D4682" t="inlineStr">
        <is>
          <t>GÄVLEBORGS LÄN</t>
        </is>
      </c>
      <c r="E4682" t="inlineStr">
        <is>
          <t>NORDANSTIG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5495-2022</t>
        </is>
      </c>
      <c r="B4683" s="1" t="n">
        <v>44595</v>
      </c>
      <c r="C4683" s="1" t="n">
        <v>45357</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5579-2022</t>
        </is>
      </c>
      <c r="B4684" s="1" t="n">
        <v>44595</v>
      </c>
      <c r="C4684" s="1" t="n">
        <v>45357</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5614-2022</t>
        </is>
      </c>
      <c r="B4685" s="1" t="n">
        <v>44595</v>
      </c>
      <c r="C4685" s="1" t="n">
        <v>45357</v>
      </c>
      <c r="D4685" t="inlineStr">
        <is>
          <t>GÄVLEBORGS LÄN</t>
        </is>
      </c>
      <c r="E4685" t="inlineStr">
        <is>
          <t>LJUSDAL</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5561-2022</t>
        </is>
      </c>
      <c r="B4686" s="1" t="n">
        <v>44595</v>
      </c>
      <c r="C4686" s="1" t="n">
        <v>45357</v>
      </c>
      <c r="D4686" t="inlineStr">
        <is>
          <t>GÄVLEBORGS LÄN</t>
        </is>
      </c>
      <c r="E4686" t="inlineStr">
        <is>
          <t>BOLLNÄS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5610-2022</t>
        </is>
      </c>
      <c r="B4687" s="1" t="n">
        <v>44595</v>
      </c>
      <c r="C4687" s="1" t="n">
        <v>45357</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5682-2022</t>
        </is>
      </c>
      <c r="B4688" s="1" t="n">
        <v>44596</v>
      </c>
      <c r="C4688" s="1" t="n">
        <v>45357</v>
      </c>
      <c r="D4688" t="inlineStr">
        <is>
          <t>GÄVLEBORGS LÄN</t>
        </is>
      </c>
      <c r="E4688" t="inlineStr">
        <is>
          <t>NORDANSTIG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5691-2022</t>
        </is>
      </c>
      <c r="B4689" s="1" t="n">
        <v>44596</v>
      </c>
      <c r="C4689" s="1" t="n">
        <v>45357</v>
      </c>
      <c r="D4689" t="inlineStr">
        <is>
          <t>GÄVLEBORGS LÄN</t>
        </is>
      </c>
      <c r="E4689" t="inlineStr">
        <is>
          <t>BOLLNÄS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5810-2022</t>
        </is>
      </c>
      <c r="B4690" s="1" t="n">
        <v>44596</v>
      </c>
      <c r="C4690" s="1" t="n">
        <v>45357</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5825-2022</t>
        </is>
      </c>
      <c r="B4691" s="1" t="n">
        <v>44596</v>
      </c>
      <c r="C4691" s="1" t="n">
        <v>45357</v>
      </c>
      <c r="D4691" t="inlineStr">
        <is>
          <t>GÄVLEBORGS LÄN</t>
        </is>
      </c>
      <c r="E4691" t="inlineStr">
        <is>
          <t>SANDVIKEN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5806-2022</t>
        </is>
      </c>
      <c r="B4692" s="1" t="n">
        <v>44596</v>
      </c>
      <c r="C4692" s="1" t="n">
        <v>45357</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5857-2022</t>
        </is>
      </c>
      <c r="B4693" s="1" t="n">
        <v>44596</v>
      </c>
      <c r="C4693" s="1" t="n">
        <v>45357</v>
      </c>
      <c r="D4693" t="inlineStr">
        <is>
          <t>GÄVLEBORGS LÄN</t>
        </is>
      </c>
      <c r="E4693" t="inlineStr">
        <is>
          <t>NORDANSTIG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5892-2022</t>
        </is>
      </c>
      <c r="B4694" s="1" t="n">
        <v>44596</v>
      </c>
      <c r="C4694" s="1" t="n">
        <v>45357</v>
      </c>
      <c r="D4694" t="inlineStr">
        <is>
          <t>GÄVLEBORGS LÄN</t>
        </is>
      </c>
      <c r="E4694" t="inlineStr">
        <is>
          <t>NORDANSTIG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5894-2022</t>
        </is>
      </c>
      <c r="B4695" s="1" t="n">
        <v>44596</v>
      </c>
      <c r="C4695" s="1" t="n">
        <v>45357</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5889-2022</t>
        </is>
      </c>
      <c r="B4696" s="1" t="n">
        <v>44596</v>
      </c>
      <c r="C4696" s="1" t="n">
        <v>45357</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5891-2022</t>
        </is>
      </c>
      <c r="B4697" s="1" t="n">
        <v>44596</v>
      </c>
      <c r="C4697" s="1" t="n">
        <v>45357</v>
      </c>
      <c r="D4697" t="inlineStr">
        <is>
          <t>GÄVLEBORGS LÄN</t>
        </is>
      </c>
      <c r="E4697" t="inlineStr">
        <is>
          <t>NORDANSTIG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5975-2022</t>
        </is>
      </c>
      <c r="B4698" s="1" t="n">
        <v>44599</v>
      </c>
      <c r="C4698" s="1" t="n">
        <v>45357</v>
      </c>
      <c r="D4698" t="inlineStr">
        <is>
          <t>GÄVLEBORGS LÄN</t>
        </is>
      </c>
      <c r="E4698" t="inlineStr">
        <is>
          <t>GÄVLE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6001-2022</t>
        </is>
      </c>
      <c r="B4699" s="1" t="n">
        <v>44599</v>
      </c>
      <c r="C4699" s="1" t="n">
        <v>45357</v>
      </c>
      <c r="D4699" t="inlineStr">
        <is>
          <t>GÄVLEBORGS LÄN</t>
        </is>
      </c>
      <c r="E4699" t="inlineStr">
        <is>
          <t>GÄVLE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6025-2022</t>
        </is>
      </c>
      <c r="B4700" s="1" t="n">
        <v>44599</v>
      </c>
      <c r="C4700" s="1" t="n">
        <v>45357</v>
      </c>
      <c r="D4700" t="inlineStr">
        <is>
          <t>GÄVLEBORGS LÄN</t>
        </is>
      </c>
      <c r="E4700" t="inlineStr">
        <is>
          <t>GÄVLE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6096-2022</t>
        </is>
      </c>
      <c r="B4701" s="1" t="n">
        <v>44599</v>
      </c>
      <c r="C4701" s="1" t="n">
        <v>45357</v>
      </c>
      <c r="D4701" t="inlineStr">
        <is>
          <t>GÄVLEBORGS LÄN</t>
        </is>
      </c>
      <c r="E4701" t="inlineStr">
        <is>
          <t>NORDANSTIG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6331-2022</t>
        </is>
      </c>
      <c r="B4702" s="1" t="n">
        <v>44600</v>
      </c>
      <c r="C4702" s="1" t="n">
        <v>45357</v>
      </c>
      <c r="D4702" t="inlineStr">
        <is>
          <t>GÄVLEBORGS LÄN</t>
        </is>
      </c>
      <c r="E4702" t="inlineStr">
        <is>
          <t>GÄVLE</t>
        </is>
      </c>
      <c r="F4702" t="inlineStr">
        <is>
          <t>Kyrkan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6308-2022</t>
        </is>
      </c>
      <c r="B4703" s="1" t="n">
        <v>44600</v>
      </c>
      <c r="C4703" s="1" t="n">
        <v>45357</v>
      </c>
      <c r="D4703" t="inlineStr">
        <is>
          <t>GÄVLEBORGS LÄN</t>
        </is>
      </c>
      <c r="E4703" t="inlineStr">
        <is>
          <t>LJUSDAL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6569-2022</t>
        </is>
      </c>
      <c r="B4704" s="1" t="n">
        <v>44601</v>
      </c>
      <c r="C4704" s="1" t="n">
        <v>45357</v>
      </c>
      <c r="D4704" t="inlineStr">
        <is>
          <t>GÄVLEBORGS LÄN</t>
        </is>
      </c>
      <c r="E4704" t="inlineStr">
        <is>
          <t>NORDANSTIG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6500-2022</t>
        </is>
      </c>
      <c r="B4705" s="1" t="n">
        <v>44601</v>
      </c>
      <c r="C4705" s="1" t="n">
        <v>45357</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6549-2022</t>
        </is>
      </c>
      <c r="B4706" s="1" t="n">
        <v>44601</v>
      </c>
      <c r="C4706" s="1" t="n">
        <v>45357</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6560-2022</t>
        </is>
      </c>
      <c r="B4707" s="1" t="n">
        <v>44601</v>
      </c>
      <c r="C4707" s="1" t="n">
        <v>45357</v>
      </c>
      <c r="D4707" t="inlineStr">
        <is>
          <t>GÄVLEBORGS LÄN</t>
        </is>
      </c>
      <c r="E4707" t="inlineStr">
        <is>
          <t>HOFORS</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6634-2022</t>
        </is>
      </c>
      <c r="B4708" s="1" t="n">
        <v>44601</v>
      </c>
      <c r="C4708" s="1" t="n">
        <v>45357</v>
      </c>
      <c r="D4708" t="inlineStr">
        <is>
          <t>GÄVLEBORGS LÄN</t>
        </is>
      </c>
      <c r="E4708" t="inlineStr">
        <is>
          <t>LJUSDAL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6581-2022</t>
        </is>
      </c>
      <c r="B4709" s="1" t="n">
        <v>44601</v>
      </c>
      <c r="C4709" s="1" t="n">
        <v>45357</v>
      </c>
      <c r="D4709" t="inlineStr">
        <is>
          <t>GÄVLEBORGS LÄN</t>
        </is>
      </c>
      <c r="E4709" t="inlineStr">
        <is>
          <t>NORDANSTIG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6583-2022</t>
        </is>
      </c>
      <c r="B4710" s="1" t="n">
        <v>44601</v>
      </c>
      <c r="C4710" s="1" t="n">
        <v>45357</v>
      </c>
      <c r="D4710" t="inlineStr">
        <is>
          <t>GÄVLEBORGS LÄN</t>
        </is>
      </c>
      <c r="E4710" t="inlineStr">
        <is>
          <t>NORDANSTIG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6766-2022</t>
        </is>
      </c>
      <c r="B4711" s="1" t="n">
        <v>44602</v>
      </c>
      <c r="C4711" s="1" t="n">
        <v>45357</v>
      </c>
      <c r="D4711" t="inlineStr">
        <is>
          <t>GÄVLEBORGS LÄN</t>
        </is>
      </c>
      <c r="E4711" t="inlineStr">
        <is>
          <t>OVANÅKER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6942-2022</t>
        </is>
      </c>
      <c r="B4712" s="1" t="n">
        <v>44603</v>
      </c>
      <c r="C4712" s="1" t="n">
        <v>45357</v>
      </c>
      <c r="D4712" t="inlineStr">
        <is>
          <t>GÄVLEBORGS LÄN</t>
        </is>
      </c>
      <c r="E4712" t="inlineStr">
        <is>
          <t>SANDVIKEN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7060-2022</t>
        </is>
      </c>
      <c r="B4713" s="1" t="n">
        <v>44603</v>
      </c>
      <c r="C4713" s="1" t="n">
        <v>45357</v>
      </c>
      <c r="D4713" t="inlineStr">
        <is>
          <t>GÄVLEBORGS LÄN</t>
        </is>
      </c>
      <c r="E4713" t="inlineStr">
        <is>
          <t>GÄVLE</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7079-2022</t>
        </is>
      </c>
      <c r="B4714" s="1" t="n">
        <v>44603</v>
      </c>
      <c r="C4714" s="1" t="n">
        <v>45357</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6998-2022</t>
        </is>
      </c>
      <c r="B4715" s="1" t="n">
        <v>44603</v>
      </c>
      <c r="C4715" s="1" t="n">
        <v>45357</v>
      </c>
      <c r="D4715" t="inlineStr">
        <is>
          <t>GÄVLEBORGS LÄN</t>
        </is>
      </c>
      <c r="E4715" t="inlineStr">
        <is>
          <t>SANDVIKEN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6956-2022</t>
        </is>
      </c>
      <c r="B4716" s="1" t="n">
        <v>44603</v>
      </c>
      <c r="C4716" s="1" t="n">
        <v>45357</v>
      </c>
      <c r="D4716" t="inlineStr">
        <is>
          <t>GÄVLEBORGS LÄN</t>
        </is>
      </c>
      <c r="E4716" t="inlineStr">
        <is>
          <t>OVANÅKER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7075-2022</t>
        </is>
      </c>
      <c r="B4717" s="1" t="n">
        <v>44603</v>
      </c>
      <c r="C4717" s="1" t="n">
        <v>45357</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6947-2022</t>
        </is>
      </c>
      <c r="B4718" s="1" t="n">
        <v>44603</v>
      </c>
      <c r="C4718" s="1" t="n">
        <v>45357</v>
      </c>
      <c r="D4718" t="inlineStr">
        <is>
          <t>GÄVLEBORGS LÄN</t>
        </is>
      </c>
      <c r="E4718" t="inlineStr">
        <is>
          <t>SANDVIKEN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7020-2022</t>
        </is>
      </c>
      <c r="B4719" s="1" t="n">
        <v>44603</v>
      </c>
      <c r="C4719" s="1" t="n">
        <v>45357</v>
      </c>
      <c r="D4719" t="inlineStr">
        <is>
          <t>GÄVLEBORGS LÄN</t>
        </is>
      </c>
      <c r="E4719" t="inlineStr">
        <is>
          <t>GÄVLE</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7096-2022</t>
        </is>
      </c>
      <c r="B4720" s="1" t="n">
        <v>44603</v>
      </c>
      <c r="C4720" s="1" t="n">
        <v>45357</v>
      </c>
      <c r="D4720" t="inlineStr">
        <is>
          <t>GÄVLEBORGS LÄN</t>
        </is>
      </c>
      <c r="E4720" t="inlineStr">
        <is>
          <t>BOLLNÄS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7092-2022</t>
        </is>
      </c>
      <c r="B4721" s="1" t="n">
        <v>44603</v>
      </c>
      <c r="C4721" s="1" t="n">
        <v>45357</v>
      </c>
      <c r="D4721" t="inlineStr">
        <is>
          <t>GÄVLEBORGS LÄN</t>
        </is>
      </c>
      <c r="E4721" t="inlineStr">
        <is>
          <t>BOLLNÄS</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7099-2022</t>
        </is>
      </c>
      <c r="B4722" s="1" t="n">
        <v>44603</v>
      </c>
      <c r="C4722" s="1" t="n">
        <v>45357</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7149-2022</t>
        </is>
      </c>
      <c r="B4723" s="1" t="n">
        <v>44603</v>
      </c>
      <c r="C4723" s="1" t="n">
        <v>45357</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7095-2022</t>
        </is>
      </c>
      <c r="B4724" s="1" t="n">
        <v>44603</v>
      </c>
      <c r="C4724" s="1" t="n">
        <v>45357</v>
      </c>
      <c r="D4724" t="inlineStr">
        <is>
          <t>GÄVLEBORGS LÄN</t>
        </is>
      </c>
      <c r="E4724" t="inlineStr">
        <is>
          <t>BOLLNÄS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7102-2022</t>
        </is>
      </c>
      <c r="B4725" s="1" t="n">
        <v>44603</v>
      </c>
      <c r="C4725" s="1" t="n">
        <v>45357</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7183-2022</t>
        </is>
      </c>
      <c r="B4726" s="1" t="n">
        <v>44605</v>
      </c>
      <c r="C4726" s="1" t="n">
        <v>45357</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7277-2022</t>
        </is>
      </c>
      <c r="B4727" s="1" t="n">
        <v>44606</v>
      </c>
      <c r="C4727" s="1" t="n">
        <v>45357</v>
      </c>
      <c r="D4727" t="inlineStr">
        <is>
          <t>GÄVLEBORGS LÄN</t>
        </is>
      </c>
      <c r="E4727" t="inlineStr">
        <is>
          <t>GÄVLE</t>
        </is>
      </c>
      <c r="F4727" t="inlineStr">
        <is>
          <t>Kyrkan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7305-2022</t>
        </is>
      </c>
      <c r="B4728" s="1" t="n">
        <v>44606</v>
      </c>
      <c r="C4728" s="1" t="n">
        <v>45357</v>
      </c>
      <c r="D4728" t="inlineStr">
        <is>
          <t>GÄVLEBORGS LÄN</t>
        </is>
      </c>
      <c r="E4728" t="inlineStr">
        <is>
          <t>GÄVLE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7542-2022</t>
        </is>
      </c>
      <c r="B4729" s="1" t="n">
        <v>44607</v>
      </c>
      <c r="C4729" s="1" t="n">
        <v>45357</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7548-2022</t>
        </is>
      </c>
      <c r="B4730" s="1" t="n">
        <v>44607</v>
      </c>
      <c r="C4730" s="1" t="n">
        <v>45357</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v>
      </c>
      <c r="C4731" s="1" t="n">
        <v>45357</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7472-2022</t>
        </is>
      </c>
      <c r="B4732" s="1" t="n">
        <v>44607</v>
      </c>
      <c r="C4732" s="1" t="n">
        <v>45357</v>
      </c>
      <c r="D4732" t="inlineStr">
        <is>
          <t>GÄVLEBORGS LÄN</t>
        </is>
      </c>
      <c r="E4732" t="inlineStr">
        <is>
          <t>LJUSDAL</t>
        </is>
      </c>
      <c r="F4732" t="inlineStr">
        <is>
          <t>Holmen skog AB</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7569-2022</t>
        </is>
      </c>
      <c r="B4733" s="1" t="n">
        <v>44607</v>
      </c>
      <c r="C4733" s="1" t="n">
        <v>45357</v>
      </c>
      <c r="D4733" t="inlineStr">
        <is>
          <t>GÄVLEBORGS LÄN</t>
        </is>
      </c>
      <c r="E4733" t="inlineStr">
        <is>
          <t>OVANÅKER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7592-2022</t>
        </is>
      </c>
      <c r="B4734" s="1" t="n">
        <v>44607</v>
      </c>
      <c r="C4734" s="1" t="n">
        <v>45357</v>
      </c>
      <c r="D4734" t="inlineStr">
        <is>
          <t>GÄVLEBORGS LÄN</t>
        </is>
      </c>
      <c r="E4734" t="inlineStr">
        <is>
          <t>LJUSDAL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7606-2022</t>
        </is>
      </c>
      <c r="B4735" s="1" t="n">
        <v>44607</v>
      </c>
      <c r="C4735" s="1" t="n">
        <v>45357</v>
      </c>
      <c r="D4735" t="inlineStr">
        <is>
          <t>GÄVLEBORGS LÄN</t>
        </is>
      </c>
      <c r="E4735" t="inlineStr">
        <is>
          <t>LJUSDAL</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7637-2022</t>
        </is>
      </c>
      <c r="B4736" s="1" t="n">
        <v>44607</v>
      </c>
      <c r="C4736" s="1" t="n">
        <v>45357</v>
      </c>
      <c r="D4736" t="inlineStr">
        <is>
          <t>GÄVLEBORGS LÄN</t>
        </is>
      </c>
      <c r="E4736" t="inlineStr">
        <is>
          <t>OCKELBO</t>
        </is>
      </c>
      <c r="F4736" t="inlineStr">
        <is>
          <t>Bergvik skog väst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7728-2022</t>
        </is>
      </c>
      <c r="B4737" s="1" t="n">
        <v>44608</v>
      </c>
      <c r="C4737" s="1" t="n">
        <v>45357</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7766-2022</t>
        </is>
      </c>
      <c r="B4738" s="1" t="n">
        <v>44608</v>
      </c>
      <c r="C4738" s="1" t="n">
        <v>45357</v>
      </c>
      <c r="D4738" t="inlineStr">
        <is>
          <t>GÄVLEBORGS LÄN</t>
        </is>
      </c>
      <c r="E4738" t="inlineStr">
        <is>
          <t>BOLLNÄS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7785-2022</t>
        </is>
      </c>
      <c r="B4739" s="1" t="n">
        <v>44608</v>
      </c>
      <c r="C4739" s="1" t="n">
        <v>45357</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7916-2022</t>
        </is>
      </c>
      <c r="B4740" s="1" t="n">
        <v>44608</v>
      </c>
      <c r="C4740" s="1" t="n">
        <v>45357</v>
      </c>
      <c r="D4740" t="inlineStr">
        <is>
          <t>GÄVLEBORGS LÄN</t>
        </is>
      </c>
      <c r="E4740" t="inlineStr">
        <is>
          <t>NORDANSTIG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8005-2022</t>
        </is>
      </c>
      <c r="B4741" s="1" t="n">
        <v>44609</v>
      </c>
      <c r="C4741" s="1" t="n">
        <v>45357</v>
      </c>
      <c r="D4741" t="inlineStr">
        <is>
          <t>GÄVLEBORGS LÄN</t>
        </is>
      </c>
      <c r="E4741" t="inlineStr">
        <is>
          <t>HUDIKSVALL</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8081-2022</t>
        </is>
      </c>
      <c r="B4742" s="1" t="n">
        <v>44609</v>
      </c>
      <c r="C4742" s="1" t="n">
        <v>45357</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8073-2022</t>
        </is>
      </c>
      <c r="B4743" s="1" t="n">
        <v>44609</v>
      </c>
      <c r="C4743" s="1" t="n">
        <v>45357</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8133-2022</t>
        </is>
      </c>
      <c r="B4744" s="1" t="n">
        <v>44609</v>
      </c>
      <c r="C4744" s="1" t="n">
        <v>45357</v>
      </c>
      <c r="D4744" t="inlineStr">
        <is>
          <t>GÄVLEBORGS LÄN</t>
        </is>
      </c>
      <c r="E4744" t="inlineStr">
        <is>
          <t>HUDIKSVALL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8153-2022</t>
        </is>
      </c>
      <c r="B4745" s="1" t="n">
        <v>44609</v>
      </c>
      <c r="C4745" s="1" t="n">
        <v>45357</v>
      </c>
      <c r="D4745" t="inlineStr">
        <is>
          <t>GÄVLEBORGS LÄN</t>
        </is>
      </c>
      <c r="E4745" t="inlineStr">
        <is>
          <t>LJUSDAL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8246-2022</t>
        </is>
      </c>
      <c r="B4746" s="1" t="n">
        <v>44610</v>
      </c>
      <c r="C4746" s="1" t="n">
        <v>45357</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8268-2022</t>
        </is>
      </c>
      <c r="B4747" s="1" t="n">
        <v>44610</v>
      </c>
      <c r="C4747" s="1" t="n">
        <v>45357</v>
      </c>
      <c r="D4747" t="inlineStr">
        <is>
          <t>GÄVLEBORGS LÄN</t>
        </is>
      </c>
      <c r="E4747" t="inlineStr">
        <is>
          <t>HUDIKSVALL</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8328-2022</t>
        </is>
      </c>
      <c r="B4748" s="1" t="n">
        <v>44610</v>
      </c>
      <c r="C4748" s="1" t="n">
        <v>45357</v>
      </c>
      <c r="D4748" t="inlineStr">
        <is>
          <t>GÄVLEBORGS LÄN</t>
        </is>
      </c>
      <c r="E4748" t="inlineStr">
        <is>
          <t>HUDIKSVALL</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8269-2022</t>
        </is>
      </c>
      <c r="B4749" s="1" t="n">
        <v>44610</v>
      </c>
      <c r="C4749" s="1" t="n">
        <v>45357</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8281-2022</t>
        </is>
      </c>
      <c r="B4750" s="1" t="n">
        <v>44610</v>
      </c>
      <c r="C4750" s="1" t="n">
        <v>45357</v>
      </c>
      <c r="D4750" t="inlineStr">
        <is>
          <t>GÄVLEBORGS LÄN</t>
        </is>
      </c>
      <c r="E4750" t="inlineStr">
        <is>
          <t>HUDIKSVALL</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8680-2022</t>
        </is>
      </c>
      <c r="B4751" s="1" t="n">
        <v>44613</v>
      </c>
      <c r="C4751" s="1" t="n">
        <v>45357</v>
      </c>
      <c r="D4751" t="inlineStr">
        <is>
          <t>GÄVLEBORGS LÄN</t>
        </is>
      </c>
      <c r="E4751" t="inlineStr">
        <is>
          <t>HUDIKSVALL</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8707-2022</t>
        </is>
      </c>
      <c r="B4752" s="1" t="n">
        <v>44613</v>
      </c>
      <c r="C4752" s="1" t="n">
        <v>45357</v>
      </c>
      <c r="D4752" t="inlineStr">
        <is>
          <t>GÄVLEBORGS LÄN</t>
        </is>
      </c>
      <c r="E4752" t="inlineStr">
        <is>
          <t>NORDANSTIG</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8534-2022</t>
        </is>
      </c>
      <c r="B4753" s="1" t="n">
        <v>44613</v>
      </c>
      <c r="C4753" s="1" t="n">
        <v>45357</v>
      </c>
      <c r="D4753" t="inlineStr">
        <is>
          <t>GÄVLEBORGS LÄN</t>
        </is>
      </c>
      <c r="E4753" t="inlineStr">
        <is>
          <t>OCKELBO</t>
        </is>
      </c>
      <c r="F4753" t="inlineStr">
        <is>
          <t>Bergvik skog väst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8813-2022</t>
        </is>
      </c>
      <c r="B4754" s="1" t="n">
        <v>44614</v>
      </c>
      <c r="C4754" s="1" t="n">
        <v>45357</v>
      </c>
      <c r="D4754" t="inlineStr">
        <is>
          <t>GÄVLEBORGS LÄN</t>
        </is>
      </c>
      <c r="E4754" t="inlineStr">
        <is>
          <t>LJUSDAL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8769-2022</t>
        </is>
      </c>
      <c r="B4755" s="1" t="n">
        <v>44614</v>
      </c>
      <c r="C4755" s="1" t="n">
        <v>45357</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8840-2022</t>
        </is>
      </c>
      <c r="B4756" s="1" t="n">
        <v>44614</v>
      </c>
      <c r="C4756" s="1" t="n">
        <v>45357</v>
      </c>
      <c r="D4756" t="inlineStr">
        <is>
          <t>GÄVLEBORGS LÄN</t>
        </is>
      </c>
      <c r="E4756" t="inlineStr">
        <is>
          <t>OVANÅKER</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8952-2022</t>
        </is>
      </c>
      <c r="B4757" s="1" t="n">
        <v>44614</v>
      </c>
      <c r="C4757" s="1" t="n">
        <v>45357</v>
      </c>
      <c r="D4757" t="inlineStr">
        <is>
          <t>GÄVLEBORGS LÄN</t>
        </is>
      </c>
      <c r="E4757" t="inlineStr">
        <is>
          <t>HUDIKSVALL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8968-2022</t>
        </is>
      </c>
      <c r="B4758" s="1" t="n">
        <v>44614</v>
      </c>
      <c r="C4758" s="1" t="n">
        <v>45357</v>
      </c>
      <c r="D4758" t="inlineStr">
        <is>
          <t>GÄVLEBORGS LÄN</t>
        </is>
      </c>
      <c r="E4758" t="inlineStr">
        <is>
          <t>OVANÅKER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8927-2022</t>
        </is>
      </c>
      <c r="B4759" s="1" t="n">
        <v>44614</v>
      </c>
      <c r="C4759" s="1" t="n">
        <v>45357</v>
      </c>
      <c r="D4759" t="inlineStr">
        <is>
          <t>GÄVLEBORGS LÄN</t>
        </is>
      </c>
      <c r="E4759" t="inlineStr">
        <is>
          <t>OVANÅKER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8967-2022</t>
        </is>
      </c>
      <c r="B4760" s="1" t="n">
        <v>44614</v>
      </c>
      <c r="C4760" s="1" t="n">
        <v>45357</v>
      </c>
      <c r="D4760" t="inlineStr">
        <is>
          <t>GÄVLEBORGS LÄN</t>
        </is>
      </c>
      <c r="E4760" t="inlineStr">
        <is>
          <t>OVANÅKER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9136-2022</t>
        </is>
      </c>
      <c r="B4761" s="1" t="n">
        <v>44615</v>
      </c>
      <c r="C4761" s="1" t="n">
        <v>45357</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9191-2022</t>
        </is>
      </c>
      <c r="B4762" s="1" t="n">
        <v>44615</v>
      </c>
      <c r="C4762" s="1" t="n">
        <v>45357</v>
      </c>
      <c r="D4762" t="inlineStr">
        <is>
          <t>GÄVLEBORGS LÄN</t>
        </is>
      </c>
      <c r="E4762" t="inlineStr">
        <is>
          <t>LJUSDAL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9194-2022</t>
        </is>
      </c>
      <c r="B4763" s="1" t="n">
        <v>44615</v>
      </c>
      <c r="C4763" s="1" t="n">
        <v>45357</v>
      </c>
      <c r="D4763" t="inlineStr">
        <is>
          <t>GÄVLEBORGS LÄN</t>
        </is>
      </c>
      <c r="E4763" t="inlineStr">
        <is>
          <t>LJUSDAL</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9376-2022</t>
        </is>
      </c>
      <c r="B4764" s="1" t="n">
        <v>44616</v>
      </c>
      <c r="C4764" s="1" t="n">
        <v>45357</v>
      </c>
      <c r="D4764" t="inlineStr">
        <is>
          <t>GÄVLEBORGS LÄN</t>
        </is>
      </c>
      <c r="E4764" t="inlineStr">
        <is>
          <t>NORDANSTIG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9382-2022</t>
        </is>
      </c>
      <c r="B4765" s="1" t="n">
        <v>44616</v>
      </c>
      <c r="C4765" s="1" t="n">
        <v>45357</v>
      </c>
      <c r="D4765" t="inlineStr">
        <is>
          <t>GÄVLEBORGS LÄN</t>
        </is>
      </c>
      <c r="E4765" t="inlineStr">
        <is>
          <t>NORDANSTIG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9261-2022</t>
        </is>
      </c>
      <c r="B4766" s="1" t="n">
        <v>44616</v>
      </c>
      <c r="C4766" s="1" t="n">
        <v>45357</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9277-2022</t>
        </is>
      </c>
      <c r="B4767" s="1" t="n">
        <v>44616</v>
      </c>
      <c r="C4767" s="1" t="n">
        <v>45357</v>
      </c>
      <c r="D4767" t="inlineStr">
        <is>
          <t>GÄVLEBORGS LÄN</t>
        </is>
      </c>
      <c r="E4767" t="inlineStr">
        <is>
          <t>OVANÅKER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9235-2022</t>
        </is>
      </c>
      <c r="B4768" s="1" t="n">
        <v>44616</v>
      </c>
      <c r="C4768" s="1" t="n">
        <v>45357</v>
      </c>
      <c r="D4768" t="inlineStr">
        <is>
          <t>GÄVLEBORGS LÄN</t>
        </is>
      </c>
      <c r="E4768" t="inlineStr">
        <is>
          <t>GÄVLE</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9285-2022</t>
        </is>
      </c>
      <c r="B4769" s="1" t="n">
        <v>44616</v>
      </c>
      <c r="C4769" s="1" t="n">
        <v>45357</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9307-2022</t>
        </is>
      </c>
      <c r="B4770" s="1" t="n">
        <v>44616</v>
      </c>
      <c r="C4770" s="1" t="n">
        <v>45357</v>
      </c>
      <c r="D4770" t="inlineStr">
        <is>
          <t>GÄVLEBORGS LÄN</t>
        </is>
      </c>
      <c r="E4770" t="inlineStr">
        <is>
          <t>GÄVLE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9286-2022</t>
        </is>
      </c>
      <c r="B4771" s="1" t="n">
        <v>44616</v>
      </c>
      <c r="C4771" s="1" t="n">
        <v>45357</v>
      </c>
      <c r="D4771" t="inlineStr">
        <is>
          <t>GÄVLEBORGS LÄN</t>
        </is>
      </c>
      <c r="E4771" t="inlineStr">
        <is>
          <t>OVANÅKER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9309-2022</t>
        </is>
      </c>
      <c r="B4772" s="1" t="n">
        <v>44616</v>
      </c>
      <c r="C4772" s="1" t="n">
        <v>45357</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9367-2022</t>
        </is>
      </c>
      <c r="B4773" s="1" t="n">
        <v>44616</v>
      </c>
      <c r="C4773" s="1" t="n">
        <v>45357</v>
      </c>
      <c r="D4773" t="inlineStr">
        <is>
          <t>GÄVLEBORGS LÄN</t>
        </is>
      </c>
      <c r="E4773" t="inlineStr">
        <is>
          <t>BOLLNÄS</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9474-2022</t>
        </is>
      </c>
      <c r="B4774" s="1" t="n">
        <v>44616</v>
      </c>
      <c r="C4774" s="1" t="n">
        <v>45357</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9462-2022</t>
        </is>
      </c>
      <c r="B4775" s="1" t="n">
        <v>44616</v>
      </c>
      <c r="C4775" s="1" t="n">
        <v>45357</v>
      </c>
      <c r="D4775" t="inlineStr">
        <is>
          <t>GÄVLEBORGS LÄN</t>
        </is>
      </c>
      <c r="E4775" t="inlineStr">
        <is>
          <t>LJUSDAL</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9475-2022</t>
        </is>
      </c>
      <c r="B4776" s="1" t="n">
        <v>44616</v>
      </c>
      <c r="C4776" s="1" t="n">
        <v>45357</v>
      </c>
      <c r="D4776" t="inlineStr">
        <is>
          <t>GÄVLEBORGS LÄN</t>
        </is>
      </c>
      <c r="E4776" t="inlineStr">
        <is>
          <t>BOLLNÄS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9593-2022</t>
        </is>
      </c>
      <c r="B4777" s="1" t="n">
        <v>44617</v>
      </c>
      <c r="C4777" s="1" t="n">
        <v>45357</v>
      </c>
      <c r="D4777" t="inlineStr">
        <is>
          <t>GÄVLEBORGS LÄN</t>
        </is>
      </c>
      <c r="E4777" t="inlineStr">
        <is>
          <t>OVANÅKER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9635-2022</t>
        </is>
      </c>
      <c r="B4778" s="1" t="n">
        <v>44617</v>
      </c>
      <c r="C4778" s="1" t="n">
        <v>45357</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9598-2022</t>
        </is>
      </c>
      <c r="B4779" s="1" t="n">
        <v>44617</v>
      </c>
      <c r="C4779" s="1" t="n">
        <v>45357</v>
      </c>
      <c r="D4779" t="inlineStr">
        <is>
          <t>GÄVLEBORGS LÄN</t>
        </is>
      </c>
      <c r="E4779" t="inlineStr">
        <is>
          <t>BOLLNÄS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9782-2022</t>
        </is>
      </c>
      <c r="B4780" s="1" t="n">
        <v>44620</v>
      </c>
      <c r="C4780" s="1" t="n">
        <v>45357</v>
      </c>
      <c r="D4780" t="inlineStr">
        <is>
          <t>GÄVLEBORGS LÄN</t>
        </is>
      </c>
      <c r="E4780" t="inlineStr">
        <is>
          <t>BOLLNÄS</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9888-2022</t>
        </is>
      </c>
      <c r="B4781" s="1" t="n">
        <v>44620</v>
      </c>
      <c r="C4781" s="1" t="n">
        <v>45357</v>
      </c>
      <c r="D4781" t="inlineStr">
        <is>
          <t>GÄVLEBORGS LÄN</t>
        </is>
      </c>
      <c r="E4781" t="inlineStr">
        <is>
          <t>BOLLNÄS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9883-2022</t>
        </is>
      </c>
      <c r="B4782" s="1" t="n">
        <v>44620</v>
      </c>
      <c r="C4782" s="1" t="n">
        <v>45357</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9899-2022</t>
        </is>
      </c>
      <c r="B4783" s="1" t="n">
        <v>44620</v>
      </c>
      <c r="C4783" s="1" t="n">
        <v>45357</v>
      </c>
      <c r="D4783" t="inlineStr">
        <is>
          <t>GÄVLEBORGS LÄN</t>
        </is>
      </c>
      <c r="E4783" t="inlineStr">
        <is>
          <t>NORDANSTIG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9877-2022</t>
        </is>
      </c>
      <c r="B4784" s="1" t="n">
        <v>44620</v>
      </c>
      <c r="C4784" s="1" t="n">
        <v>45357</v>
      </c>
      <c r="D4784" t="inlineStr">
        <is>
          <t>GÄVLEBORGS LÄN</t>
        </is>
      </c>
      <c r="E4784" t="inlineStr">
        <is>
          <t>BOLLNÄS</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9889-2022</t>
        </is>
      </c>
      <c r="B4785" s="1" t="n">
        <v>44620</v>
      </c>
      <c r="C4785" s="1" t="n">
        <v>45357</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9935-2022</t>
        </is>
      </c>
      <c r="B4786" s="1" t="n">
        <v>44620</v>
      </c>
      <c r="C4786" s="1" t="n">
        <v>45357</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9936-2022</t>
        </is>
      </c>
      <c r="B4787" s="1" t="n">
        <v>44620</v>
      </c>
      <c r="C4787" s="1" t="n">
        <v>45357</v>
      </c>
      <c r="D4787" t="inlineStr">
        <is>
          <t>GÄVLEBORGS LÄN</t>
        </is>
      </c>
      <c r="E4787" t="inlineStr">
        <is>
          <t>LJUSDAL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9980-2022</t>
        </is>
      </c>
      <c r="B4788" s="1" t="n">
        <v>44621</v>
      </c>
      <c r="C4788" s="1" t="n">
        <v>45357</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10074-2022</t>
        </is>
      </c>
      <c r="B4789" s="1" t="n">
        <v>44621</v>
      </c>
      <c r="C4789" s="1" t="n">
        <v>45357</v>
      </c>
      <c r="D4789" t="inlineStr">
        <is>
          <t>GÄVLEBORGS LÄN</t>
        </is>
      </c>
      <c r="E4789" t="inlineStr">
        <is>
          <t>LJUSDAL</t>
        </is>
      </c>
      <c r="F4789" t="inlineStr">
        <is>
          <t>Kommuner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10180-2022</t>
        </is>
      </c>
      <c r="B4790" s="1" t="n">
        <v>44622</v>
      </c>
      <c r="C4790" s="1" t="n">
        <v>45357</v>
      </c>
      <c r="D4790" t="inlineStr">
        <is>
          <t>GÄVLEBORGS LÄN</t>
        </is>
      </c>
      <c r="E4790" t="inlineStr">
        <is>
          <t>BOLLNÄS</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10184-2022</t>
        </is>
      </c>
      <c r="B4791" s="1" t="n">
        <v>44622</v>
      </c>
      <c r="C4791" s="1" t="n">
        <v>45357</v>
      </c>
      <c r="D4791" t="inlineStr">
        <is>
          <t>GÄVLEBORGS LÄN</t>
        </is>
      </c>
      <c r="E4791" t="inlineStr">
        <is>
          <t>HOFORS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10214-2022</t>
        </is>
      </c>
      <c r="B4792" s="1" t="n">
        <v>44622</v>
      </c>
      <c r="C4792" s="1" t="n">
        <v>45357</v>
      </c>
      <c r="D4792" t="inlineStr">
        <is>
          <t>GÄVLEBORGS LÄN</t>
        </is>
      </c>
      <c r="E4792" t="inlineStr">
        <is>
          <t>NORDANSTIG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10493-2022</t>
        </is>
      </c>
      <c r="B4793" s="1" t="n">
        <v>44623</v>
      </c>
      <c r="C4793" s="1" t="n">
        <v>45357</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10587-2022</t>
        </is>
      </c>
      <c r="B4794" s="1" t="n">
        <v>44624</v>
      </c>
      <c r="C4794" s="1" t="n">
        <v>45357</v>
      </c>
      <c r="D4794" t="inlineStr">
        <is>
          <t>GÄVLEBORGS LÄN</t>
        </is>
      </c>
      <c r="E4794" t="inlineStr">
        <is>
          <t>HOFORS</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10602-2022</t>
        </is>
      </c>
      <c r="B4795" s="1" t="n">
        <v>44624</v>
      </c>
      <c r="C4795" s="1" t="n">
        <v>45357</v>
      </c>
      <c r="D4795" t="inlineStr">
        <is>
          <t>GÄVLEBORGS LÄN</t>
        </is>
      </c>
      <c r="E4795" t="inlineStr">
        <is>
          <t>HOFORS</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10591-2022</t>
        </is>
      </c>
      <c r="B4796" s="1" t="n">
        <v>44624</v>
      </c>
      <c r="C4796" s="1" t="n">
        <v>45357</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10829-2022</t>
        </is>
      </c>
      <c r="B4797" s="1" t="n">
        <v>44627</v>
      </c>
      <c r="C4797" s="1" t="n">
        <v>45357</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10807-2022</t>
        </is>
      </c>
      <c r="B4798" s="1" t="n">
        <v>44627</v>
      </c>
      <c r="C4798" s="1" t="n">
        <v>45357</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10858-2022</t>
        </is>
      </c>
      <c r="B4799" s="1" t="n">
        <v>44627</v>
      </c>
      <c r="C4799" s="1" t="n">
        <v>45357</v>
      </c>
      <c r="D4799" t="inlineStr">
        <is>
          <t>GÄVLEBORGS LÄN</t>
        </is>
      </c>
      <c r="E4799" t="inlineStr">
        <is>
          <t>HUDIKSVALL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10843-2022</t>
        </is>
      </c>
      <c r="B4800" s="1" t="n">
        <v>44627</v>
      </c>
      <c r="C4800" s="1" t="n">
        <v>45357</v>
      </c>
      <c r="D4800" t="inlineStr">
        <is>
          <t>GÄVLEBORGS LÄN</t>
        </is>
      </c>
      <c r="E4800" t="inlineStr">
        <is>
          <t>HUDIKSVALL</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10856-2022</t>
        </is>
      </c>
      <c r="B4801" s="1" t="n">
        <v>44627</v>
      </c>
      <c r="C4801" s="1" t="n">
        <v>45357</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10945-2022</t>
        </is>
      </c>
      <c r="B4802" s="1" t="n">
        <v>44627</v>
      </c>
      <c r="C4802" s="1" t="n">
        <v>45357</v>
      </c>
      <c r="D4802" t="inlineStr">
        <is>
          <t>GÄVLEBORGS LÄN</t>
        </is>
      </c>
      <c r="E4802" t="inlineStr">
        <is>
          <t>LJUSDAL</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10952-2022</t>
        </is>
      </c>
      <c r="B4803" s="1" t="n">
        <v>44628</v>
      </c>
      <c r="C4803" s="1" t="n">
        <v>45357</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11087-2022</t>
        </is>
      </c>
      <c r="B4804" s="1" t="n">
        <v>44628</v>
      </c>
      <c r="C4804" s="1" t="n">
        <v>45357</v>
      </c>
      <c r="D4804" t="inlineStr">
        <is>
          <t>GÄVLEBORGS LÄN</t>
        </is>
      </c>
      <c r="E4804" t="inlineStr">
        <is>
          <t>NORDANSTIG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11078-2022</t>
        </is>
      </c>
      <c r="B4805" s="1" t="n">
        <v>44628</v>
      </c>
      <c r="C4805" s="1" t="n">
        <v>45357</v>
      </c>
      <c r="D4805" t="inlineStr">
        <is>
          <t>GÄVLEBORGS LÄN</t>
        </is>
      </c>
      <c r="E4805" t="inlineStr">
        <is>
          <t>NORDANSTIG</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11189-2022</t>
        </is>
      </c>
      <c r="B4806" s="1" t="n">
        <v>44629</v>
      </c>
      <c r="C4806" s="1" t="n">
        <v>45357</v>
      </c>
      <c r="D4806" t="inlineStr">
        <is>
          <t>GÄVLEBORGS LÄN</t>
        </is>
      </c>
      <c r="E4806" t="inlineStr">
        <is>
          <t>GÄVLE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11182-2022</t>
        </is>
      </c>
      <c r="B4807" s="1" t="n">
        <v>44629</v>
      </c>
      <c r="C4807" s="1" t="n">
        <v>45357</v>
      </c>
      <c r="D4807" t="inlineStr">
        <is>
          <t>GÄVLEBORGS LÄN</t>
        </is>
      </c>
      <c r="E4807" t="inlineStr">
        <is>
          <t>GÄVLE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11172-2022</t>
        </is>
      </c>
      <c r="B4808" s="1" t="n">
        <v>44629</v>
      </c>
      <c r="C4808" s="1" t="n">
        <v>45357</v>
      </c>
      <c r="D4808" t="inlineStr">
        <is>
          <t>GÄVLEBORGS LÄN</t>
        </is>
      </c>
      <c r="E4808" t="inlineStr">
        <is>
          <t>HUDIKSVALL</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11185-2022</t>
        </is>
      </c>
      <c r="B4809" s="1" t="n">
        <v>44629</v>
      </c>
      <c r="C4809" s="1" t="n">
        <v>45357</v>
      </c>
      <c r="D4809" t="inlineStr">
        <is>
          <t>GÄVLEBORGS LÄN</t>
        </is>
      </c>
      <c r="E4809" t="inlineStr">
        <is>
          <t>GÄVLE</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11235-2022</t>
        </is>
      </c>
      <c r="B4810" s="1" t="n">
        <v>44629</v>
      </c>
      <c r="C4810" s="1" t="n">
        <v>45357</v>
      </c>
      <c r="D4810" t="inlineStr">
        <is>
          <t>GÄVLEBORGS LÄN</t>
        </is>
      </c>
      <c r="E4810" t="inlineStr">
        <is>
          <t>GÄVLE</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11188-2022</t>
        </is>
      </c>
      <c r="B4811" s="1" t="n">
        <v>44629</v>
      </c>
      <c r="C4811" s="1" t="n">
        <v>45357</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11237-2022</t>
        </is>
      </c>
      <c r="B4812" s="1" t="n">
        <v>44629</v>
      </c>
      <c r="C4812" s="1" t="n">
        <v>45357</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11242-2022</t>
        </is>
      </c>
      <c r="B4813" s="1" t="n">
        <v>44629</v>
      </c>
      <c r="C4813" s="1" t="n">
        <v>45357</v>
      </c>
      <c r="D4813" t="inlineStr">
        <is>
          <t>GÄVLEBORGS LÄN</t>
        </is>
      </c>
      <c r="E4813" t="inlineStr">
        <is>
          <t>LJUSDAL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11286-2022</t>
        </is>
      </c>
      <c r="B4814" s="1" t="n">
        <v>44629</v>
      </c>
      <c r="C4814" s="1" t="n">
        <v>45357</v>
      </c>
      <c r="D4814" t="inlineStr">
        <is>
          <t>GÄVLEBORGS LÄN</t>
        </is>
      </c>
      <c r="E4814" t="inlineStr">
        <is>
          <t>LJUSDAL</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11519-2022</t>
        </is>
      </c>
      <c r="B4815" s="1" t="n">
        <v>44631</v>
      </c>
      <c r="C4815" s="1" t="n">
        <v>45357</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11613-2022</t>
        </is>
      </c>
      <c r="B4816" s="1" t="n">
        <v>44631</v>
      </c>
      <c r="C4816" s="1" t="n">
        <v>45357</v>
      </c>
      <c r="D4816" t="inlineStr">
        <is>
          <t>GÄVLEBORGS LÄN</t>
        </is>
      </c>
      <c r="E4816" t="inlineStr">
        <is>
          <t>GÄVLE</t>
        </is>
      </c>
      <c r="F4816" t="inlineStr">
        <is>
          <t>Bergvik skog öst AB</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11645-2022</t>
        </is>
      </c>
      <c r="B4817" s="1" t="n">
        <v>44631</v>
      </c>
      <c r="C4817" s="1" t="n">
        <v>45357</v>
      </c>
      <c r="D4817" t="inlineStr">
        <is>
          <t>GÄVLEBORGS LÄN</t>
        </is>
      </c>
      <c r="E4817" t="inlineStr">
        <is>
          <t>BOLLNÄS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11759-2022</t>
        </is>
      </c>
      <c r="B4818" s="1" t="n">
        <v>44634</v>
      </c>
      <c r="C4818" s="1" t="n">
        <v>45357</v>
      </c>
      <c r="D4818" t="inlineStr">
        <is>
          <t>GÄVLEBORGS LÄN</t>
        </is>
      </c>
      <c r="E4818" t="inlineStr">
        <is>
          <t>HUDIKSVALL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11706-2022</t>
        </is>
      </c>
      <c r="B4819" s="1" t="n">
        <v>44634</v>
      </c>
      <c r="C4819" s="1" t="n">
        <v>45357</v>
      </c>
      <c r="D4819" t="inlineStr">
        <is>
          <t>GÄVLEBORGS LÄN</t>
        </is>
      </c>
      <c r="E4819" t="inlineStr">
        <is>
          <t>NORDANSTIG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11817-2022</t>
        </is>
      </c>
      <c r="B4820" s="1" t="n">
        <v>44634</v>
      </c>
      <c r="C4820" s="1" t="n">
        <v>45357</v>
      </c>
      <c r="D4820" t="inlineStr">
        <is>
          <t>GÄVLEBORGS LÄN</t>
        </is>
      </c>
      <c r="E4820" t="inlineStr">
        <is>
          <t>GÄVLE</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11969-2022</t>
        </is>
      </c>
      <c r="B4821" s="1" t="n">
        <v>44635</v>
      </c>
      <c r="C4821" s="1" t="n">
        <v>45357</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11993-2022</t>
        </is>
      </c>
      <c r="B4822" s="1" t="n">
        <v>44635</v>
      </c>
      <c r="C4822" s="1" t="n">
        <v>45357</v>
      </c>
      <c r="D4822" t="inlineStr">
        <is>
          <t>GÄVLEBORGS LÄN</t>
        </is>
      </c>
      <c r="E4822" t="inlineStr">
        <is>
          <t>SANDVIKEN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11923-2022</t>
        </is>
      </c>
      <c r="B4823" s="1" t="n">
        <v>44635</v>
      </c>
      <c r="C4823" s="1" t="n">
        <v>45357</v>
      </c>
      <c r="D4823" t="inlineStr">
        <is>
          <t>GÄVLEBORGS LÄN</t>
        </is>
      </c>
      <c r="E4823" t="inlineStr">
        <is>
          <t>SANDVIKEN</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11964-2022</t>
        </is>
      </c>
      <c r="B4824" s="1" t="n">
        <v>44635</v>
      </c>
      <c r="C4824" s="1" t="n">
        <v>45357</v>
      </c>
      <c r="D4824" t="inlineStr">
        <is>
          <t>GÄVLEBORGS LÄN</t>
        </is>
      </c>
      <c r="E4824" t="inlineStr">
        <is>
          <t>HUDIKSVALL</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12008-2022</t>
        </is>
      </c>
      <c r="B4825" s="1" t="n">
        <v>44635</v>
      </c>
      <c r="C4825" s="1" t="n">
        <v>45357</v>
      </c>
      <c r="D4825" t="inlineStr">
        <is>
          <t>GÄVLEBORGS LÄN</t>
        </is>
      </c>
      <c r="E4825" t="inlineStr">
        <is>
          <t>NORDANSTIG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12017-2022</t>
        </is>
      </c>
      <c r="B4826" s="1" t="n">
        <v>44635</v>
      </c>
      <c r="C4826" s="1" t="n">
        <v>45357</v>
      </c>
      <c r="D4826" t="inlineStr">
        <is>
          <t>GÄVLEBORGS LÄN</t>
        </is>
      </c>
      <c r="E4826" t="inlineStr">
        <is>
          <t>NORDANSTIG</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11994-2022</t>
        </is>
      </c>
      <c r="B4827" s="1" t="n">
        <v>44635</v>
      </c>
      <c r="C4827" s="1" t="n">
        <v>45357</v>
      </c>
      <c r="D4827" t="inlineStr">
        <is>
          <t>GÄVLEBORGS LÄN</t>
        </is>
      </c>
      <c r="E4827" t="inlineStr">
        <is>
          <t>GÄVLE</t>
        </is>
      </c>
      <c r="F4827" t="inlineStr">
        <is>
          <t>Bergvik skog öst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12095-2022</t>
        </is>
      </c>
      <c r="B4828" s="1" t="n">
        <v>44636</v>
      </c>
      <c r="C4828" s="1" t="n">
        <v>45357</v>
      </c>
      <c r="D4828" t="inlineStr">
        <is>
          <t>GÄVLEBORGS LÄN</t>
        </is>
      </c>
      <c r="E4828" t="inlineStr">
        <is>
          <t>GÄVLE</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12130-2022</t>
        </is>
      </c>
      <c r="B4829" s="1" t="n">
        <v>44636</v>
      </c>
      <c r="C4829" s="1" t="n">
        <v>45357</v>
      </c>
      <c r="D4829" t="inlineStr">
        <is>
          <t>GÄVLEBORGS LÄN</t>
        </is>
      </c>
      <c r="E4829" t="inlineStr">
        <is>
          <t>OVANÅKER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12127-2022</t>
        </is>
      </c>
      <c r="B4830" s="1" t="n">
        <v>44636</v>
      </c>
      <c r="C4830" s="1" t="n">
        <v>45357</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12108-2022</t>
        </is>
      </c>
      <c r="B4831" s="1" t="n">
        <v>44636</v>
      </c>
      <c r="C4831" s="1" t="n">
        <v>45357</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12129-2022</t>
        </is>
      </c>
      <c r="B4832" s="1" t="n">
        <v>44636</v>
      </c>
      <c r="C4832" s="1" t="n">
        <v>45357</v>
      </c>
      <c r="D4832" t="inlineStr">
        <is>
          <t>GÄVLEBORGS LÄN</t>
        </is>
      </c>
      <c r="E4832" t="inlineStr">
        <is>
          <t>OVANÅKER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12340-2022</t>
        </is>
      </c>
      <c r="B4833" s="1" t="n">
        <v>44637</v>
      </c>
      <c r="C4833" s="1" t="n">
        <v>45357</v>
      </c>
      <c r="D4833" t="inlineStr">
        <is>
          <t>GÄVLEBORGS LÄN</t>
        </is>
      </c>
      <c r="E4833" t="inlineStr">
        <is>
          <t>HUDIKSVALL</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12342-2022</t>
        </is>
      </c>
      <c r="B4834" s="1" t="n">
        <v>44637</v>
      </c>
      <c r="C4834" s="1" t="n">
        <v>45357</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12228-2022</t>
        </is>
      </c>
      <c r="B4835" s="1" t="n">
        <v>44637</v>
      </c>
      <c r="C4835" s="1" t="n">
        <v>45357</v>
      </c>
      <c r="D4835" t="inlineStr">
        <is>
          <t>GÄVLEBORGS LÄN</t>
        </is>
      </c>
      <c r="E4835" t="inlineStr">
        <is>
          <t>GÄVLE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12339-2022</t>
        </is>
      </c>
      <c r="B4836" s="1" t="n">
        <v>44637</v>
      </c>
      <c r="C4836" s="1" t="n">
        <v>45357</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12330-2022</t>
        </is>
      </c>
      <c r="B4837" s="1" t="n">
        <v>44637</v>
      </c>
      <c r="C4837" s="1" t="n">
        <v>45357</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12358-2022</t>
        </is>
      </c>
      <c r="B4838" s="1" t="n">
        <v>44637</v>
      </c>
      <c r="C4838" s="1" t="n">
        <v>45357</v>
      </c>
      <c r="D4838" t="inlineStr">
        <is>
          <t>GÄVLEBORGS LÄN</t>
        </is>
      </c>
      <c r="E4838" t="inlineStr">
        <is>
          <t>SÖDERHAMN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12594-2022</t>
        </is>
      </c>
      <c r="B4839" s="1" t="n">
        <v>44640</v>
      </c>
      <c r="C4839" s="1" t="n">
        <v>45357</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12675-2022</t>
        </is>
      </c>
      <c r="B4840" s="1" t="n">
        <v>44641</v>
      </c>
      <c r="C4840" s="1" t="n">
        <v>45357</v>
      </c>
      <c r="D4840" t="inlineStr">
        <is>
          <t>GÄVLEBORGS LÄN</t>
        </is>
      </c>
      <c r="E4840" t="inlineStr">
        <is>
          <t>NORDANSTIG</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12737-2022</t>
        </is>
      </c>
      <c r="B4841" s="1" t="n">
        <v>44641</v>
      </c>
      <c r="C4841" s="1" t="n">
        <v>45357</v>
      </c>
      <c r="D4841" t="inlineStr">
        <is>
          <t>GÄVLEBORGS LÄN</t>
        </is>
      </c>
      <c r="E4841" t="inlineStr">
        <is>
          <t>GÄVLE</t>
        </is>
      </c>
      <c r="F4841" t="inlineStr">
        <is>
          <t>Bergvik skog öst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12818-2022</t>
        </is>
      </c>
      <c r="B4842" s="1" t="n">
        <v>44642</v>
      </c>
      <c r="C4842" s="1" t="n">
        <v>45357</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12984-2022</t>
        </is>
      </c>
      <c r="B4843" s="1" t="n">
        <v>44643</v>
      </c>
      <c r="C4843" s="1" t="n">
        <v>45357</v>
      </c>
      <c r="D4843" t="inlineStr">
        <is>
          <t>GÄVLEBORGS LÄN</t>
        </is>
      </c>
      <c r="E4843" t="inlineStr">
        <is>
          <t>OCKELBO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12983-2022</t>
        </is>
      </c>
      <c r="B4844" s="1" t="n">
        <v>44643</v>
      </c>
      <c r="C4844" s="1" t="n">
        <v>45357</v>
      </c>
      <c r="D4844" t="inlineStr">
        <is>
          <t>GÄVLEBORGS LÄN</t>
        </is>
      </c>
      <c r="E4844" t="inlineStr">
        <is>
          <t>OCKELBO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12987-2022</t>
        </is>
      </c>
      <c r="B4845" s="1" t="n">
        <v>44643</v>
      </c>
      <c r="C4845" s="1" t="n">
        <v>45357</v>
      </c>
      <c r="D4845" t="inlineStr">
        <is>
          <t>GÄVLEBORGS LÄN</t>
        </is>
      </c>
      <c r="E4845" t="inlineStr">
        <is>
          <t>OCKELBO</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13064-2022</t>
        </is>
      </c>
      <c r="B4846" s="1" t="n">
        <v>44643</v>
      </c>
      <c r="C4846" s="1" t="n">
        <v>45357</v>
      </c>
      <c r="D4846" t="inlineStr">
        <is>
          <t>GÄVLEBORGS LÄN</t>
        </is>
      </c>
      <c r="E4846" t="inlineStr">
        <is>
          <t>LJUSDAL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13245-2022</t>
        </is>
      </c>
      <c r="B4847" s="1" t="n">
        <v>44644</v>
      </c>
      <c r="C4847" s="1" t="n">
        <v>45357</v>
      </c>
      <c r="D4847" t="inlineStr">
        <is>
          <t>GÄVLEBORGS LÄN</t>
        </is>
      </c>
      <c r="E4847" t="inlineStr">
        <is>
          <t>LJUSDAL</t>
        </is>
      </c>
      <c r="F4847" t="inlineStr">
        <is>
          <t>Holmen skog AB</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13235-2022</t>
        </is>
      </c>
      <c r="B4848" s="1" t="n">
        <v>44644</v>
      </c>
      <c r="C4848" s="1" t="n">
        <v>45357</v>
      </c>
      <c r="D4848" t="inlineStr">
        <is>
          <t>GÄVLEBORGS LÄN</t>
        </is>
      </c>
      <c r="E4848" t="inlineStr">
        <is>
          <t>HUDIKSVALL</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13270-2022</t>
        </is>
      </c>
      <c r="B4849" s="1" t="n">
        <v>44644</v>
      </c>
      <c r="C4849" s="1" t="n">
        <v>45357</v>
      </c>
      <c r="D4849" t="inlineStr">
        <is>
          <t>GÄVLEBORGS LÄN</t>
        </is>
      </c>
      <c r="E4849" t="inlineStr">
        <is>
          <t>NORDANSTIG</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13405-2022</t>
        </is>
      </c>
      <c r="B4850" s="1" t="n">
        <v>44645</v>
      </c>
      <c r="C4850" s="1" t="n">
        <v>45357</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13443-2022</t>
        </is>
      </c>
      <c r="B4851" s="1" t="n">
        <v>44645</v>
      </c>
      <c r="C4851" s="1" t="n">
        <v>45357</v>
      </c>
      <c r="D4851" t="inlineStr">
        <is>
          <t>GÄVLEBORGS LÄN</t>
        </is>
      </c>
      <c r="E4851" t="inlineStr">
        <is>
          <t>BOLLNÄS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13402-2022</t>
        </is>
      </c>
      <c r="B4852" s="1" t="n">
        <v>44645</v>
      </c>
      <c r="C4852" s="1" t="n">
        <v>45357</v>
      </c>
      <c r="D4852" t="inlineStr">
        <is>
          <t>GÄVLEBORGS LÄN</t>
        </is>
      </c>
      <c r="E4852" t="inlineStr">
        <is>
          <t>BOLLNÄS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13406-2022</t>
        </is>
      </c>
      <c r="B4853" s="1" t="n">
        <v>44645</v>
      </c>
      <c r="C4853" s="1" t="n">
        <v>45357</v>
      </c>
      <c r="D4853" t="inlineStr">
        <is>
          <t>GÄVLEBORGS LÄN</t>
        </is>
      </c>
      <c r="E4853" t="inlineStr">
        <is>
          <t>BOLLNÄS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13401-2022</t>
        </is>
      </c>
      <c r="B4854" s="1" t="n">
        <v>44645</v>
      </c>
      <c r="C4854" s="1" t="n">
        <v>45357</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13407-2022</t>
        </is>
      </c>
      <c r="B4855" s="1" t="n">
        <v>44645</v>
      </c>
      <c r="C4855" s="1" t="n">
        <v>45357</v>
      </c>
      <c r="D4855" t="inlineStr">
        <is>
          <t>GÄVLEBORGS LÄN</t>
        </is>
      </c>
      <c r="E4855" t="inlineStr">
        <is>
          <t>BOLLNÄS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13620-2022</t>
        </is>
      </c>
      <c r="B4856" s="1" t="n">
        <v>44648</v>
      </c>
      <c r="C4856" s="1" t="n">
        <v>45357</v>
      </c>
      <c r="D4856" t="inlineStr">
        <is>
          <t>GÄVLEBORGS LÄN</t>
        </is>
      </c>
      <c r="E4856" t="inlineStr">
        <is>
          <t>SANDVIKEN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13622-2022</t>
        </is>
      </c>
      <c r="B4857" s="1" t="n">
        <v>44648</v>
      </c>
      <c r="C4857" s="1" t="n">
        <v>45357</v>
      </c>
      <c r="D4857" t="inlineStr">
        <is>
          <t>GÄVLEBORGS LÄN</t>
        </is>
      </c>
      <c r="E4857" t="inlineStr">
        <is>
          <t>LJUSDAL</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13642-2022</t>
        </is>
      </c>
      <c r="B4858" s="1" t="n">
        <v>44648</v>
      </c>
      <c r="C4858" s="1" t="n">
        <v>45357</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13795-2022</t>
        </is>
      </c>
      <c r="B4859" s="1" t="n">
        <v>44649</v>
      </c>
      <c r="C4859" s="1" t="n">
        <v>45357</v>
      </c>
      <c r="D4859" t="inlineStr">
        <is>
          <t>GÄVLEBORGS LÄN</t>
        </is>
      </c>
      <c r="E4859" t="inlineStr">
        <is>
          <t>HUDIKSVALL</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13807-2022</t>
        </is>
      </c>
      <c r="B4860" s="1" t="n">
        <v>44649</v>
      </c>
      <c r="C4860" s="1" t="n">
        <v>45357</v>
      </c>
      <c r="D4860" t="inlineStr">
        <is>
          <t>GÄVLEBORGS LÄN</t>
        </is>
      </c>
      <c r="E4860" t="inlineStr">
        <is>
          <t>HOFORS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13738-2022</t>
        </is>
      </c>
      <c r="B4861" s="1" t="n">
        <v>44649</v>
      </c>
      <c r="C4861" s="1" t="n">
        <v>45357</v>
      </c>
      <c r="D4861" t="inlineStr">
        <is>
          <t>GÄVLEBORGS LÄN</t>
        </is>
      </c>
      <c r="E4861" t="inlineStr">
        <is>
          <t>HUDIKSVALL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13819-2022</t>
        </is>
      </c>
      <c r="B4862" s="1" t="n">
        <v>44649</v>
      </c>
      <c r="C4862" s="1" t="n">
        <v>45357</v>
      </c>
      <c r="D4862" t="inlineStr">
        <is>
          <t>GÄVLEBORGS LÄN</t>
        </is>
      </c>
      <c r="E4862" t="inlineStr">
        <is>
          <t>HUDIKSVALL</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13734-2022</t>
        </is>
      </c>
      <c r="B4863" s="1" t="n">
        <v>44649</v>
      </c>
      <c r="C4863" s="1" t="n">
        <v>45357</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13740-2022</t>
        </is>
      </c>
      <c r="B4864" s="1" t="n">
        <v>44649</v>
      </c>
      <c r="C4864" s="1" t="n">
        <v>45357</v>
      </c>
      <c r="D4864" t="inlineStr">
        <is>
          <t>GÄVLEBORGS LÄN</t>
        </is>
      </c>
      <c r="E4864" t="inlineStr">
        <is>
          <t>HUDIKSVALL</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13759-2022</t>
        </is>
      </c>
      <c r="B4865" s="1" t="n">
        <v>44649</v>
      </c>
      <c r="C4865" s="1" t="n">
        <v>45357</v>
      </c>
      <c r="D4865" t="inlineStr">
        <is>
          <t>GÄVLEBORGS LÄN</t>
        </is>
      </c>
      <c r="E4865" t="inlineStr">
        <is>
          <t>HUDIKSVALL</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13809-2022</t>
        </is>
      </c>
      <c r="B4866" s="1" t="n">
        <v>44649</v>
      </c>
      <c r="C4866" s="1" t="n">
        <v>45357</v>
      </c>
      <c r="D4866" t="inlineStr">
        <is>
          <t>GÄVLEBORGS LÄN</t>
        </is>
      </c>
      <c r="E4866" t="inlineStr">
        <is>
          <t>HUDIKSVALL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13805-2022</t>
        </is>
      </c>
      <c r="B4867" s="1" t="n">
        <v>44649</v>
      </c>
      <c r="C4867" s="1" t="n">
        <v>45357</v>
      </c>
      <c r="D4867" t="inlineStr">
        <is>
          <t>GÄVLEBORGS LÄN</t>
        </is>
      </c>
      <c r="E4867" t="inlineStr">
        <is>
          <t>SÖDERHAMN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13816-2022</t>
        </is>
      </c>
      <c r="B4868" s="1" t="n">
        <v>44649</v>
      </c>
      <c r="C4868" s="1" t="n">
        <v>45357</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14010-2022</t>
        </is>
      </c>
      <c r="B4869" s="1" t="n">
        <v>44650</v>
      </c>
      <c r="C4869" s="1" t="n">
        <v>45357</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13995-2022</t>
        </is>
      </c>
      <c r="B4870" s="1" t="n">
        <v>44650</v>
      </c>
      <c r="C4870" s="1" t="n">
        <v>45357</v>
      </c>
      <c r="D4870" t="inlineStr">
        <is>
          <t>GÄVLEBORGS LÄN</t>
        </is>
      </c>
      <c r="E4870" t="inlineStr">
        <is>
          <t>OVANÅKER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14005-2022</t>
        </is>
      </c>
      <c r="B4871" s="1" t="n">
        <v>44650</v>
      </c>
      <c r="C4871" s="1" t="n">
        <v>45357</v>
      </c>
      <c r="D4871" t="inlineStr">
        <is>
          <t>GÄVLEBORGS LÄN</t>
        </is>
      </c>
      <c r="E4871" t="inlineStr">
        <is>
          <t>BOLLNÄS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14012-2022</t>
        </is>
      </c>
      <c r="B4872" s="1" t="n">
        <v>44650</v>
      </c>
      <c r="C4872" s="1" t="n">
        <v>45357</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14104-2022</t>
        </is>
      </c>
      <c r="B4873" s="1" t="n">
        <v>44651</v>
      </c>
      <c r="C4873" s="1" t="n">
        <v>45357</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14173-2022</t>
        </is>
      </c>
      <c r="B4874" s="1" t="n">
        <v>44651</v>
      </c>
      <c r="C4874" s="1" t="n">
        <v>45357</v>
      </c>
      <c r="D4874" t="inlineStr">
        <is>
          <t>GÄVLEBORGS LÄN</t>
        </is>
      </c>
      <c r="E4874" t="inlineStr">
        <is>
          <t>GÄVLE</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14179-2022</t>
        </is>
      </c>
      <c r="B4875" s="1" t="n">
        <v>44651</v>
      </c>
      <c r="C4875" s="1" t="n">
        <v>45357</v>
      </c>
      <c r="D4875" t="inlineStr">
        <is>
          <t>GÄVLEBORGS LÄN</t>
        </is>
      </c>
      <c r="E4875" t="inlineStr">
        <is>
          <t>SÖDERHAMN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14103-2022</t>
        </is>
      </c>
      <c r="B4876" s="1" t="n">
        <v>44651</v>
      </c>
      <c r="C4876" s="1" t="n">
        <v>45357</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14125-2022</t>
        </is>
      </c>
      <c r="B4877" s="1" t="n">
        <v>44651</v>
      </c>
      <c r="C4877" s="1" t="n">
        <v>45357</v>
      </c>
      <c r="D4877" t="inlineStr">
        <is>
          <t>GÄVLEBORGS LÄN</t>
        </is>
      </c>
      <c r="E4877" t="inlineStr">
        <is>
          <t>SÖDERHAMN</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14144-2022</t>
        </is>
      </c>
      <c r="B4878" s="1" t="n">
        <v>44651</v>
      </c>
      <c r="C4878" s="1" t="n">
        <v>45357</v>
      </c>
      <c r="D4878" t="inlineStr">
        <is>
          <t>GÄVLEBORGS LÄN</t>
        </is>
      </c>
      <c r="E4878" t="inlineStr">
        <is>
          <t>SÖDERHAMN</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14128-2022</t>
        </is>
      </c>
      <c r="B4879" s="1" t="n">
        <v>44651</v>
      </c>
      <c r="C4879" s="1" t="n">
        <v>45357</v>
      </c>
      <c r="D4879" t="inlineStr">
        <is>
          <t>GÄVLEBORGS LÄN</t>
        </is>
      </c>
      <c r="E4879" t="inlineStr">
        <is>
          <t>SÖDERHAMN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14141-2022</t>
        </is>
      </c>
      <c r="B4880" s="1" t="n">
        <v>44651</v>
      </c>
      <c r="C4880" s="1" t="n">
        <v>45357</v>
      </c>
      <c r="D4880" t="inlineStr">
        <is>
          <t>GÄVLEBORGS LÄN</t>
        </is>
      </c>
      <c r="E4880" t="inlineStr">
        <is>
          <t>SÖDERHAMN</t>
        </is>
      </c>
      <c r="F4880" t="inlineStr">
        <is>
          <t>Bergvik skog väst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14147-2022</t>
        </is>
      </c>
      <c r="B4881" s="1" t="n">
        <v>44651</v>
      </c>
      <c r="C4881" s="1" t="n">
        <v>45357</v>
      </c>
      <c r="D4881" t="inlineStr">
        <is>
          <t>GÄVLEBORGS LÄN</t>
        </is>
      </c>
      <c r="E4881" t="inlineStr">
        <is>
          <t>SÖDERHAMN</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14174-2022</t>
        </is>
      </c>
      <c r="B4882" s="1" t="n">
        <v>44651</v>
      </c>
      <c r="C4882" s="1" t="n">
        <v>45357</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14251-2022</t>
        </is>
      </c>
      <c r="B4883" s="1" t="n">
        <v>44651</v>
      </c>
      <c r="C4883" s="1" t="n">
        <v>45357</v>
      </c>
      <c r="D4883" t="inlineStr">
        <is>
          <t>GÄVLEBORGS LÄN</t>
        </is>
      </c>
      <c r="E4883" t="inlineStr">
        <is>
          <t>NORDANSTIG</t>
        </is>
      </c>
      <c r="F4883" t="inlineStr">
        <is>
          <t>Holmen skog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14246-2022</t>
        </is>
      </c>
      <c r="B4884" s="1" t="n">
        <v>44651</v>
      </c>
      <c r="C4884" s="1" t="n">
        <v>45357</v>
      </c>
      <c r="D4884" t="inlineStr">
        <is>
          <t>GÄVLEBORGS LÄN</t>
        </is>
      </c>
      <c r="E4884" t="inlineStr">
        <is>
          <t>NORDANSTIG</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14399-2022</t>
        </is>
      </c>
      <c r="B4885" s="1" t="n">
        <v>44652</v>
      </c>
      <c r="C4885" s="1" t="n">
        <v>45357</v>
      </c>
      <c r="D4885" t="inlineStr">
        <is>
          <t>GÄVLEBORGS LÄN</t>
        </is>
      </c>
      <c r="E4885" t="inlineStr">
        <is>
          <t>HUDIKSVALL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14405-2022</t>
        </is>
      </c>
      <c r="B4886" s="1" t="n">
        <v>44652</v>
      </c>
      <c r="C4886" s="1" t="n">
        <v>45357</v>
      </c>
      <c r="D4886" t="inlineStr">
        <is>
          <t>GÄVLEBORGS LÄN</t>
        </is>
      </c>
      <c r="E4886" t="inlineStr">
        <is>
          <t>BOLLNÄS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14415-2022</t>
        </is>
      </c>
      <c r="B4887" s="1" t="n">
        <v>44652</v>
      </c>
      <c r="C4887" s="1" t="n">
        <v>45357</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14394-2022</t>
        </is>
      </c>
      <c r="B4888" s="1" t="n">
        <v>44652</v>
      </c>
      <c r="C4888" s="1" t="n">
        <v>45357</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14409-2022</t>
        </is>
      </c>
      <c r="B4889" s="1" t="n">
        <v>44652</v>
      </c>
      <c r="C4889" s="1" t="n">
        <v>45357</v>
      </c>
      <c r="D4889" t="inlineStr">
        <is>
          <t>GÄVLEBORGS LÄN</t>
        </is>
      </c>
      <c r="E4889" t="inlineStr">
        <is>
          <t>HUDIKSVALL</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14354-2022</t>
        </is>
      </c>
      <c r="B4890" s="1" t="n">
        <v>44652</v>
      </c>
      <c r="C4890" s="1" t="n">
        <v>45357</v>
      </c>
      <c r="D4890" t="inlineStr">
        <is>
          <t>GÄVLEBORGS LÄN</t>
        </is>
      </c>
      <c r="E4890" t="inlineStr">
        <is>
          <t>BOLLNÄS</t>
        </is>
      </c>
      <c r="F4890" t="inlineStr">
        <is>
          <t>Kyrkan</t>
        </is>
      </c>
      <c r="G4890" t="n">
        <v>22.3</v>
      </c>
      <c r="H4890" t="n">
        <v>0</v>
      </c>
      <c r="I4890" t="n">
        <v>0</v>
      </c>
      <c r="J4890" t="n">
        <v>0</v>
      </c>
      <c r="K4890" t="n">
        <v>0</v>
      </c>
      <c r="L4890" t="n">
        <v>0</v>
      </c>
      <c r="M4890" t="n">
        <v>0</v>
      </c>
      <c r="N4890" t="n">
        <v>0</v>
      </c>
      <c r="O4890" t="n">
        <v>0</v>
      </c>
      <c r="P4890" t="n">
        <v>0</v>
      </c>
      <c r="Q4890" t="n">
        <v>0</v>
      </c>
      <c r="R4890" s="2" t="inlineStr"/>
    </row>
    <row r="4891" ht="15" customHeight="1">
      <c r="A4891" t="inlineStr">
        <is>
          <t>A 14608-2022</t>
        </is>
      </c>
      <c r="B4891" s="1" t="n">
        <v>44655</v>
      </c>
      <c r="C4891" s="1" t="n">
        <v>45357</v>
      </c>
      <c r="D4891" t="inlineStr">
        <is>
          <t>GÄVLEBORGS LÄN</t>
        </is>
      </c>
      <c r="E4891" t="inlineStr">
        <is>
          <t>LJUSDAL</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14577-2022</t>
        </is>
      </c>
      <c r="B4892" s="1" t="n">
        <v>44655</v>
      </c>
      <c r="C4892" s="1" t="n">
        <v>45357</v>
      </c>
      <c r="D4892" t="inlineStr">
        <is>
          <t>GÄVLEBORGS LÄN</t>
        </is>
      </c>
      <c r="E4892" t="inlineStr">
        <is>
          <t>GÄVLE</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14621-2022</t>
        </is>
      </c>
      <c r="B4893" s="1" t="n">
        <v>44655</v>
      </c>
      <c r="C4893" s="1" t="n">
        <v>45357</v>
      </c>
      <c r="D4893" t="inlineStr">
        <is>
          <t>GÄVLEBORGS LÄN</t>
        </is>
      </c>
      <c r="E4893" t="inlineStr">
        <is>
          <t>HUDIKSVALL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14710-2022</t>
        </is>
      </c>
      <c r="B4894" s="1" t="n">
        <v>44656</v>
      </c>
      <c r="C4894" s="1" t="n">
        <v>45357</v>
      </c>
      <c r="D4894" t="inlineStr">
        <is>
          <t>GÄVLEBORGS LÄN</t>
        </is>
      </c>
      <c r="E4894" t="inlineStr">
        <is>
          <t>HUDIKSVALL</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14840-2022</t>
        </is>
      </c>
      <c r="B4895" s="1" t="n">
        <v>44656</v>
      </c>
      <c r="C4895" s="1" t="n">
        <v>45357</v>
      </c>
      <c r="D4895" t="inlineStr">
        <is>
          <t>GÄVLEBORGS LÄN</t>
        </is>
      </c>
      <c r="E4895" t="inlineStr">
        <is>
          <t>SANDVIKEN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14750-2022</t>
        </is>
      </c>
      <c r="B4896" s="1" t="n">
        <v>44656</v>
      </c>
      <c r="C4896" s="1" t="n">
        <v>45357</v>
      </c>
      <c r="D4896" t="inlineStr">
        <is>
          <t>GÄVLEBORGS LÄN</t>
        </is>
      </c>
      <c r="E4896" t="inlineStr">
        <is>
          <t>GÄVLE</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14857-2022</t>
        </is>
      </c>
      <c r="B4897" s="1" t="n">
        <v>44656</v>
      </c>
      <c r="C4897" s="1" t="n">
        <v>45357</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14944-2022</t>
        </is>
      </c>
      <c r="B4898" s="1" t="n">
        <v>44657</v>
      </c>
      <c r="C4898" s="1" t="n">
        <v>45357</v>
      </c>
      <c r="D4898" t="inlineStr">
        <is>
          <t>GÄVLEBORGS LÄN</t>
        </is>
      </c>
      <c r="E4898" t="inlineStr">
        <is>
          <t>SANDVIKEN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14953-2022</t>
        </is>
      </c>
      <c r="B4899" s="1" t="n">
        <v>44657</v>
      </c>
      <c r="C4899" s="1" t="n">
        <v>45357</v>
      </c>
      <c r="D4899" t="inlineStr">
        <is>
          <t>GÄVLEBORGS LÄN</t>
        </is>
      </c>
      <c r="E4899" t="inlineStr">
        <is>
          <t>SANDVIKEN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14996-2022</t>
        </is>
      </c>
      <c r="B4900" s="1" t="n">
        <v>44657</v>
      </c>
      <c r="C4900" s="1" t="n">
        <v>45357</v>
      </c>
      <c r="D4900" t="inlineStr">
        <is>
          <t>GÄVLEBORGS LÄN</t>
        </is>
      </c>
      <c r="E4900" t="inlineStr">
        <is>
          <t>BOLLNÄS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15011-2022</t>
        </is>
      </c>
      <c r="B4901" s="1" t="n">
        <v>44657</v>
      </c>
      <c r="C4901" s="1" t="n">
        <v>45357</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15042-2022</t>
        </is>
      </c>
      <c r="B4902" s="1" t="n">
        <v>44657</v>
      </c>
      <c r="C4902" s="1" t="n">
        <v>45357</v>
      </c>
      <c r="D4902" t="inlineStr">
        <is>
          <t>GÄVLEBORGS LÄN</t>
        </is>
      </c>
      <c r="E4902" t="inlineStr">
        <is>
          <t>LJUSDAL</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15097-2022</t>
        </is>
      </c>
      <c r="B4903" s="1" t="n">
        <v>44658</v>
      </c>
      <c r="C4903" s="1" t="n">
        <v>45357</v>
      </c>
      <c r="D4903" t="inlineStr">
        <is>
          <t>GÄVLEBORGS LÄN</t>
        </is>
      </c>
      <c r="E4903" t="inlineStr">
        <is>
          <t>HUDIKSVALL</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15151-2022</t>
        </is>
      </c>
      <c r="B4904" s="1" t="n">
        <v>44658</v>
      </c>
      <c r="C4904" s="1" t="n">
        <v>45357</v>
      </c>
      <c r="D4904" t="inlineStr">
        <is>
          <t>GÄVLEBORGS LÄN</t>
        </is>
      </c>
      <c r="E4904" t="inlineStr">
        <is>
          <t>HUDIKSVALL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15200-2022</t>
        </is>
      </c>
      <c r="B4905" s="1" t="n">
        <v>44658</v>
      </c>
      <c r="C4905" s="1" t="n">
        <v>45357</v>
      </c>
      <c r="D4905" t="inlineStr">
        <is>
          <t>GÄVLEBORGS LÄN</t>
        </is>
      </c>
      <c r="E4905" t="inlineStr">
        <is>
          <t>SANDVIKEN</t>
        </is>
      </c>
      <c r="F4905" t="inlineStr">
        <is>
          <t>Naturvårdsverket</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15101-2022</t>
        </is>
      </c>
      <c r="B4906" s="1" t="n">
        <v>44658</v>
      </c>
      <c r="C4906" s="1" t="n">
        <v>45357</v>
      </c>
      <c r="D4906" t="inlineStr">
        <is>
          <t>GÄVLEBORGS LÄN</t>
        </is>
      </c>
      <c r="E4906" t="inlineStr">
        <is>
          <t>GÄVLE</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15114-2022</t>
        </is>
      </c>
      <c r="B4907" s="1" t="n">
        <v>44658</v>
      </c>
      <c r="C4907" s="1" t="n">
        <v>45357</v>
      </c>
      <c r="D4907" t="inlineStr">
        <is>
          <t>GÄVLEBORGS LÄN</t>
        </is>
      </c>
      <c r="E4907" t="inlineStr">
        <is>
          <t>HUDIKSVALL</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15124-2022</t>
        </is>
      </c>
      <c r="B4908" s="1" t="n">
        <v>44658</v>
      </c>
      <c r="C4908" s="1" t="n">
        <v>45357</v>
      </c>
      <c r="D4908" t="inlineStr">
        <is>
          <t>GÄVLEBORGS LÄN</t>
        </is>
      </c>
      <c r="E4908" t="inlineStr">
        <is>
          <t>SANDVIKEN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15144-2022</t>
        </is>
      </c>
      <c r="B4909" s="1" t="n">
        <v>44658</v>
      </c>
      <c r="C4909" s="1" t="n">
        <v>45357</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15275-2022</t>
        </is>
      </c>
      <c r="B4910" s="1" t="n">
        <v>44659</v>
      </c>
      <c r="C4910" s="1" t="n">
        <v>45357</v>
      </c>
      <c r="D4910" t="inlineStr">
        <is>
          <t>GÄVLEBORGS LÄN</t>
        </is>
      </c>
      <c r="E4910" t="inlineStr">
        <is>
          <t>BOLLNÄS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15387-2022</t>
        </is>
      </c>
      <c r="B4911" s="1" t="n">
        <v>44659</v>
      </c>
      <c r="C4911" s="1" t="n">
        <v>45357</v>
      </c>
      <c r="D4911" t="inlineStr">
        <is>
          <t>GÄVLEBORGS LÄN</t>
        </is>
      </c>
      <c r="E4911" t="inlineStr">
        <is>
          <t>HUDIKSVALL</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15403-2022</t>
        </is>
      </c>
      <c r="B4912" s="1" t="n">
        <v>44659</v>
      </c>
      <c r="C4912" s="1" t="n">
        <v>45357</v>
      </c>
      <c r="D4912" t="inlineStr">
        <is>
          <t>GÄVLEBORGS LÄN</t>
        </is>
      </c>
      <c r="E4912" t="inlineStr">
        <is>
          <t>OCKELBO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15269-2022</t>
        </is>
      </c>
      <c r="B4913" s="1" t="n">
        <v>44659</v>
      </c>
      <c r="C4913" s="1" t="n">
        <v>45357</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15469-2022</t>
        </is>
      </c>
      <c r="B4914" s="1" t="n">
        <v>44662</v>
      </c>
      <c r="C4914" s="1" t="n">
        <v>45357</v>
      </c>
      <c r="D4914" t="inlineStr">
        <is>
          <t>GÄVLEBORGS LÄN</t>
        </is>
      </c>
      <c r="E4914" t="inlineStr">
        <is>
          <t>OCKELBO</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15464-2022</t>
        </is>
      </c>
      <c r="B4915" s="1" t="n">
        <v>44662</v>
      </c>
      <c r="C4915" s="1" t="n">
        <v>45357</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15485-2022</t>
        </is>
      </c>
      <c r="B4916" s="1" t="n">
        <v>44662</v>
      </c>
      <c r="C4916" s="1" t="n">
        <v>45357</v>
      </c>
      <c r="D4916" t="inlineStr">
        <is>
          <t>GÄVLEBORGS LÄN</t>
        </is>
      </c>
      <c r="E4916" t="inlineStr">
        <is>
          <t>LJUSDAL</t>
        </is>
      </c>
      <c r="F4916" t="inlineStr">
        <is>
          <t>Kyrkan</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15517-2022</t>
        </is>
      </c>
      <c r="B4917" s="1" t="n">
        <v>44662</v>
      </c>
      <c r="C4917" s="1" t="n">
        <v>45357</v>
      </c>
      <c r="D4917" t="inlineStr">
        <is>
          <t>GÄVLEBORGS LÄN</t>
        </is>
      </c>
      <c r="E4917" t="inlineStr">
        <is>
          <t>OCKELBO</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15616-2022</t>
        </is>
      </c>
      <c r="B4918" s="1" t="n">
        <v>44662</v>
      </c>
      <c r="C4918" s="1" t="n">
        <v>45357</v>
      </c>
      <c r="D4918" t="inlineStr">
        <is>
          <t>GÄVLEBORGS LÄN</t>
        </is>
      </c>
      <c r="E4918" t="inlineStr">
        <is>
          <t>HUDIKSVALL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15476-2022</t>
        </is>
      </c>
      <c r="B4919" s="1" t="n">
        <v>44662</v>
      </c>
      <c r="C4919" s="1" t="n">
        <v>45357</v>
      </c>
      <c r="D4919" t="inlineStr">
        <is>
          <t>GÄVLEBORGS LÄN</t>
        </is>
      </c>
      <c r="E4919" t="inlineStr">
        <is>
          <t>OCKELBO</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15498-2022</t>
        </is>
      </c>
      <c r="B4920" s="1" t="n">
        <v>44662</v>
      </c>
      <c r="C4920" s="1" t="n">
        <v>45357</v>
      </c>
      <c r="D4920" t="inlineStr">
        <is>
          <t>GÄVLEBORGS LÄN</t>
        </is>
      </c>
      <c r="E4920" t="inlineStr">
        <is>
          <t>OCKELBO</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15646-2022</t>
        </is>
      </c>
      <c r="B4921" s="1" t="n">
        <v>44663</v>
      </c>
      <c r="C4921" s="1" t="n">
        <v>45357</v>
      </c>
      <c r="D4921" t="inlineStr">
        <is>
          <t>GÄVLEBORGS LÄN</t>
        </is>
      </c>
      <c r="E4921" t="inlineStr">
        <is>
          <t>SÖDERHAMN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15647-2022</t>
        </is>
      </c>
      <c r="B4922" s="1" t="n">
        <v>44663</v>
      </c>
      <c r="C4922" s="1" t="n">
        <v>45357</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15645-2022</t>
        </is>
      </c>
      <c r="B4923" s="1" t="n">
        <v>44663</v>
      </c>
      <c r="C4923" s="1" t="n">
        <v>45357</v>
      </c>
      <c r="D4923" t="inlineStr">
        <is>
          <t>GÄVLEBORGS LÄN</t>
        </is>
      </c>
      <c r="E4923" t="inlineStr">
        <is>
          <t>SÖDERHAMN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15704-2022</t>
        </is>
      </c>
      <c r="B4924" s="1" t="n">
        <v>44663</v>
      </c>
      <c r="C4924" s="1" t="n">
        <v>45357</v>
      </c>
      <c r="D4924" t="inlineStr">
        <is>
          <t>GÄVLEBORGS LÄN</t>
        </is>
      </c>
      <c r="E4924" t="inlineStr">
        <is>
          <t>GÄVLE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15686-2022</t>
        </is>
      </c>
      <c r="B4925" s="1" t="n">
        <v>44663</v>
      </c>
      <c r="C4925" s="1" t="n">
        <v>45357</v>
      </c>
      <c r="D4925" t="inlineStr">
        <is>
          <t>GÄVLEBORGS LÄN</t>
        </is>
      </c>
      <c r="E4925" t="inlineStr">
        <is>
          <t>GÄVLE</t>
        </is>
      </c>
      <c r="F4925" t="inlineStr">
        <is>
          <t>Kyrkan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15694-2022</t>
        </is>
      </c>
      <c r="B4926" s="1" t="n">
        <v>44663</v>
      </c>
      <c r="C4926" s="1" t="n">
        <v>45357</v>
      </c>
      <c r="D4926" t="inlineStr">
        <is>
          <t>GÄVLEBORGS LÄN</t>
        </is>
      </c>
      <c r="E4926" t="inlineStr">
        <is>
          <t>OCKELBO</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15750-2022</t>
        </is>
      </c>
      <c r="B4927" s="1" t="n">
        <v>44663</v>
      </c>
      <c r="C4927" s="1" t="n">
        <v>45357</v>
      </c>
      <c r="D4927" t="inlineStr">
        <is>
          <t>GÄVLEBORGS LÄN</t>
        </is>
      </c>
      <c r="E4927" t="inlineStr">
        <is>
          <t>LJUSDAL</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15700-2022</t>
        </is>
      </c>
      <c r="B4928" s="1" t="n">
        <v>44663</v>
      </c>
      <c r="C4928" s="1" t="n">
        <v>45357</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15705-2022</t>
        </is>
      </c>
      <c r="B4929" s="1" t="n">
        <v>44663</v>
      </c>
      <c r="C4929" s="1" t="n">
        <v>45357</v>
      </c>
      <c r="D4929" t="inlineStr">
        <is>
          <t>GÄVLEBORGS LÄN</t>
        </is>
      </c>
      <c r="E4929" t="inlineStr">
        <is>
          <t>OCKELBO</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15725-2022</t>
        </is>
      </c>
      <c r="B4930" s="1" t="n">
        <v>44663</v>
      </c>
      <c r="C4930" s="1" t="n">
        <v>45357</v>
      </c>
      <c r="D4930" t="inlineStr">
        <is>
          <t>GÄVLEBORGS LÄN</t>
        </is>
      </c>
      <c r="E4930" t="inlineStr">
        <is>
          <t>SÖDERHAMN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15767-2022</t>
        </is>
      </c>
      <c r="B4931" s="1" t="n">
        <v>44663</v>
      </c>
      <c r="C4931" s="1" t="n">
        <v>45357</v>
      </c>
      <c r="D4931" t="inlineStr">
        <is>
          <t>GÄVLEBORGS LÄN</t>
        </is>
      </c>
      <c r="E4931" t="inlineStr">
        <is>
          <t>LJUSDAL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15744-2022</t>
        </is>
      </c>
      <c r="B4932" s="1" t="n">
        <v>44663</v>
      </c>
      <c r="C4932" s="1" t="n">
        <v>45357</v>
      </c>
      <c r="D4932" t="inlineStr">
        <is>
          <t>GÄVLEBORGS LÄN</t>
        </is>
      </c>
      <c r="E4932" t="inlineStr">
        <is>
          <t>OCKELBO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15748-2022</t>
        </is>
      </c>
      <c r="B4933" s="1" t="n">
        <v>44663</v>
      </c>
      <c r="C4933" s="1" t="n">
        <v>45357</v>
      </c>
      <c r="D4933" t="inlineStr">
        <is>
          <t>GÄVLEBORGS LÄN</t>
        </is>
      </c>
      <c r="E4933" t="inlineStr">
        <is>
          <t>SÖDERHAMN</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15876-2022</t>
        </is>
      </c>
      <c r="B4934" s="1" t="n">
        <v>44664</v>
      </c>
      <c r="C4934" s="1" t="n">
        <v>45357</v>
      </c>
      <c r="D4934" t="inlineStr">
        <is>
          <t>GÄVLEBORGS LÄN</t>
        </is>
      </c>
      <c r="E4934" t="inlineStr">
        <is>
          <t>HUDIKSVALL</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15918-2022</t>
        </is>
      </c>
      <c r="B4935" s="1" t="n">
        <v>44664</v>
      </c>
      <c r="C4935" s="1" t="n">
        <v>45357</v>
      </c>
      <c r="D4935" t="inlineStr">
        <is>
          <t>GÄVLEBORGS LÄN</t>
        </is>
      </c>
      <c r="E4935" t="inlineStr">
        <is>
          <t>HUDIKSVALL</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15973-2022</t>
        </is>
      </c>
      <c r="B4936" s="1" t="n">
        <v>44665</v>
      </c>
      <c r="C4936" s="1" t="n">
        <v>45357</v>
      </c>
      <c r="D4936" t="inlineStr">
        <is>
          <t>GÄVLEBORGS LÄN</t>
        </is>
      </c>
      <c r="E4936" t="inlineStr">
        <is>
          <t>NORDANSTIG</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15998-2022</t>
        </is>
      </c>
      <c r="B4937" s="1" t="n">
        <v>44665</v>
      </c>
      <c r="C4937" s="1" t="n">
        <v>45357</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16137-2022</t>
        </is>
      </c>
      <c r="B4938" s="1" t="n">
        <v>44665</v>
      </c>
      <c r="C4938" s="1" t="n">
        <v>45357</v>
      </c>
      <c r="D4938" t="inlineStr">
        <is>
          <t>GÄVLEBORGS LÄN</t>
        </is>
      </c>
      <c r="E4938" t="inlineStr">
        <is>
          <t>SÖDERHAMN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16318-2022</t>
        </is>
      </c>
      <c r="B4939" s="1" t="n">
        <v>44670</v>
      </c>
      <c r="C4939" s="1" t="n">
        <v>45357</v>
      </c>
      <c r="D4939" t="inlineStr">
        <is>
          <t>GÄVLEBORGS LÄN</t>
        </is>
      </c>
      <c r="E4939" t="inlineStr">
        <is>
          <t>OCKELBO</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16333-2022</t>
        </is>
      </c>
      <c r="B4940" s="1" t="n">
        <v>44670</v>
      </c>
      <c r="C4940" s="1" t="n">
        <v>45357</v>
      </c>
      <c r="D4940" t="inlineStr">
        <is>
          <t>GÄVLEBORGS LÄN</t>
        </is>
      </c>
      <c r="E4940" t="inlineStr">
        <is>
          <t>OCKELBO</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16344-2022</t>
        </is>
      </c>
      <c r="B4941" s="1" t="n">
        <v>44670</v>
      </c>
      <c r="C4941" s="1" t="n">
        <v>45357</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16357-2022</t>
        </is>
      </c>
      <c r="B4942" s="1" t="n">
        <v>44671</v>
      </c>
      <c r="C4942" s="1" t="n">
        <v>45357</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16355-2022</t>
        </is>
      </c>
      <c r="B4943" s="1" t="n">
        <v>44671</v>
      </c>
      <c r="C4943" s="1" t="n">
        <v>45357</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16327-2022</t>
        </is>
      </c>
      <c r="B4944" s="1" t="n">
        <v>44670</v>
      </c>
      <c r="C4944" s="1" t="n">
        <v>45357</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16356-2022</t>
        </is>
      </c>
      <c r="B4945" s="1" t="n">
        <v>44671</v>
      </c>
      <c r="C4945" s="1" t="n">
        <v>45357</v>
      </c>
      <c r="D4945" t="inlineStr">
        <is>
          <t>GÄVLEBORGS LÄN</t>
        </is>
      </c>
      <c r="E4945" t="inlineStr">
        <is>
          <t>HUDIKSVALL</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16459-2022</t>
        </is>
      </c>
      <c r="B4946" s="1" t="n">
        <v>44671</v>
      </c>
      <c r="C4946" s="1" t="n">
        <v>45357</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16489-2022</t>
        </is>
      </c>
      <c r="B4947" s="1" t="n">
        <v>44671</v>
      </c>
      <c r="C4947" s="1" t="n">
        <v>45357</v>
      </c>
      <c r="D4947" t="inlineStr">
        <is>
          <t>GÄVLEBORGS LÄN</t>
        </is>
      </c>
      <c r="E4947" t="inlineStr">
        <is>
          <t>BOLLNÄS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16371-2022</t>
        </is>
      </c>
      <c r="B4948" s="1" t="n">
        <v>44671</v>
      </c>
      <c r="C4948" s="1" t="n">
        <v>45357</v>
      </c>
      <c r="D4948" t="inlineStr">
        <is>
          <t>GÄVLEBORGS LÄN</t>
        </is>
      </c>
      <c r="E4948" t="inlineStr">
        <is>
          <t>HOFORS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16379-2022</t>
        </is>
      </c>
      <c r="B4949" s="1" t="n">
        <v>44671</v>
      </c>
      <c r="C4949" s="1" t="n">
        <v>45357</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16469-2022</t>
        </is>
      </c>
      <c r="B4950" s="1" t="n">
        <v>44671</v>
      </c>
      <c r="C4950" s="1" t="n">
        <v>45357</v>
      </c>
      <c r="D4950" t="inlineStr">
        <is>
          <t>GÄVLEBORGS LÄN</t>
        </is>
      </c>
      <c r="E4950" t="inlineStr">
        <is>
          <t>GÄVLE</t>
        </is>
      </c>
      <c r="F4950" t="inlineStr">
        <is>
          <t>Bergvik skog öst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16475-2022</t>
        </is>
      </c>
      <c r="B4951" s="1" t="n">
        <v>44671</v>
      </c>
      <c r="C4951" s="1" t="n">
        <v>45357</v>
      </c>
      <c r="D4951" t="inlineStr">
        <is>
          <t>GÄVLEBORGS LÄN</t>
        </is>
      </c>
      <c r="E4951" t="inlineStr">
        <is>
          <t>GÄVLE</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16603-2022</t>
        </is>
      </c>
      <c r="B4952" s="1" t="n">
        <v>44672</v>
      </c>
      <c r="C4952" s="1" t="n">
        <v>45357</v>
      </c>
      <c r="D4952" t="inlineStr">
        <is>
          <t>GÄVLEBORGS LÄN</t>
        </is>
      </c>
      <c r="E4952" t="inlineStr">
        <is>
          <t>SANDVIKEN</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16615-2022</t>
        </is>
      </c>
      <c r="B4953" s="1" t="n">
        <v>44672</v>
      </c>
      <c r="C4953" s="1" t="n">
        <v>45357</v>
      </c>
      <c r="D4953" t="inlineStr">
        <is>
          <t>GÄVLEBORGS LÄN</t>
        </is>
      </c>
      <c r="E4953" t="inlineStr">
        <is>
          <t>OVANÅKER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16646-2022</t>
        </is>
      </c>
      <c r="B4954" s="1" t="n">
        <v>44672</v>
      </c>
      <c r="C4954" s="1" t="n">
        <v>45357</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16891-2022</t>
        </is>
      </c>
      <c r="B4955" s="1" t="n">
        <v>44676</v>
      </c>
      <c r="C4955" s="1" t="n">
        <v>45357</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16919-2022</t>
        </is>
      </c>
      <c r="B4956" s="1" t="n">
        <v>44676</v>
      </c>
      <c r="C4956" s="1" t="n">
        <v>45357</v>
      </c>
      <c r="D4956" t="inlineStr">
        <is>
          <t>GÄVLEBORGS LÄN</t>
        </is>
      </c>
      <c r="E4956" t="inlineStr">
        <is>
          <t>HUDIKSVALL</t>
        </is>
      </c>
      <c r="F4956" t="inlineStr">
        <is>
          <t>Holmen skog AB</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16894-2022</t>
        </is>
      </c>
      <c r="B4957" s="1" t="n">
        <v>44676</v>
      </c>
      <c r="C4957" s="1" t="n">
        <v>45357</v>
      </c>
      <c r="D4957" t="inlineStr">
        <is>
          <t>GÄVLEBORGS LÄN</t>
        </is>
      </c>
      <c r="E4957" t="inlineStr">
        <is>
          <t>LJUSDAL</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16923-2022</t>
        </is>
      </c>
      <c r="B4958" s="1" t="n">
        <v>44676</v>
      </c>
      <c r="C4958" s="1" t="n">
        <v>45357</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16955-2022</t>
        </is>
      </c>
      <c r="B4959" s="1" t="n">
        <v>44676</v>
      </c>
      <c r="C4959" s="1" t="n">
        <v>45357</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16973-2022</t>
        </is>
      </c>
      <c r="B4960" s="1" t="n">
        <v>44676</v>
      </c>
      <c r="C4960" s="1" t="n">
        <v>45357</v>
      </c>
      <c r="D4960" t="inlineStr">
        <is>
          <t>GÄVLEBORGS LÄN</t>
        </is>
      </c>
      <c r="E4960" t="inlineStr">
        <is>
          <t>LJUSDAL</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17226-2022</t>
        </is>
      </c>
      <c r="B4961" s="1" t="n">
        <v>44678</v>
      </c>
      <c r="C4961" s="1" t="n">
        <v>45357</v>
      </c>
      <c r="D4961" t="inlineStr">
        <is>
          <t>GÄVLEBORGS LÄN</t>
        </is>
      </c>
      <c r="E4961" t="inlineStr">
        <is>
          <t>NORDANSTIG</t>
        </is>
      </c>
      <c r="F4961" t="inlineStr">
        <is>
          <t>Holmen skog AB</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17322-2022</t>
        </is>
      </c>
      <c r="B4962" s="1" t="n">
        <v>44678</v>
      </c>
      <c r="C4962" s="1" t="n">
        <v>45357</v>
      </c>
      <c r="D4962" t="inlineStr">
        <is>
          <t>GÄVLEBORGS LÄN</t>
        </is>
      </c>
      <c r="E4962" t="inlineStr">
        <is>
          <t>HUDIKSVALL</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17342-2022</t>
        </is>
      </c>
      <c r="B4963" s="1" t="n">
        <v>44678</v>
      </c>
      <c r="C4963" s="1" t="n">
        <v>45357</v>
      </c>
      <c r="D4963" t="inlineStr">
        <is>
          <t>GÄVLEBORGS LÄN</t>
        </is>
      </c>
      <c r="E4963" t="inlineStr">
        <is>
          <t>HUDIKSVALL</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17348-2022</t>
        </is>
      </c>
      <c r="B4964" s="1" t="n">
        <v>44678</v>
      </c>
      <c r="C4964" s="1" t="n">
        <v>45357</v>
      </c>
      <c r="D4964" t="inlineStr">
        <is>
          <t>GÄVLEBORGS LÄN</t>
        </is>
      </c>
      <c r="E4964" t="inlineStr">
        <is>
          <t>BOLLNÄS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17246-2022</t>
        </is>
      </c>
      <c r="B4965" s="1" t="n">
        <v>44678</v>
      </c>
      <c r="C4965" s="1" t="n">
        <v>45357</v>
      </c>
      <c r="D4965" t="inlineStr">
        <is>
          <t>GÄVLEBORGS LÄN</t>
        </is>
      </c>
      <c r="E4965" t="inlineStr">
        <is>
          <t>LJUSDAL</t>
        </is>
      </c>
      <c r="F4965" t="inlineStr">
        <is>
          <t>Holmen skog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17271-2022</t>
        </is>
      </c>
      <c r="B4966" s="1" t="n">
        <v>44678</v>
      </c>
      <c r="C4966" s="1" t="n">
        <v>45357</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17293-2022</t>
        </is>
      </c>
      <c r="B4967" s="1" t="n">
        <v>44678</v>
      </c>
      <c r="C4967" s="1" t="n">
        <v>45357</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17394-2022</t>
        </is>
      </c>
      <c r="B4968" s="1" t="n">
        <v>44678</v>
      </c>
      <c r="C4968" s="1" t="n">
        <v>45357</v>
      </c>
      <c r="D4968" t="inlineStr">
        <is>
          <t>GÄVLEBORGS LÄN</t>
        </is>
      </c>
      <c r="E4968" t="inlineStr">
        <is>
          <t>BOLLNÄS</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17458-2022</t>
        </is>
      </c>
      <c r="B4969" s="1" t="n">
        <v>44679</v>
      </c>
      <c r="C4969" s="1" t="n">
        <v>45357</v>
      </c>
      <c r="D4969" t="inlineStr">
        <is>
          <t>GÄVLEBORGS LÄN</t>
        </is>
      </c>
      <c r="E4969" t="inlineStr">
        <is>
          <t>LJUSDAL</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17474-2022</t>
        </is>
      </c>
      <c r="B4970" s="1" t="n">
        <v>44679</v>
      </c>
      <c r="C4970" s="1" t="n">
        <v>45357</v>
      </c>
      <c r="D4970" t="inlineStr">
        <is>
          <t>GÄVLEBORGS LÄN</t>
        </is>
      </c>
      <c r="E4970" t="inlineStr">
        <is>
          <t>SANDVIKEN</t>
        </is>
      </c>
      <c r="F4970" t="inlineStr">
        <is>
          <t>Naturvårdsverket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17482-2022</t>
        </is>
      </c>
      <c r="B4971" s="1" t="n">
        <v>44679</v>
      </c>
      <c r="C4971" s="1" t="n">
        <v>45357</v>
      </c>
      <c r="D4971" t="inlineStr">
        <is>
          <t>GÄVLEBORGS LÄN</t>
        </is>
      </c>
      <c r="E4971" t="inlineStr">
        <is>
          <t>NORDANSTIG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17487-2022</t>
        </is>
      </c>
      <c r="B4972" s="1" t="n">
        <v>44679</v>
      </c>
      <c r="C4972" s="1" t="n">
        <v>45357</v>
      </c>
      <c r="D4972" t="inlineStr">
        <is>
          <t>GÄVLEBORGS LÄN</t>
        </is>
      </c>
      <c r="E4972" t="inlineStr">
        <is>
          <t>LJUSDAL</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17559-2022</t>
        </is>
      </c>
      <c r="B4973" s="1" t="n">
        <v>44679</v>
      </c>
      <c r="C4973" s="1" t="n">
        <v>45357</v>
      </c>
      <c r="D4973" t="inlineStr">
        <is>
          <t>GÄVLEBORGS LÄN</t>
        </is>
      </c>
      <c r="E4973" t="inlineStr">
        <is>
          <t>LJUSDAL</t>
        </is>
      </c>
      <c r="F4973" t="inlineStr">
        <is>
          <t>Holmen skog AB</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17673-2022</t>
        </is>
      </c>
      <c r="B4974" s="1" t="n">
        <v>44680</v>
      </c>
      <c r="C4974" s="1" t="n">
        <v>45357</v>
      </c>
      <c r="D4974" t="inlineStr">
        <is>
          <t>GÄVLEBORGS LÄN</t>
        </is>
      </c>
      <c r="E4974" t="inlineStr">
        <is>
          <t>SÖDERHAMN</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17625-2022</t>
        </is>
      </c>
      <c r="B4975" s="1" t="n">
        <v>44680</v>
      </c>
      <c r="C4975" s="1" t="n">
        <v>45357</v>
      </c>
      <c r="D4975" t="inlineStr">
        <is>
          <t>GÄVLEBORGS LÄN</t>
        </is>
      </c>
      <c r="E4975" t="inlineStr">
        <is>
          <t>NORDANSTIG</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17717-2022</t>
        </is>
      </c>
      <c r="B4976" s="1" t="n">
        <v>44680</v>
      </c>
      <c r="C4976" s="1" t="n">
        <v>45357</v>
      </c>
      <c r="D4976" t="inlineStr">
        <is>
          <t>GÄVLEBORGS LÄN</t>
        </is>
      </c>
      <c r="E4976" t="inlineStr">
        <is>
          <t>BOLLNÄS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17762-2022</t>
        </is>
      </c>
      <c r="B4977" s="1" t="n">
        <v>44680</v>
      </c>
      <c r="C4977" s="1" t="n">
        <v>45357</v>
      </c>
      <c r="D4977" t="inlineStr">
        <is>
          <t>GÄVLEBORGS LÄN</t>
        </is>
      </c>
      <c r="E4977" t="inlineStr">
        <is>
          <t>HOFORS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17862-2022</t>
        </is>
      </c>
      <c r="B4978" s="1" t="n">
        <v>44683</v>
      </c>
      <c r="C4978" s="1" t="n">
        <v>45357</v>
      </c>
      <c r="D4978" t="inlineStr">
        <is>
          <t>GÄVLEBORGS LÄN</t>
        </is>
      </c>
      <c r="E4978" t="inlineStr">
        <is>
          <t>LJUSDAL</t>
        </is>
      </c>
      <c r="F4978" t="inlineStr">
        <is>
          <t>Bergvik skog väst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17876-2022</t>
        </is>
      </c>
      <c r="B4979" s="1" t="n">
        <v>44683</v>
      </c>
      <c r="C4979" s="1" t="n">
        <v>45357</v>
      </c>
      <c r="D4979" t="inlineStr">
        <is>
          <t>GÄVLEBORGS LÄN</t>
        </is>
      </c>
      <c r="E4979" t="inlineStr">
        <is>
          <t>SÖDERHAMN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17962-2022</t>
        </is>
      </c>
      <c r="B4980" s="1" t="n">
        <v>44683</v>
      </c>
      <c r="C4980" s="1" t="n">
        <v>45357</v>
      </c>
      <c r="D4980" t="inlineStr">
        <is>
          <t>GÄVLEBORGS LÄN</t>
        </is>
      </c>
      <c r="E4980" t="inlineStr">
        <is>
          <t>HUDIKSVALL</t>
        </is>
      </c>
      <c r="F4980" t="inlineStr">
        <is>
          <t>Holmen skog AB</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17889-2022</t>
        </is>
      </c>
      <c r="B4981" s="1" t="n">
        <v>44683</v>
      </c>
      <c r="C4981" s="1" t="n">
        <v>45357</v>
      </c>
      <c r="D4981" t="inlineStr">
        <is>
          <t>GÄVLEBORGS LÄN</t>
        </is>
      </c>
      <c r="E4981" t="inlineStr">
        <is>
          <t>BOLLNÄS</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18109-2022</t>
        </is>
      </c>
      <c r="B4982" s="1" t="n">
        <v>44684</v>
      </c>
      <c r="C4982" s="1" t="n">
        <v>45357</v>
      </c>
      <c r="D4982" t="inlineStr">
        <is>
          <t>GÄVLEBORGS LÄN</t>
        </is>
      </c>
      <c r="E4982" t="inlineStr">
        <is>
          <t>OCKELBO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18168-2022</t>
        </is>
      </c>
      <c r="B4983" s="1" t="n">
        <v>44684</v>
      </c>
      <c r="C4983" s="1" t="n">
        <v>45357</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18034-2022</t>
        </is>
      </c>
      <c r="B4984" s="1" t="n">
        <v>44684</v>
      </c>
      <c r="C4984" s="1" t="n">
        <v>45357</v>
      </c>
      <c r="D4984" t="inlineStr">
        <is>
          <t>GÄVLEBORGS LÄN</t>
        </is>
      </c>
      <c r="E4984" t="inlineStr">
        <is>
          <t>SÖDERHAMN</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18167-2022</t>
        </is>
      </c>
      <c r="B4985" s="1" t="n">
        <v>44684</v>
      </c>
      <c r="C4985" s="1" t="n">
        <v>45357</v>
      </c>
      <c r="D4985" t="inlineStr">
        <is>
          <t>GÄVLEBORGS LÄN</t>
        </is>
      </c>
      <c r="E4985" t="inlineStr">
        <is>
          <t>NORDANSTIG</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18148-2022</t>
        </is>
      </c>
      <c r="B4986" s="1" t="n">
        <v>44684</v>
      </c>
      <c r="C4986" s="1" t="n">
        <v>45357</v>
      </c>
      <c r="D4986" t="inlineStr">
        <is>
          <t>GÄVLEBORGS LÄN</t>
        </is>
      </c>
      <c r="E4986" t="inlineStr">
        <is>
          <t>GÄVLE</t>
        </is>
      </c>
      <c r="F4986" t="inlineStr">
        <is>
          <t>Bergvik skog väst AB</t>
        </is>
      </c>
      <c r="G4986" t="n">
        <v>41.8</v>
      </c>
      <c r="H4986" t="n">
        <v>0</v>
      </c>
      <c r="I4986" t="n">
        <v>0</v>
      </c>
      <c r="J4986" t="n">
        <v>0</v>
      </c>
      <c r="K4986" t="n">
        <v>0</v>
      </c>
      <c r="L4986" t="n">
        <v>0</v>
      </c>
      <c r="M4986" t="n">
        <v>0</v>
      </c>
      <c r="N4986" t="n">
        <v>0</v>
      </c>
      <c r="O4986" t="n">
        <v>0</v>
      </c>
      <c r="P4986" t="n">
        <v>0</v>
      </c>
      <c r="Q4986" t="n">
        <v>0</v>
      </c>
      <c r="R4986" s="2" t="inlineStr"/>
    </row>
    <row r="4987" ht="15" customHeight="1">
      <c r="A4987" t="inlineStr">
        <is>
          <t>A 18143-2022</t>
        </is>
      </c>
      <c r="B4987" s="1" t="n">
        <v>44684</v>
      </c>
      <c r="C4987" s="1" t="n">
        <v>45357</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18162-2022</t>
        </is>
      </c>
      <c r="B4988" s="1" t="n">
        <v>44684</v>
      </c>
      <c r="C4988" s="1" t="n">
        <v>45357</v>
      </c>
      <c r="D4988" t="inlineStr">
        <is>
          <t>GÄVLEBORGS LÄN</t>
        </is>
      </c>
      <c r="E4988" t="inlineStr">
        <is>
          <t>GÄVLE</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18181-2022</t>
        </is>
      </c>
      <c r="B4989" s="1" t="n">
        <v>44684</v>
      </c>
      <c r="C4989" s="1" t="n">
        <v>45357</v>
      </c>
      <c r="D4989" t="inlineStr">
        <is>
          <t>GÄVLEBORGS LÄN</t>
        </is>
      </c>
      <c r="E4989" t="inlineStr">
        <is>
          <t>GÄVLE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18309-2022</t>
        </is>
      </c>
      <c r="B4990" s="1" t="n">
        <v>44685</v>
      </c>
      <c r="C4990" s="1" t="n">
        <v>45357</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18235-2022</t>
        </is>
      </c>
      <c r="B4991" s="1" t="n">
        <v>44685</v>
      </c>
      <c r="C4991" s="1" t="n">
        <v>45357</v>
      </c>
      <c r="D4991" t="inlineStr">
        <is>
          <t>GÄVLEBORGS LÄN</t>
        </is>
      </c>
      <c r="E4991" t="inlineStr">
        <is>
          <t>HUDIKSVALL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18306-2022</t>
        </is>
      </c>
      <c r="B4992" s="1" t="n">
        <v>44685</v>
      </c>
      <c r="C4992" s="1" t="n">
        <v>45357</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18480-2022</t>
        </is>
      </c>
      <c r="B4993" s="1" t="n">
        <v>44686</v>
      </c>
      <c r="C4993" s="1" t="n">
        <v>45357</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18477-2022</t>
        </is>
      </c>
      <c r="B4994" s="1" t="n">
        <v>44686</v>
      </c>
      <c r="C4994" s="1" t="n">
        <v>45357</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18515-2022</t>
        </is>
      </c>
      <c r="B4995" s="1" t="n">
        <v>44686</v>
      </c>
      <c r="C4995" s="1" t="n">
        <v>45357</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18486-2022</t>
        </is>
      </c>
      <c r="B4996" s="1" t="n">
        <v>44686</v>
      </c>
      <c r="C4996" s="1" t="n">
        <v>45357</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18410-2022</t>
        </is>
      </c>
      <c r="B4997" s="1" t="n">
        <v>44686</v>
      </c>
      <c r="C4997" s="1" t="n">
        <v>45357</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18503-2022</t>
        </is>
      </c>
      <c r="B4998" s="1" t="n">
        <v>44686</v>
      </c>
      <c r="C4998" s="1" t="n">
        <v>45357</v>
      </c>
      <c r="D4998" t="inlineStr">
        <is>
          <t>GÄVLEBORGS LÄN</t>
        </is>
      </c>
      <c r="E4998" t="inlineStr">
        <is>
          <t>SÖDERHAMN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18516-2022</t>
        </is>
      </c>
      <c r="B4999" s="1" t="n">
        <v>44686</v>
      </c>
      <c r="C4999" s="1" t="n">
        <v>45357</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18520-2022</t>
        </is>
      </c>
      <c r="B5000" s="1" t="n">
        <v>44686</v>
      </c>
      <c r="C5000" s="1" t="n">
        <v>45357</v>
      </c>
      <c r="D5000" t="inlineStr">
        <is>
          <t>GÄVLEBORGS LÄN</t>
        </is>
      </c>
      <c r="E5000" t="inlineStr">
        <is>
          <t>NORDANSTIG</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18529-2022</t>
        </is>
      </c>
      <c r="B5001" s="1" t="n">
        <v>44686</v>
      </c>
      <c r="C5001" s="1" t="n">
        <v>45357</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18663-2022</t>
        </is>
      </c>
      <c r="B5002" s="1" t="n">
        <v>44687</v>
      </c>
      <c r="C5002" s="1" t="n">
        <v>45357</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18670-2022</t>
        </is>
      </c>
      <c r="B5003" s="1" t="n">
        <v>44687</v>
      </c>
      <c r="C5003" s="1" t="n">
        <v>45357</v>
      </c>
      <c r="D5003" t="inlineStr">
        <is>
          <t>GÄVLEBORGS LÄN</t>
        </is>
      </c>
      <c r="E5003" t="inlineStr">
        <is>
          <t>LJUSDAL</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18691-2022</t>
        </is>
      </c>
      <c r="B5004" s="1" t="n">
        <v>44687</v>
      </c>
      <c r="C5004" s="1" t="n">
        <v>45357</v>
      </c>
      <c r="D5004" t="inlineStr">
        <is>
          <t>GÄVLEBORGS LÄN</t>
        </is>
      </c>
      <c r="E5004" t="inlineStr">
        <is>
          <t>LJUSDAL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18677-2022</t>
        </is>
      </c>
      <c r="B5005" s="1" t="n">
        <v>44687</v>
      </c>
      <c r="C5005" s="1" t="n">
        <v>45357</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18681-2022</t>
        </is>
      </c>
      <c r="B5006" s="1" t="n">
        <v>44687</v>
      </c>
      <c r="C5006" s="1" t="n">
        <v>45357</v>
      </c>
      <c r="D5006" t="inlineStr">
        <is>
          <t>GÄVLEBORGS LÄN</t>
        </is>
      </c>
      <c r="E5006" t="inlineStr">
        <is>
          <t>LJUSDAL</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18716-2022</t>
        </is>
      </c>
      <c r="B5007" s="1" t="n">
        <v>44687</v>
      </c>
      <c r="C5007" s="1" t="n">
        <v>45357</v>
      </c>
      <c r="D5007" t="inlineStr">
        <is>
          <t>GÄVLEBORGS LÄN</t>
        </is>
      </c>
      <c r="E5007" t="inlineStr">
        <is>
          <t>SÖDERHAMN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18721-2022</t>
        </is>
      </c>
      <c r="B5008" s="1" t="n">
        <v>44687</v>
      </c>
      <c r="C5008" s="1" t="n">
        <v>45357</v>
      </c>
      <c r="D5008" t="inlineStr">
        <is>
          <t>GÄVLEBORGS LÄN</t>
        </is>
      </c>
      <c r="E5008" t="inlineStr">
        <is>
          <t>LJUSDAL</t>
        </is>
      </c>
      <c r="F5008" t="inlineStr">
        <is>
          <t>Holmen skog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18797-2022</t>
        </is>
      </c>
      <c r="B5009" s="1" t="n">
        <v>44690</v>
      </c>
      <c r="C5009" s="1" t="n">
        <v>45357</v>
      </c>
      <c r="D5009" t="inlineStr">
        <is>
          <t>GÄVLEBORGS LÄN</t>
        </is>
      </c>
      <c r="E5009" t="inlineStr">
        <is>
          <t>HUDIKSVALL</t>
        </is>
      </c>
      <c r="F5009" t="inlineStr">
        <is>
          <t>Holmen skog AB</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18863-2022</t>
        </is>
      </c>
      <c r="B5010" s="1" t="n">
        <v>44690</v>
      </c>
      <c r="C5010" s="1" t="n">
        <v>45357</v>
      </c>
      <c r="D5010" t="inlineStr">
        <is>
          <t>GÄVLEBORGS LÄN</t>
        </is>
      </c>
      <c r="E5010" t="inlineStr">
        <is>
          <t>NORDANSTIG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18864-2022</t>
        </is>
      </c>
      <c r="B5011" s="1" t="n">
        <v>44690</v>
      </c>
      <c r="C5011" s="1" t="n">
        <v>45357</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18874-2022</t>
        </is>
      </c>
      <c r="B5012" s="1" t="n">
        <v>44690</v>
      </c>
      <c r="C5012" s="1" t="n">
        <v>45357</v>
      </c>
      <c r="D5012" t="inlineStr">
        <is>
          <t>GÄVLEBORGS LÄN</t>
        </is>
      </c>
      <c r="E5012" t="inlineStr">
        <is>
          <t>HUDIKSVALL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18926-2022</t>
        </is>
      </c>
      <c r="B5013" s="1" t="n">
        <v>44690</v>
      </c>
      <c r="C5013" s="1" t="n">
        <v>45357</v>
      </c>
      <c r="D5013" t="inlineStr">
        <is>
          <t>GÄVLEBORGS LÄN</t>
        </is>
      </c>
      <c r="E5013" t="inlineStr">
        <is>
          <t>NORDANSTIG</t>
        </is>
      </c>
      <c r="F5013" t="inlineStr">
        <is>
          <t>Holmen skog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18919-2022</t>
        </is>
      </c>
      <c r="B5014" s="1" t="n">
        <v>44690</v>
      </c>
      <c r="C5014" s="1" t="n">
        <v>45357</v>
      </c>
      <c r="D5014" t="inlineStr">
        <is>
          <t>GÄVLEBORGS LÄN</t>
        </is>
      </c>
      <c r="E5014" t="inlineStr">
        <is>
          <t>HUDIKSVALL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18988-2022</t>
        </is>
      </c>
      <c r="B5015" s="1" t="n">
        <v>44690</v>
      </c>
      <c r="C5015" s="1" t="n">
        <v>45357</v>
      </c>
      <c r="D5015" t="inlineStr">
        <is>
          <t>GÄVLEBORGS LÄN</t>
        </is>
      </c>
      <c r="E5015" t="inlineStr">
        <is>
          <t>NORDANSTIG</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19070-2022</t>
        </is>
      </c>
      <c r="B5016" s="1" t="n">
        <v>44691</v>
      </c>
      <c r="C5016" s="1" t="n">
        <v>45357</v>
      </c>
      <c r="D5016" t="inlineStr">
        <is>
          <t>GÄVLEBORGS LÄN</t>
        </is>
      </c>
      <c r="E5016" t="inlineStr">
        <is>
          <t>NORDANSTIG</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19088-2022</t>
        </is>
      </c>
      <c r="B5017" s="1" t="n">
        <v>44691</v>
      </c>
      <c r="C5017" s="1" t="n">
        <v>45357</v>
      </c>
      <c r="D5017" t="inlineStr">
        <is>
          <t>GÄVLEBORGS LÄN</t>
        </is>
      </c>
      <c r="E5017" t="inlineStr">
        <is>
          <t>BOLLNÄS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19095-2022</t>
        </is>
      </c>
      <c r="B5018" s="1" t="n">
        <v>44691</v>
      </c>
      <c r="C5018" s="1" t="n">
        <v>45357</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19135-2022</t>
        </is>
      </c>
      <c r="B5019" s="1" t="n">
        <v>44691</v>
      </c>
      <c r="C5019" s="1" t="n">
        <v>45357</v>
      </c>
      <c r="D5019" t="inlineStr">
        <is>
          <t>GÄVLEBORGS LÄN</t>
        </is>
      </c>
      <c r="E5019" t="inlineStr">
        <is>
          <t>HOFORS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19143-2022</t>
        </is>
      </c>
      <c r="B5020" s="1" t="n">
        <v>44691</v>
      </c>
      <c r="C5020" s="1" t="n">
        <v>45357</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19200-2022</t>
        </is>
      </c>
      <c r="B5021" s="1" t="n">
        <v>44691</v>
      </c>
      <c r="C5021" s="1" t="n">
        <v>45357</v>
      </c>
      <c r="D5021" t="inlineStr">
        <is>
          <t>GÄVLEBORGS LÄN</t>
        </is>
      </c>
      <c r="E5021" t="inlineStr">
        <is>
          <t>LJUSDAL</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19182-2022</t>
        </is>
      </c>
      <c r="B5022" s="1" t="n">
        <v>44691</v>
      </c>
      <c r="C5022" s="1" t="n">
        <v>45357</v>
      </c>
      <c r="D5022" t="inlineStr">
        <is>
          <t>GÄVLEBORGS LÄN</t>
        </is>
      </c>
      <c r="E5022" t="inlineStr">
        <is>
          <t>NORDANSTIG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19187-2022</t>
        </is>
      </c>
      <c r="B5023" s="1" t="n">
        <v>44691</v>
      </c>
      <c r="C5023" s="1" t="n">
        <v>45357</v>
      </c>
      <c r="D5023" t="inlineStr">
        <is>
          <t>GÄVLEBORGS LÄN</t>
        </is>
      </c>
      <c r="E5023" t="inlineStr">
        <is>
          <t>HUDIKSVALL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19252-2022</t>
        </is>
      </c>
      <c r="B5024" s="1" t="n">
        <v>44692</v>
      </c>
      <c r="C5024" s="1" t="n">
        <v>45357</v>
      </c>
      <c r="D5024" t="inlineStr">
        <is>
          <t>GÄVLEBORGS LÄN</t>
        </is>
      </c>
      <c r="E5024" t="inlineStr">
        <is>
          <t>LJUSDAL</t>
        </is>
      </c>
      <c r="F5024" t="inlineStr">
        <is>
          <t>Holmen skog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19264-2022</t>
        </is>
      </c>
      <c r="B5025" s="1" t="n">
        <v>44692</v>
      </c>
      <c r="C5025" s="1" t="n">
        <v>45357</v>
      </c>
      <c r="D5025" t="inlineStr">
        <is>
          <t>GÄVLEBORGS LÄN</t>
        </is>
      </c>
      <c r="E5025" t="inlineStr">
        <is>
          <t>OCKELBO</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19288-2022</t>
        </is>
      </c>
      <c r="B5026" s="1" t="n">
        <v>44692</v>
      </c>
      <c r="C5026" s="1" t="n">
        <v>45357</v>
      </c>
      <c r="D5026" t="inlineStr">
        <is>
          <t>GÄVLEBORGS LÄN</t>
        </is>
      </c>
      <c r="E5026" t="inlineStr">
        <is>
          <t>LJUSDAL</t>
        </is>
      </c>
      <c r="F5026" t="inlineStr">
        <is>
          <t>Holmen skog AB</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19303-2022</t>
        </is>
      </c>
      <c r="B5027" s="1" t="n">
        <v>44692</v>
      </c>
      <c r="C5027" s="1" t="n">
        <v>45357</v>
      </c>
      <c r="D5027" t="inlineStr">
        <is>
          <t>GÄVLEBORGS LÄN</t>
        </is>
      </c>
      <c r="E5027" t="inlineStr">
        <is>
          <t>LJUSDAL</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19364-2022</t>
        </is>
      </c>
      <c r="B5028" s="1" t="n">
        <v>44692</v>
      </c>
      <c r="C5028" s="1" t="n">
        <v>45357</v>
      </c>
      <c r="D5028" t="inlineStr">
        <is>
          <t>GÄVLEBORGS LÄN</t>
        </is>
      </c>
      <c r="E5028" t="inlineStr">
        <is>
          <t>NORDANSTIG</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19265-2022</t>
        </is>
      </c>
      <c r="B5029" s="1" t="n">
        <v>44692</v>
      </c>
      <c r="C5029" s="1" t="n">
        <v>45357</v>
      </c>
      <c r="D5029" t="inlineStr">
        <is>
          <t>GÄVLEBORGS LÄN</t>
        </is>
      </c>
      <c r="E5029" t="inlineStr">
        <is>
          <t>LJUSDAL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19233-2022</t>
        </is>
      </c>
      <c r="B5030" s="1" t="n">
        <v>44692</v>
      </c>
      <c r="C5030" s="1" t="n">
        <v>45357</v>
      </c>
      <c r="D5030" t="inlineStr">
        <is>
          <t>GÄVLEBORGS LÄN</t>
        </is>
      </c>
      <c r="E5030" t="inlineStr">
        <is>
          <t>NORDANSTIG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19279-2022</t>
        </is>
      </c>
      <c r="B5031" s="1" t="n">
        <v>44692</v>
      </c>
      <c r="C5031" s="1" t="n">
        <v>45357</v>
      </c>
      <c r="D5031" t="inlineStr">
        <is>
          <t>GÄVLEBORGS LÄN</t>
        </is>
      </c>
      <c r="E5031" t="inlineStr">
        <is>
          <t>NORDANSTIG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19308-2022</t>
        </is>
      </c>
      <c r="B5032" s="1" t="n">
        <v>44692</v>
      </c>
      <c r="C5032" s="1" t="n">
        <v>45357</v>
      </c>
      <c r="D5032" t="inlineStr">
        <is>
          <t>GÄVLEBORGS LÄN</t>
        </is>
      </c>
      <c r="E5032" t="inlineStr">
        <is>
          <t>OVANÅKER</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19316-2022</t>
        </is>
      </c>
      <c r="B5033" s="1" t="n">
        <v>44692</v>
      </c>
      <c r="C5033" s="1" t="n">
        <v>45357</v>
      </c>
      <c r="D5033" t="inlineStr">
        <is>
          <t>GÄVLEBORGS LÄN</t>
        </is>
      </c>
      <c r="E5033" t="inlineStr">
        <is>
          <t>LJUSDAL</t>
        </is>
      </c>
      <c r="F5033" t="inlineStr">
        <is>
          <t>Holmen skog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19346-2022</t>
        </is>
      </c>
      <c r="B5034" s="1" t="n">
        <v>44692</v>
      </c>
      <c r="C5034" s="1" t="n">
        <v>45357</v>
      </c>
      <c r="D5034" t="inlineStr">
        <is>
          <t>GÄVLEBORGS LÄN</t>
        </is>
      </c>
      <c r="E5034" t="inlineStr">
        <is>
          <t>HUDIKSVALL</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19292-2022</t>
        </is>
      </c>
      <c r="B5035" s="1" t="n">
        <v>44692</v>
      </c>
      <c r="C5035" s="1" t="n">
        <v>45357</v>
      </c>
      <c r="D5035" t="inlineStr">
        <is>
          <t>GÄVLEBORGS LÄN</t>
        </is>
      </c>
      <c r="E5035" t="inlineStr">
        <is>
          <t>HOFORS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19343-2022</t>
        </is>
      </c>
      <c r="B5036" s="1" t="n">
        <v>44692</v>
      </c>
      <c r="C5036" s="1" t="n">
        <v>45357</v>
      </c>
      <c r="D5036" t="inlineStr">
        <is>
          <t>GÄVLEBORGS LÄN</t>
        </is>
      </c>
      <c r="E5036" t="inlineStr">
        <is>
          <t>HUDIKSVALL</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19365-2022</t>
        </is>
      </c>
      <c r="B5037" s="1" t="n">
        <v>44692</v>
      </c>
      <c r="C5037" s="1" t="n">
        <v>45357</v>
      </c>
      <c r="D5037" t="inlineStr">
        <is>
          <t>GÄVLEBORGS LÄN</t>
        </is>
      </c>
      <c r="E5037" t="inlineStr">
        <is>
          <t>HUDIKSVALL</t>
        </is>
      </c>
      <c r="F5037" t="inlineStr">
        <is>
          <t>Holmen skog AB</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19374-2022</t>
        </is>
      </c>
      <c r="B5038" s="1" t="n">
        <v>44692</v>
      </c>
      <c r="C5038" s="1" t="n">
        <v>45357</v>
      </c>
      <c r="D5038" t="inlineStr">
        <is>
          <t>GÄVLEBORGS LÄN</t>
        </is>
      </c>
      <c r="E5038" t="inlineStr">
        <is>
          <t>NORDANSTIG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19424-2022</t>
        </is>
      </c>
      <c r="B5039" s="1" t="n">
        <v>44693</v>
      </c>
      <c r="C5039" s="1" t="n">
        <v>45357</v>
      </c>
      <c r="D5039" t="inlineStr">
        <is>
          <t>GÄVLEBORGS LÄN</t>
        </is>
      </c>
      <c r="E5039" t="inlineStr">
        <is>
          <t>GÄVLE</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19531-2022</t>
        </is>
      </c>
      <c r="B5040" s="1" t="n">
        <v>44693</v>
      </c>
      <c r="C5040" s="1" t="n">
        <v>45357</v>
      </c>
      <c r="D5040" t="inlineStr">
        <is>
          <t>GÄVLEBORGS LÄN</t>
        </is>
      </c>
      <c r="E5040" t="inlineStr">
        <is>
          <t>LJUSDAL</t>
        </is>
      </c>
      <c r="F5040" t="inlineStr">
        <is>
          <t>Allmännings- och besparingsskogar</t>
        </is>
      </c>
      <c r="G5040" t="n">
        <v>46.7</v>
      </c>
      <c r="H5040" t="n">
        <v>0</v>
      </c>
      <c r="I5040" t="n">
        <v>0</v>
      </c>
      <c r="J5040" t="n">
        <v>0</v>
      </c>
      <c r="K5040" t="n">
        <v>0</v>
      </c>
      <c r="L5040" t="n">
        <v>0</v>
      </c>
      <c r="M5040" t="n">
        <v>0</v>
      </c>
      <c r="N5040" t="n">
        <v>0</v>
      </c>
      <c r="O5040" t="n">
        <v>0</v>
      </c>
      <c r="P5040" t="n">
        <v>0</v>
      </c>
      <c r="Q5040" t="n">
        <v>0</v>
      </c>
      <c r="R5040" s="2" t="inlineStr"/>
    </row>
    <row r="5041" ht="15" customHeight="1">
      <c r="A5041" t="inlineStr">
        <is>
          <t>A 19555-2022</t>
        </is>
      </c>
      <c r="B5041" s="1" t="n">
        <v>44693</v>
      </c>
      <c r="C5041" s="1" t="n">
        <v>45357</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19639-2022</t>
        </is>
      </c>
      <c r="B5042" s="1" t="n">
        <v>44694</v>
      </c>
      <c r="C5042" s="1" t="n">
        <v>45357</v>
      </c>
      <c r="D5042" t="inlineStr">
        <is>
          <t>GÄVLEBORGS LÄN</t>
        </is>
      </c>
      <c r="E5042" t="inlineStr">
        <is>
          <t>SÖDERHAMN</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19660-2022</t>
        </is>
      </c>
      <c r="B5043" s="1" t="n">
        <v>44694</v>
      </c>
      <c r="C5043" s="1" t="n">
        <v>45357</v>
      </c>
      <c r="D5043" t="inlineStr">
        <is>
          <t>GÄVLEBORGS LÄN</t>
        </is>
      </c>
      <c r="E5043" t="inlineStr">
        <is>
          <t>HUDIKSVALL</t>
        </is>
      </c>
      <c r="F5043" t="inlineStr">
        <is>
          <t>Holmen skog AB</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19730-2022</t>
        </is>
      </c>
      <c r="B5044" s="1" t="n">
        <v>44694</v>
      </c>
      <c r="C5044" s="1" t="n">
        <v>45357</v>
      </c>
      <c r="D5044" t="inlineStr">
        <is>
          <t>GÄVLEBORGS LÄN</t>
        </is>
      </c>
      <c r="E5044" t="inlineStr">
        <is>
          <t>GÄVLE</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19712-2022</t>
        </is>
      </c>
      <c r="B5045" s="1" t="n">
        <v>44694</v>
      </c>
      <c r="C5045" s="1" t="n">
        <v>45357</v>
      </c>
      <c r="D5045" t="inlineStr">
        <is>
          <t>GÄVLEBORGS LÄN</t>
        </is>
      </c>
      <c r="E5045" t="inlineStr">
        <is>
          <t>GÄVLE</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19767-2022</t>
        </is>
      </c>
      <c r="B5046" s="1" t="n">
        <v>44694</v>
      </c>
      <c r="C5046" s="1" t="n">
        <v>45357</v>
      </c>
      <c r="D5046" t="inlineStr">
        <is>
          <t>GÄVLEBORGS LÄN</t>
        </is>
      </c>
      <c r="E5046" t="inlineStr">
        <is>
          <t>OVANÅKER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19741-2022</t>
        </is>
      </c>
      <c r="B5047" s="1" t="n">
        <v>44694</v>
      </c>
      <c r="C5047" s="1" t="n">
        <v>45357</v>
      </c>
      <c r="D5047" t="inlineStr">
        <is>
          <t>GÄVLEBORGS LÄN</t>
        </is>
      </c>
      <c r="E5047" t="inlineStr">
        <is>
          <t>OVANÅKER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19856-2022</t>
        </is>
      </c>
      <c r="B5048" s="1" t="n">
        <v>44697</v>
      </c>
      <c r="C5048" s="1" t="n">
        <v>45357</v>
      </c>
      <c r="D5048" t="inlineStr">
        <is>
          <t>GÄVLEBORGS LÄN</t>
        </is>
      </c>
      <c r="E5048" t="inlineStr">
        <is>
          <t>BOLLNÄS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20017-2022</t>
        </is>
      </c>
      <c r="B5049" s="1" t="n">
        <v>44697</v>
      </c>
      <c r="C5049" s="1" t="n">
        <v>45357</v>
      </c>
      <c r="D5049" t="inlineStr">
        <is>
          <t>GÄVLEBORGS LÄN</t>
        </is>
      </c>
      <c r="E5049" t="inlineStr">
        <is>
          <t>HUDIKSVALL</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20022-2022</t>
        </is>
      </c>
      <c r="B5050" s="1" t="n">
        <v>44697</v>
      </c>
      <c r="C5050" s="1" t="n">
        <v>45357</v>
      </c>
      <c r="D5050" t="inlineStr">
        <is>
          <t>GÄVLEBORGS LÄN</t>
        </is>
      </c>
      <c r="E5050" t="inlineStr">
        <is>
          <t>HUDIKSVALL</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19892-2022</t>
        </is>
      </c>
      <c r="B5051" s="1" t="n">
        <v>44697</v>
      </c>
      <c r="C5051" s="1" t="n">
        <v>45357</v>
      </c>
      <c r="D5051" t="inlineStr">
        <is>
          <t>GÄVLEBORGS LÄN</t>
        </is>
      </c>
      <c r="E5051" t="inlineStr">
        <is>
          <t>LJUSDAL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20149-2022</t>
        </is>
      </c>
      <c r="B5052" s="1" t="n">
        <v>44698</v>
      </c>
      <c r="C5052" s="1" t="n">
        <v>45357</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20166-2022</t>
        </is>
      </c>
      <c r="B5053" s="1" t="n">
        <v>44698</v>
      </c>
      <c r="C5053" s="1" t="n">
        <v>45357</v>
      </c>
      <c r="D5053" t="inlineStr">
        <is>
          <t>GÄVLEBORGS LÄN</t>
        </is>
      </c>
      <c r="E5053" t="inlineStr">
        <is>
          <t>SÖDERHAMN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20171-2022</t>
        </is>
      </c>
      <c r="B5054" s="1" t="n">
        <v>44698</v>
      </c>
      <c r="C5054" s="1" t="n">
        <v>45357</v>
      </c>
      <c r="D5054" t="inlineStr">
        <is>
          <t>GÄVLEBORGS LÄN</t>
        </is>
      </c>
      <c r="E5054" t="inlineStr">
        <is>
          <t>SÖDERHAMN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20272-2022</t>
        </is>
      </c>
      <c r="B5055" s="1" t="n">
        <v>44698</v>
      </c>
      <c r="C5055" s="1" t="n">
        <v>45357</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20209-2022</t>
        </is>
      </c>
      <c r="B5056" s="1" t="n">
        <v>44698</v>
      </c>
      <c r="C5056" s="1" t="n">
        <v>45357</v>
      </c>
      <c r="D5056" t="inlineStr">
        <is>
          <t>GÄVLEBORGS LÄN</t>
        </is>
      </c>
      <c r="E5056" t="inlineStr">
        <is>
          <t>LJUSDAL</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20240-2022</t>
        </is>
      </c>
      <c r="B5057" s="1" t="n">
        <v>44698</v>
      </c>
      <c r="C5057" s="1" t="n">
        <v>45357</v>
      </c>
      <c r="D5057" t="inlineStr">
        <is>
          <t>GÄVLEBORGS LÄN</t>
        </is>
      </c>
      <c r="E5057" t="inlineStr">
        <is>
          <t>SANDVIKEN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20273-2022</t>
        </is>
      </c>
      <c r="B5058" s="1" t="n">
        <v>44698</v>
      </c>
      <c r="C5058" s="1" t="n">
        <v>45357</v>
      </c>
      <c r="D5058" t="inlineStr">
        <is>
          <t>GÄVLEBORGS LÄN</t>
        </is>
      </c>
      <c r="E5058" t="inlineStr">
        <is>
          <t>SÖDERHAMN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20338-2022</t>
        </is>
      </c>
      <c r="B5059" s="1" t="n">
        <v>44699</v>
      </c>
      <c r="C5059" s="1" t="n">
        <v>45357</v>
      </c>
      <c r="D5059" t="inlineStr">
        <is>
          <t>GÄVLEBORGS LÄN</t>
        </is>
      </c>
      <c r="E5059" t="inlineStr">
        <is>
          <t>NORDANSTIG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20407-2022</t>
        </is>
      </c>
      <c r="B5060" s="1" t="n">
        <v>44699</v>
      </c>
      <c r="C5060" s="1" t="n">
        <v>45357</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20512-2022</t>
        </is>
      </c>
      <c r="B5061" s="1" t="n">
        <v>44699</v>
      </c>
      <c r="C5061" s="1" t="n">
        <v>45357</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20593-2022</t>
        </is>
      </c>
      <c r="B5062" s="1" t="n">
        <v>44700</v>
      </c>
      <c r="C5062" s="1" t="n">
        <v>45357</v>
      </c>
      <c r="D5062" t="inlineStr">
        <is>
          <t>GÄVLEBORGS LÄN</t>
        </is>
      </c>
      <c r="E5062" t="inlineStr">
        <is>
          <t>LJUSDAL</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20660-2022</t>
        </is>
      </c>
      <c r="B5063" s="1" t="n">
        <v>44700</v>
      </c>
      <c r="C5063" s="1" t="n">
        <v>45357</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20543-2022</t>
        </is>
      </c>
      <c r="B5064" s="1" t="n">
        <v>44700</v>
      </c>
      <c r="C5064" s="1" t="n">
        <v>45357</v>
      </c>
      <c r="D5064" t="inlineStr">
        <is>
          <t>GÄVLEBORGS LÄN</t>
        </is>
      </c>
      <c r="E5064" t="inlineStr">
        <is>
          <t>OCKELBO</t>
        </is>
      </c>
      <c r="F5064" t="inlineStr">
        <is>
          <t>Bergvik skog väst AB</t>
        </is>
      </c>
      <c r="G5064" t="n">
        <v>15.2</v>
      </c>
      <c r="H5064" t="n">
        <v>0</v>
      </c>
      <c r="I5064" t="n">
        <v>0</v>
      </c>
      <c r="J5064" t="n">
        <v>0</v>
      </c>
      <c r="K5064" t="n">
        <v>0</v>
      </c>
      <c r="L5064" t="n">
        <v>0</v>
      </c>
      <c r="M5064" t="n">
        <v>0</v>
      </c>
      <c r="N5064" t="n">
        <v>0</v>
      </c>
      <c r="O5064" t="n">
        <v>0</v>
      </c>
      <c r="P5064" t="n">
        <v>0</v>
      </c>
      <c r="Q5064" t="n">
        <v>0</v>
      </c>
      <c r="R5064" s="2" t="inlineStr"/>
    </row>
    <row r="5065" ht="15" customHeight="1">
      <c r="A5065" t="inlineStr">
        <is>
          <t>A 20602-2022</t>
        </is>
      </c>
      <c r="B5065" s="1" t="n">
        <v>44700</v>
      </c>
      <c r="C5065" s="1" t="n">
        <v>45357</v>
      </c>
      <c r="D5065" t="inlineStr">
        <is>
          <t>GÄVLEBORGS LÄN</t>
        </is>
      </c>
      <c r="E5065" t="inlineStr">
        <is>
          <t>HUDIKSVALL</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20675-2022</t>
        </is>
      </c>
      <c r="B5066" s="1" t="n">
        <v>44700</v>
      </c>
      <c r="C5066" s="1" t="n">
        <v>45357</v>
      </c>
      <c r="D5066" t="inlineStr">
        <is>
          <t>GÄVLEBORGS LÄN</t>
        </is>
      </c>
      <c r="E5066" t="inlineStr">
        <is>
          <t>HUDIKSVALL</t>
        </is>
      </c>
      <c r="F5066" t="inlineStr">
        <is>
          <t>Holmen skog AB</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20670-2022</t>
        </is>
      </c>
      <c r="B5067" s="1" t="n">
        <v>44700</v>
      </c>
      <c r="C5067" s="1" t="n">
        <v>45357</v>
      </c>
      <c r="D5067" t="inlineStr">
        <is>
          <t>GÄVLEBORGS LÄN</t>
        </is>
      </c>
      <c r="E5067" t="inlineStr">
        <is>
          <t>HUDIKSVALL</t>
        </is>
      </c>
      <c r="F5067" t="inlineStr">
        <is>
          <t>Holmen skog AB</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20666-2022</t>
        </is>
      </c>
      <c r="B5068" s="1" t="n">
        <v>44700</v>
      </c>
      <c r="C5068" s="1" t="n">
        <v>45357</v>
      </c>
      <c r="D5068" t="inlineStr">
        <is>
          <t>GÄVLEBORGS LÄN</t>
        </is>
      </c>
      <c r="E5068" t="inlineStr">
        <is>
          <t>OVANÅKER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20730-2022</t>
        </is>
      </c>
      <c r="B5069" s="1" t="n">
        <v>44701</v>
      </c>
      <c r="C5069" s="1" t="n">
        <v>45357</v>
      </c>
      <c r="D5069" t="inlineStr">
        <is>
          <t>GÄVLEBORGS LÄN</t>
        </is>
      </c>
      <c r="E5069" t="inlineStr">
        <is>
          <t>LJUSDAL</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20812-2022</t>
        </is>
      </c>
      <c r="B5070" s="1" t="n">
        <v>44701</v>
      </c>
      <c r="C5070" s="1" t="n">
        <v>45357</v>
      </c>
      <c r="D5070" t="inlineStr">
        <is>
          <t>GÄVLEBORGS LÄN</t>
        </is>
      </c>
      <c r="E5070" t="inlineStr">
        <is>
          <t>SANDVIKEN</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20744-2022</t>
        </is>
      </c>
      <c r="B5071" s="1" t="n">
        <v>44701</v>
      </c>
      <c r="C5071" s="1" t="n">
        <v>45357</v>
      </c>
      <c r="D5071" t="inlineStr">
        <is>
          <t>GÄVLEBORGS LÄN</t>
        </is>
      </c>
      <c r="E5071" t="inlineStr">
        <is>
          <t>LJUSDAL</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20746-2022</t>
        </is>
      </c>
      <c r="B5072" s="1" t="n">
        <v>44701</v>
      </c>
      <c r="C5072" s="1" t="n">
        <v>45357</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20747-2022</t>
        </is>
      </c>
      <c r="B5073" s="1" t="n">
        <v>44701</v>
      </c>
      <c r="C5073" s="1" t="n">
        <v>45357</v>
      </c>
      <c r="D5073" t="inlineStr">
        <is>
          <t>GÄVLEBORGS LÄN</t>
        </is>
      </c>
      <c r="E5073" t="inlineStr">
        <is>
          <t>LJUSDAL</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20750-2022</t>
        </is>
      </c>
      <c r="B5074" s="1" t="n">
        <v>44701</v>
      </c>
      <c r="C5074" s="1" t="n">
        <v>45357</v>
      </c>
      <c r="D5074" t="inlineStr">
        <is>
          <t>GÄVLEBORGS LÄN</t>
        </is>
      </c>
      <c r="E5074" t="inlineStr">
        <is>
          <t>LJUSDAL</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20756-2022</t>
        </is>
      </c>
      <c r="B5075" s="1" t="n">
        <v>44701</v>
      </c>
      <c r="C5075" s="1" t="n">
        <v>45357</v>
      </c>
      <c r="D5075" t="inlineStr">
        <is>
          <t>GÄVLEBORGS LÄN</t>
        </is>
      </c>
      <c r="E5075" t="inlineStr">
        <is>
          <t>LJUSDAL</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20999-2022</t>
        </is>
      </c>
      <c r="B5076" s="1" t="n">
        <v>44701</v>
      </c>
      <c r="C5076" s="1" t="n">
        <v>45357</v>
      </c>
      <c r="D5076" t="inlineStr">
        <is>
          <t>GÄVLEBORGS LÄN</t>
        </is>
      </c>
      <c r="E5076" t="inlineStr">
        <is>
          <t>GÄVLE</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20906-2022</t>
        </is>
      </c>
      <c r="B5077" s="1" t="n">
        <v>44701</v>
      </c>
      <c r="C5077" s="1" t="n">
        <v>45357</v>
      </c>
      <c r="D5077" t="inlineStr">
        <is>
          <t>GÄVLEBORGS LÄN</t>
        </is>
      </c>
      <c r="E5077" t="inlineStr">
        <is>
          <t>LJUSDAL</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20926-2022</t>
        </is>
      </c>
      <c r="B5078" s="1" t="n">
        <v>44701</v>
      </c>
      <c r="C5078" s="1" t="n">
        <v>45357</v>
      </c>
      <c r="D5078" t="inlineStr">
        <is>
          <t>GÄVLEBORGS LÄN</t>
        </is>
      </c>
      <c r="E5078" t="inlineStr">
        <is>
          <t>OVANÅKER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20916-2022</t>
        </is>
      </c>
      <c r="B5079" s="1" t="n">
        <v>44701</v>
      </c>
      <c r="C5079" s="1" t="n">
        <v>45357</v>
      </c>
      <c r="D5079" t="inlineStr">
        <is>
          <t>GÄVLEBORGS LÄN</t>
        </is>
      </c>
      <c r="E5079" t="inlineStr">
        <is>
          <t>LJUSDAL</t>
        </is>
      </c>
      <c r="F5079" t="inlineStr">
        <is>
          <t>Sveaskog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20902-2022</t>
        </is>
      </c>
      <c r="B5080" s="1" t="n">
        <v>44701</v>
      </c>
      <c r="C5080" s="1" t="n">
        <v>45357</v>
      </c>
      <c r="D5080" t="inlineStr">
        <is>
          <t>GÄVLEBORGS LÄN</t>
        </is>
      </c>
      <c r="E5080" t="inlineStr">
        <is>
          <t>LJUSDAL</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20910-2022</t>
        </is>
      </c>
      <c r="B5081" s="1" t="n">
        <v>44701</v>
      </c>
      <c r="C5081" s="1" t="n">
        <v>45357</v>
      </c>
      <c r="D5081" t="inlineStr">
        <is>
          <t>GÄVLEBORGS LÄN</t>
        </is>
      </c>
      <c r="E5081" t="inlineStr">
        <is>
          <t>NORDANSTIG</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20985-2022</t>
        </is>
      </c>
      <c r="B5082" s="1" t="n">
        <v>44703</v>
      </c>
      <c r="C5082" s="1" t="n">
        <v>45357</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20986-2022</t>
        </is>
      </c>
      <c r="B5083" s="1" t="n">
        <v>44703</v>
      </c>
      <c r="C5083" s="1" t="n">
        <v>45357</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20987-2022</t>
        </is>
      </c>
      <c r="B5084" s="1" t="n">
        <v>44703</v>
      </c>
      <c r="C5084" s="1" t="n">
        <v>45357</v>
      </c>
      <c r="D5084" t="inlineStr">
        <is>
          <t>GÄVLEBORGS LÄN</t>
        </is>
      </c>
      <c r="E5084" t="inlineStr">
        <is>
          <t>NORDANSTIG</t>
        </is>
      </c>
      <c r="F5084" t="inlineStr">
        <is>
          <t>Holmen skog AB</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21044-2022</t>
        </is>
      </c>
      <c r="B5085" s="1" t="n">
        <v>44704</v>
      </c>
      <c r="C5085" s="1" t="n">
        <v>45357</v>
      </c>
      <c r="D5085" t="inlineStr">
        <is>
          <t>GÄVLEBORGS LÄN</t>
        </is>
      </c>
      <c r="E5085" t="inlineStr">
        <is>
          <t>LJUSDAL</t>
        </is>
      </c>
      <c r="F5085" t="inlineStr">
        <is>
          <t>Allmännings- och besparingsskogar</t>
        </is>
      </c>
      <c r="G5085" t="n">
        <v>31.3</v>
      </c>
      <c r="H5085" t="n">
        <v>0</v>
      </c>
      <c r="I5085" t="n">
        <v>0</v>
      </c>
      <c r="J5085" t="n">
        <v>0</v>
      </c>
      <c r="K5085" t="n">
        <v>0</v>
      </c>
      <c r="L5085" t="n">
        <v>0</v>
      </c>
      <c r="M5085" t="n">
        <v>0</v>
      </c>
      <c r="N5085" t="n">
        <v>0</v>
      </c>
      <c r="O5085" t="n">
        <v>0</v>
      </c>
      <c r="P5085" t="n">
        <v>0</v>
      </c>
      <c r="Q5085" t="n">
        <v>0</v>
      </c>
      <c r="R5085" s="2" t="inlineStr"/>
    </row>
    <row r="5086" ht="15" customHeight="1">
      <c r="A5086" t="inlineStr">
        <is>
          <t>A 21137-2022</t>
        </is>
      </c>
      <c r="B5086" s="1" t="n">
        <v>44704</v>
      </c>
      <c r="C5086" s="1" t="n">
        <v>45357</v>
      </c>
      <c r="D5086" t="inlineStr">
        <is>
          <t>GÄVLEBORGS LÄN</t>
        </is>
      </c>
      <c r="E5086" t="inlineStr">
        <is>
          <t>BOLLNÄS</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21009-2022</t>
        </is>
      </c>
      <c r="B5087" s="1" t="n">
        <v>44704</v>
      </c>
      <c r="C5087" s="1" t="n">
        <v>45357</v>
      </c>
      <c r="D5087" t="inlineStr">
        <is>
          <t>GÄVLEBORGS LÄN</t>
        </is>
      </c>
      <c r="E5087" t="inlineStr">
        <is>
          <t>BOLLNÄS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21157-2022</t>
        </is>
      </c>
      <c r="B5088" s="1" t="n">
        <v>44704</v>
      </c>
      <c r="C5088" s="1" t="n">
        <v>45357</v>
      </c>
      <c r="D5088" t="inlineStr">
        <is>
          <t>GÄVLEBORGS LÄN</t>
        </is>
      </c>
      <c r="E5088" t="inlineStr">
        <is>
          <t>NORDANSTIG</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21153-2022</t>
        </is>
      </c>
      <c r="B5089" s="1" t="n">
        <v>44704</v>
      </c>
      <c r="C5089" s="1" t="n">
        <v>45357</v>
      </c>
      <c r="D5089" t="inlineStr">
        <is>
          <t>GÄVLEBORGS LÄN</t>
        </is>
      </c>
      <c r="E5089" t="inlineStr">
        <is>
          <t>BOLLNÄS</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21188-2022</t>
        </is>
      </c>
      <c r="B5090" s="1" t="n">
        <v>44704</v>
      </c>
      <c r="C5090" s="1" t="n">
        <v>45357</v>
      </c>
      <c r="D5090" t="inlineStr">
        <is>
          <t>GÄVLEBORGS LÄN</t>
        </is>
      </c>
      <c r="E5090" t="inlineStr">
        <is>
          <t>NORDANSTIG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21186-2022</t>
        </is>
      </c>
      <c r="B5091" s="1" t="n">
        <v>44705</v>
      </c>
      <c r="C5091" s="1" t="n">
        <v>45357</v>
      </c>
      <c r="D5091" t="inlineStr">
        <is>
          <t>GÄVLEBORGS LÄN</t>
        </is>
      </c>
      <c r="E5091" t="inlineStr">
        <is>
          <t>NORDANSTIG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21187-2022</t>
        </is>
      </c>
      <c r="B5092" s="1" t="n">
        <v>44705</v>
      </c>
      <c r="C5092" s="1" t="n">
        <v>45357</v>
      </c>
      <c r="D5092" t="inlineStr">
        <is>
          <t>GÄVLEBORGS LÄN</t>
        </is>
      </c>
      <c r="E5092" t="inlineStr">
        <is>
          <t>NORDANSTIG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21185-2022</t>
        </is>
      </c>
      <c r="B5093" s="1" t="n">
        <v>44704</v>
      </c>
      <c r="C5093" s="1" t="n">
        <v>45357</v>
      </c>
      <c r="D5093" t="inlineStr">
        <is>
          <t>GÄVLEBORGS LÄN</t>
        </is>
      </c>
      <c r="E5093" t="inlineStr">
        <is>
          <t>NORDANSTIG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21189-2022</t>
        </is>
      </c>
      <c r="B5094" s="1" t="n">
        <v>44705</v>
      </c>
      <c r="C5094" s="1" t="n">
        <v>45357</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21299-2022</t>
        </is>
      </c>
      <c r="B5095" s="1" t="n">
        <v>44705</v>
      </c>
      <c r="C5095" s="1" t="n">
        <v>45357</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21378-2022</t>
        </is>
      </c>
      <c r="B5096" s="1" t="n">
        <v>44705</v>
      </c>
      <c r="C5096" s="1" t="n">
        <v>45357</v>
      </c>
      <c r="D5096" t="inlineStr">
        <is>
          <t>GÄVLEBORGS LÄN</t>
        </is>
      </c>
      <c r="E5096" t="inlineStr">
        <is>
          <t>OCKELBO</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21291-2022</t>
        </is>
      </c>
      <c r="B5097" s="1" t="n">
        <v>44705</v>
      </c>
      <c r="C5097" s="1" t="n">
        <v>45357</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21345-2022</t>
        </is>
      </c>
      <c r="B5098" s="1" t="n">
        <v>44705</v>
      </c>
      <c r="C5098" s="1" t="n">
        <v>45357</v>
      </c>
      <c r="D5098" t="inlineStr">
        <is>
          <t>GÄVLEBORGS LÄN</t>
        </is>
      </c>
      <c r="E5098" t="inlineStr">
        <is>
          <t>OVANÅKER</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21286-2022</t>
        </is>
      </c>
      <c r="B5099" s="1" t="n">
        <v>44705</v>
      </c>
      <c r="C5099" s="1" t="n">
        <v>45357</v>
      </c>
      <c r="D5099" t="inlineStr">
        <is>
          <t>GÄVLEBORGS LÄN</t>
        </is>
      </c>
      <c r="E5099" t="inlineStr">
        <is>
          <t>NORDANSTIG</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21326-2022</t>
        </is>
      </c>
      <c r="B5100" s="1" t="n">
        <v>44705</v>
      </c>
      <c r="C5100" s="1" t="n">
        <v>45357</v>
      </c>
      <c r="D5100" t="inlineStr">
        <is>
          <t>GÄVLEBORGS LÄN</t>
        </is>
      </c>
      <c r="E5100" t="inlineStr">
        <is>
          <t>OVANÅKER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21297-2022</t>
        </is>
      </c>
      <c r="B5101" s="1" t="n">
        <v>44705</v>
      </c>
      <c r="C5101" s="1" t="n">
        <v>45357</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21347-2022</t>
        </is>
      </c>
      <c r="B5102" s="1" t="n">
        <v>44705</v>
      </c>
      <c r="C5102" s="1" t="n">
        <v>45357</v>
      </c>
      <c r="D5102" t="inlineStr">
        <is>
          <t>GÄVLEBORGS LÄN</t>
        </is>
      </c>
      <c r="E5102" t="inlineStr">
        <is>
          <t>OVANÅKER</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21382-2022</t>
        </is>
      </c>
      <c r="B5103" s="1" t="n">
        <v>44705</v>
      </c>
      <c r="C5103" s="1" t="n">
        <v>45357</v>
      </c>
      <c r="D5103" t="inlineStr">
        <is>
          <t>GÄVLEBORGS LÄN</t>
        </is>
      </c>
      <c r="E5103" t="inlineStr">
        <is>
          <t>HUDIKSVALL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21430-2022</t>
        </is>
      </c>
      <c r="B5104" s="1" t="n">
        <v>44706</v>
      </c>
      <c r="C5104" s="1" t="n">
        <v>45357</v>
      </c>
      <c r="D5104" t="inlineStr">
        <is>
          <t>GÄVLEBORGS LÄN</t>
        </is>
      </c>
      <c r="E5104" t="inlineStr">
        <is>
          <t>NORDANSTIG</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21474-2022</t>
        </is>
      </c>
      <c r="B5105" s="1" t="n">
        <v>44706</v>
      </c>
      <c r="C5105" s="1" t="n">
        <v>45357</v>
      </c>
      <c r="D5105" t="inlineStr">
        <is>
          <t>GÄVLEBORGS LÄN</t>
        </is>
      </c>
      <c r="E5105" t="inlineStr">
        <is>
          <t>SÖDERHAMN</t>
        </is>
      </c>
      <c r="F5105" t="inlineStr">
        <is>
          <t>Bergvik skog väst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21437-2022</t>
        </is>
      </c>
      <c r="B5106" s="1" t="n">
        <v>44706</v>
      </c>
      <c r="C5106" s="1" t="n">
        <v>45357</v>
      </c>
      <c r="D5106" t="inlineStr">
        <is>
          <t>GÄVLEBORGS LÄN</t>
        </is>
      </c>
      <c r="E5106" t="inlineStr">
        <is>
          <t>GÄVLE</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21536-2022</t>
        </is>
      </c>
      <c r="B5107" s="1" t="n">
        <v>44706</v>
      </c>
      <c r="C5107" s="1" t="n">
        <v>45357</v>
      </c>
      <c r="D5107" t="inlineStr">
        <is>
          <t>GÄVLEBORGS LÄN</t>
        </is>
      </c>
      <c r="E5107" t="inlineStr">
        <is>
          <t>OVANÅKER</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21542-2022</t>
        </is>
      </c>
      <c r="B5108" s="1" t="n">
        <v>44706</v>
      </c>
      <c r="C5108" s="1" t="n">
        <v>45357</v>
      </c>
      <c r="D5108" t="inlineStr">
        <is>
          <t>GÄVLEBORGS LÄN</t>
        </is>
      </c>
      <c r="E5108" t="inlineStr">
        <is>
          <t>LJUSDAL</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21436-2022</t>
        </is>
      </c>
      <c r="B5109" s="1" t="n">
        <v>44706</v>
      </c>
      <c r="C5109" s="1" t="n">
        <v>45357</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21451-2022</t>
        </is>
      </c>
      <c r="B5110" s="1" t="n">
        <v>44706</v>
      </c>
      <c r="C5110" s="1" t="n">
        <v>45357</v>
      </c>
      <c r="D5110" t="inlineStr">
        <is>
          <t>GÄVLEBORGS LÄN</t>
        </is>
      </c>
      <c r="E5110" t="inlineStr">
        <is>
          <t>NORDANSTIG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21525-2022</t>
        </is>
      </c>
      <c r="B5111" s="1" t="n">
        <v>44706</v>
      </c>
      <c r="C5111" s="1" t="n">
        <v>45357</v>
      </c>
      <c r="D5111" t="inlineStr">
        <is>
          <t>GÄVLEBORGS LÄN</t>
        </is>
      </c>
      <c r="E5111" t="inlineStr">
        <is>
          <t>HUDIKSVALL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21438-2022</t>
        </is>
      </c>
      <c r="B5112" s="1" t="n">
        <v>44706</v>
      </c>
      <c r="C5112" s="1" t="n">
        <v>45357</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21468-2022</t>
        </is>
      </c>
      <c r="B5113" s="1" t="n">
        <v>44706</v>
      </c>
      <c r="C5113" s="1" t="n">
        <v>45357</v>
      </c>
      <c r="D5113" t="inlineStr">
        <is>
          <t>GÄVLEBORGS LÄN</t>
        </is>
      </c>
      <c r="E5113" t="inlineStr">
        <is>
          <t>GÄVLE</t>
        </is>
      </c>
      <c r="F5113" t="inlineStr">
        <is>
          <t>Bergvik skog väst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21527-2022</t>
        </is>
      </c>
      <c r="B5114" s="1" t="n">
        <v>44706</v>
      </c>
      <c r="C5114" s="1" t="n">
        <v>45357</v>
      </c>
      <c r="D5114" t="inlineStr">
        <is>
          <t>GÄVLEBORGS LÄN</t>
        </is>
      </c>
      <c r="E5114" t="inlineStr">
        <is>
          <t>OVANÅKER</t>
        </is>
      </c>
      <c r="F5114" t="inlineStr">
        <is>
          <t>Sveaskog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21616-2022</t>
        </is>
      </c>
      <c r="B5115" s="1" t="n">
        <v>44706</v>
      </c>
      <c r="C5115" s="1" t="n">
        <v>45357</v>
      </c>
      <c r="D5115" t="inlineStr">
        <is>
          <t>GÄVLEBORGS LÄN</t>
        </is>
      </c>
      <c r="E5115" t="inlineStr">
        <is>
          <t>BOLLNÄS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21540-2022</t>
        </is>
      </c>
      <c r="B5116" s="1" t="n">
        <v>44706</v>
      </c>
      <c r="C5116" s="1" t="n">
        <v>45357</v>
      </c>
      <c r="D5116" t="inlineStr">
        <is>
          <t>GÄVLEBORGS LÄN</t>
        </is>
      </c>
      <c r="E5116" t="inlineStr">
        <is>
          <t>HUDIKSVALL</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21561-2022</t>
        </is>
      </c>
      <c r="B5117" s="1" t="n">
        <v>44706</v>
      </c>
      <c r="C5117" s="1" t="n">
        <v>45357</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21795-2022</t>
        </is>
      </c>
      <c r="B5118" s="1" t="n">
        <v>44708</v>
      </c>
      <c r="C5118" s="1" t="n">
        <v>45357</v>
      </c>
      <c r="D5118" t="inlineStr">
        <is>
          <t>GÄVLEBORGS LÄN</t>
        </is>
      </c>
      <c r="E5118" t="inlineStr">
        <is>
          <t>GÄVLE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21941-2022</t>
        </is>
      </c>
      <c r="B5119" s="1" t="n">
        <v>44711</v>
      </c>
      <c r="C5119" s="1" t="n">
        <v>45357</v>
      </c>
      <c r="D5119" t="inlineStr">
        <is>
          <t>GÄVLEBORGS LÄN</t>
        </is>
      </c>
      <c r="E5119" t="inlineStr">
        <is>
          <t>LJUSDAL</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21890-2022</t>
        </is>
      </c>
      <c r="B5120" s="1" t="n">
        <v>44711</v>
      </c>
      <c r="C5120" s="1" t="n">
        <v>45357</v>
      </c>
      <c r="D5120" t="inlineStr">
        <is>
          <t>GÄVLEBORGS LÄN</t>
        </is>
      </c>
      <c r="E5120" t="inlineStr">
        <is>
          <t>LJUSDAL</t>
        </is>
      </c>
      <c r="F5120" t="inlineStr">
        <is>
          <t>Bergvik skog väst AB</t>
        </is>
      </c>
      <c r="G5120" t="n">
        <v>30.7</v>
      </c>
      <c r="H5120" t="n">
        <v>0</v>
      </c>
      <c r="I5120" t="n">
        <v>0</v>
      </c>
      <c r="J5120" t="n">
        <v>0</v>
      </c>
      <c r="K5120" t="n">
        <v>0</v>
      </c>
      <c r="L5120" t="n">
        <v>0</v>
      </c>
      <c r="M5120" t="n">
        <v>0</v>
      </c>
      <c r="N5120" t="n">
        <v>0</v>
      </c>
      <c r="O5120" t="n">
        <v>0</v>
      </c>
      <c r="P5120" t="n">
        <v>0</v>
      </c>
      <c r="Q5120" t="n">
        <v>0</v>
      </c>
      <c r="R5120" s="2" t="inlineStr"/>
    </row>
    <row r="5121" ht="15" customHeight="1">
      <c r="A5121" t="inlineStr">
        <is>
          <t>A 21871-2022</t>
        </is>
      </c>
      <c r="B5121" s="1" t="n">
        <v>44711</v>
      </c>
      <c r="C5121" s="1" t="n">
        <v>45357</v>
      </c>
      <c r="D5121" t="inlineStr">
        <is>
          <t>GÄVLEBORGS LÄN</t>
        </is>
      </c>
      <c r="E5121" t="inlineStr">
        <is>
          <t>NORDANSTIG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21877-2022</t>
        </is>
      </c>
      <c r="B5122" s="1" t="n">
        <v>44711</v>
      </c>
      <c r="C5122" s="1" t="n">
        <v>45357</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21869-2022</t>
        </is>
      </c>
      <c r="B5123" s="1" t="n">
        <v>44711</v>
      </c>
      <c r="C5123" s="1" t="n">
        <v>45357</v>
      </c>
      <c r="D5123" t="inlineStr">
        <is>
          <t>GÄVLEBORGS LÄN</t>
        </is>
      </c>
      <c r="E5123" t="inlineStr">
        <is>
          <t>NORDANSTIG</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21873-2022</t>
        </is>
      </c>
      <c r="B5124" s="1" t="n">
        <v>44711</v>
      </c>
      <c r="C5124" s="1" t="n">
        <v>45357</v>
      </c>
      <c r="D5124" t="inlineStr">
        <is>
          <t>GÄVLEBORGS LÄN</t>
        </is>
      </c>
      <c r="E5124" t="inlineStr">
        <is>
          <t>NORDANSTIG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21952-2022</t>
        </is>
      </c>
      <c r="B5125" s="1" t="n">
        <v>44711</v>
      </c>
      <c r="C5125" s="1" t="n">
        <v>45357</v>
      </c>
      <c r="D5125" t="inlineStr">
        <is>
          <t>GÄVLEBORGS LÄN</t>
        </is>
      </c>
      <c r="E5125" t="inlineStr">
        <is>
          <t>LJUSDAL</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21965-2022</t>
        </is>
      </c>
      <c r="B5126" s="1" t="n">
        <v>44711</v>
      </c>
      <c r="C5126" s="1" t="n">
        <v>45357</v>
      </c>
      <c r="D5126" t="inlineStr">
        <is>
          <t>GÄVLEBORGS LÄN</t>
        </is>
      </c>
      <c r="E5126" t="inlineStr">
        <is>
          <t>LJUSDAL</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21957-2022</t>
        </is>
      </c>
      <c r="B5127" s="1" t="n">
        <v>44711</v>
      </c>
      <c r="C5127" s="1" t="n">
        <v>45357</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21973-2022</t>
        </is>
      </c>
      <c r="B5128" s="1" t="n">
        <v>44711</v>
      </c>
      <c r="C5128" s="1" t="n">
        <v>45357</v>
      </c>
      <c r="D5128" t="inlineStr">
        <is>
          <t>GÄVLEBORGS LÄN</t>
        </is>
      </c>
      <c r="E5128" t="inlineStr">
        <is>
          <t>OVANÅKER</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21985-2022</t>
        </is>
      </c>
      <c r="B5129" s="1" t="n">
        <v>44711</v>
      </c>
      <c r="C5129" s="1" t="n">
        <v>45357</v>
      </c>
      <c r="D5129" t="inlineStr">
        <is>
          <t>GÄVLEBORGS LÄN</t>
        </is>
      </c>
      <c r="E5129" t="inlineStr">
        <is>
          <t>LJUSDAL</t>
        </is>
      </c>
      <c r="F5129" t="inlineStr">
        <is>
          <t>Bergvik skog väst AB</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22007-2022</t>
        </is>
      </c>
      <c r="B5130" s="1" t="n">
        <v>44711</v>
      </c>
      <c r="C5130" s="1" t="n">
        <v>45357</v>
      </c>
      <c r="D5130" t="inlineStr">
        <is>
          <t>GÄVLEBORGS LÄN</t>
        </is>
      </c>
      <c r="E5130" t="inlineStr">
        <is>
          <t>OVANÅKER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22019-2022</t>
        </is>
      </c>
      <c r="B5131" s="1" t="n">
        <v>44711</v>
      </c>
      <c r="C5131" s="1" t="n">
        <v>45357</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22041-2022</t>
        </is>
      </c>
      <c r="B5132" s="1" t="n">
        <v>44711</v>
      </c>
      <c r="C5132" s="1" t="n">
        <v>45357</v>
      </c>
      <c r="D5132" t="inlineStr">
        <is>
          <t>GÄVLEBORGS LÄN</t>
        </is>
      </c>
      <c r="E5132" t="inlineStr">
        <is>
          <t>NORDANSTIG</t>
        </is>
      </c>
      <c r="F5132" t="inlineStr">
        <is>
          <t>Holmen skog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22053-2022</t>
        </is>
      </c>
      <c r="B5133" s="1" t="n">
        <v>44711</v>
      </c>
      <c r="C5133" s="1" t="n">
        <v>45357</v>
      </c>
      <c r="D5133" t="inlineStr">
        <is>
          <t>GÄVLEBORGS LÄN</t>
        </is>
      </c>
      <c r="E5133" t="inlineStr">
        <is>
          <t>NORDANSTIG</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22027-2022</t>
        </is>
      </c>
      <c r="B5134" s="1" t="n">
        <v>44711</v>
      </c>
      <c r="C5134" s="1" t="n">
        <v>45357</v>
      </c>
      <c r="D5134" t="inlineStr">
        <is>
          <t>GÄVLEBORGS LÄN</t>
        </is>
      </c>
      <c r="E5134" t="inlineStr">
        <is>
          <t>NORDANSTIG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22035-2022</t>
        </is>
      </c>
      <c r="B5135" s="1" t="n">
        <v>44711</v>
      </c>
      <c r="C5135" s="1" t="n">
        <v>45357</v>
      </c>
      <c r="D5135" t="inlineStr">
        <is>
          <t>GÄVLEBORGS LÄN</t>
        </is>
      </c>
      <c r="E5135" t="inlineStr">
        <is>
          <t>OCKELBO</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22032-2022</t>
        </is>
      </c>
      <c r="B5136" s="1" t="n">
        <v>44711</v>
      </c>
      <c r="C5136" s="1" t="n">
        <v>45357</v>
      </c>
      <c r="D5136" t="inlineStr">
        <is>
          <t>GÄVLEBORGS LÄN</t>
        </is>
      </c>
      <c r="E5136" t="inlineStr">
        <is>
          <t>OCKELBO</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22097-2022</t>
        </is>
      </c>
      <c r="B5137" s="1" t="n">
        <v>44712</v>
      </c>
      <c r="C5137" s="1" t="n">
        <v>45357</v>
      </c>
      <c r="D5137" t="inlineStr">
        <is>
          <t>GÄVLEBORGS LÄN</t>
        </is>
      </c>
      <c r="E5137" t="inlineStr">
        <is>
          <t>LJUSDAL</t>
        </is>
      </c>
      <c r="F5137" t="inlineStr">
        <is>
          <t>Naturvårdsverket</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22136-2022</t>
        </is>
      </c>
      <c r="B5138" s="1" t="n">
        <v>44712</v>
      </c>
      <c r="C5138" s="1" t="n">
        <v>45357</v>
      </c>
      <c r="D5138" t="inlineStr">
        <is>
          <t>GÄVLEBORGS LÄN</t>
        </is>
      </c>
      <c r="E5138" t="inlineStr">
        <is>
          <t>HUDIKSVALL</t>
        </is>
      </c>
      <c r="F5138" t="inlineStr">
        <is>
          <t>Holmen skog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22151-2022</t>
        </is>
      </c>
      <c r="B5139" s="1" t="n">
        <v>44712</v>
      </c>
      <c r="C5139" s="1" t="n">
        <v>45357</v>
      </c>
      <c r="D5139" t="inlineStr">
        <is>
          <t>GÄVLEBORGS LÄN</t>
        </is>
      </c>
      <c r="E5139" t="inlineStr">
        <is>
          <t>OCKELBO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22165-2022</t>
        </is>
      </c>
      <c r="B5140" s="1" t="n">
        <v>44712</v>
      </c>
      <c r="C5140" s="1" t="n">
        <v>45357</v>
      </c>
      <c r="D5140" t="inlineStr">
        <is>
          <t>GÄVLEBORGS LÄN</t>
        </is>
      </c>
      <c r="E5140" t="inlineStr">
        <is>
          <t>HUDIKSVALL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22155-2022</t>
        </is>
      </c>
      <c r="B5141" s="1" t="n">
        <v>44712</v>
      </c>
      <c r="C5141" s="1" t="n">
        <v>45357</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22126-2022</t>
        </is>
      </c>
      <c r="B5142" s="1" t="n">
        <v>44712</v>
      </c>
      <c r="C5142" s="1" t="n">
        <v>45357</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22235-2022</t>
        </is>
      </c>
      <c r="B5143" s="1" t="n">
        <v>44712</v>
      </c>
      <c r="C5143" s="1" t="n">
        <v>45357</v>
      </c>
      <c r="D5143" t="inlineStr">
        <is>
          <t>GÄVLEBORGS LÄN</t>
        </is>
      </c>
      <c r="E5143" t="inlineStr">
        <is>
          <t>NORDANSTIG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22254-2022</t>
        </is>
      </c>
      <c r="B5144" s="1" t="n">
        <v>44712</v>
      </c>
      <c r="C5144" s="1" t="n">
        <v>45357</v>
      </c>
      <c r="D5144" t="inlineStr">
        <is>
          <t>GÄVLEBORGS LÄN</t>
        </is>
      </c>
      <c r="E5144" t="inlineStr">
        <is>
          <t>NORDANSTIG</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22198-2022</t>
        </is>
      </c>
      <c r="B5145" s="1" t="n">
        <v>44712</v>
      </c>
      <c r="C5145" s="1" t="n">
        <v>45357</v>
      </c>
      <c r="D5145" t="inlineStr">
        <is>
          <t>GÄVLEBORGS LÄN</t>
        </is>
      </c>
      <c r="E5145" t="inlineStr">
        <is>
          <t>HUDIKSVALL</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22226-2022</t>
        </is>
      </c>
      <c r="B5146" s="1" t="n">
        <v>44712</v>
      </c>
      <c r="C5146" s="1" t="n">
        <v>45357</v>
      </c>
      <c r="D5146" t="inlineStr">
        <is>
          <t>GÄVLEBORGS LÄN</t>
        </is>
      </c>
      <c r="E5146" t="inlineStr">
        <is>
          <t>BOLLNÄS</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22361-2022</t>
        </is>
      </c>
      <c r="B5147" s="1" t="n">
        <v>44713</v>
      </c>
      <c r="C5147" s="1" t="n">
        <v>45357</v>
      </c>
      <c r="D5147" t="inlineStr">
        <is>
          <t>GÄVLEBORGS LÄN</t>
        </is>
      </c>
      <c r="E5147" t="inlineStr">
        <is>
          <t>NORDANSTIG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22362-2022</t>
        </is>
      </c>
      <c r="B5148" s="1" t="n">
        <v>44713</v>
      </c>
      <c r="C5148" s="1" t="n">
        <v>45357</v>
      </c>
      <c r="D5148" t="inlineStr">
        <is>
          <t>GÄVLEBORGS LÄN</t>
        </is>
      </c>
      <c r="E5148" t="inlineStr">
        <is>
          <t>NORDANSTIG</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22357-2022</t>
        </is>
      </c>
      <c r="B5149" s="1" t="n">
        <v>44713</v>
      </c>
      <c r="C5149" s="1" t="n">
        <v>45357</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22546-2022</t>
        </is>
      </c>
      <c r="B5150" s="1" t="n">
        <v>44714</v>
      </c>
      <c r="C5150" s="1" t="n">
        <v>45357</v>
      </c>
      <c r="D5150" t="inlineStr">
        <is>
          <t>GÄVLEBORGS LÄN</t>
        </is>
      </c>
      <c r="E5150" t="inlineStr">
        <is>
          <t>NORDANSTIG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22547-2022</t>
        </is>
      </c>
      <c r="B5151" s="1" t="n">
        <v>44713</v>
      </c>
      <c r="C5151" s="1" t="n">
        <v>45357</v>
      </c>
      <c r="D5151" t="inlineStr">
        <is>
          <t>GÄVLEBORGS LÄN</t>
        </is>
      </c>
      <c r="E5151" t="inlineStr">
        <is>
          <t>NORDANSTIG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22577-2022</t>
        </is>
      </c>
      <c r="B5152" s="1" t="n">
        <v>44713</v>
      </c>
      <c r="C5152" s="1" t="n">
        <v>45357</v>
      </c>
      <c r="D5152" t="inlineStr">
        <is>
          <t>GÄVLEBORGS LÄN</t>
        </is>
      </c>
      <c r="E5152" t="inlineStr">
        <is>
          <t>GÄVLE</t>
        </is>
      </c>
      <c r="F5152" t="inlineStr">
        <is>
          <t>Bergvik skog väst AB</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22573-2022</t>
        </is>
      </c>
      <c r="B5153" s="1" t="n">
        <v>44714</v>
      </c>
      <c r="C5153" s="1" t="n">
        <v>45357</v>
      </c>
      <c r="D5153" t="inlineStr">
        <is>
          <t>GÄVLEBORGS LÄN</t>
        </is>
      </c>
      <c r="E5153" t="inlineStr">
        <is>
          <t>LJUSDAL</t>
        </is>
      </c>
      <c r="F5153" t="inlineStr">
        <is>
          <t>Naturvårdsverket</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22599-2022</t>
        </is>
      </c>
      <c r="B5154" s="1" t="n">
        <v>44714</v>
      </c>
      <c r="C5154" s="1" t="n">
        <v>45357</v>
      </c>
      <c r="D5154" t="inlineStr">
        <is>
          <t>GÄVLEBORGS LÄN</t>
        </is>
      </c>
      <c r="E5154" t="inlineStr">
        <is>
          <t>SANDVIKEN</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22648-2022</t>
        </is>
      </c>
      <c r="B5155" s="1" t="n">
        <v>44714</v>
      </c>
      <c r="C5155" s="1" t="n">
        <v>45357</v>
      </c>
      <c r="D5155" t="inlineStr">
        <is>
          <t>GÄVLEBORGS LÄN</t>
        </is>
      </c>
      <c r="E5155" t="inlineStr">
        <is>
          <t>OCKELBO</t>
        </is>
      </c>
      <c r="F5155" t="inlineStr">
        <is>
          <t>Bergvik skog väst AB</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22689-2022</t>
        </is>
      </c>
      <c r="B5156" s="1" t="n">
        <v>44714</v>
      </c>
      <c r="C5156" s="1" t="n">
        <v>45357</v>
      </c>
      <c r="D5156" t="inlineStr">
        <is>
          <t>GÄVLEBORGS LÄN</t>
        </is>
      </c>
      <c r="E5156" t="inlineStr">
        <is>
          <t>BOLLNÄS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22654-2022</t>
        </is>
      </c>
      <c r="B5157" s="1" t="n">
        <v>44714</v>
      </c>
      <c r="C5157" s="1" t="n">
        <v>45357</v>
      </c>
      <c r="D5157" t="inlineStr">
        <is>
          <t>GÄVLEBORGS LÄN</t>
        </is>
      </c>
      <c r="E5157" t="inlineStr">
        <is>
          <t>SANDVIKEN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22646-2022</t>
        </is>
      </c>
      <c r="B5158" s="1" t="n">
        <v>44714</v>
      </c>
      <c r="C5158" s="1" t="n">
        <v>45357</v>
      </c>
      <c r="D5158" t="inlineStr">
        <is>
          <t>GÄVLEBORGS LÄN</t>
        </is>
      </c>
      <c r="E5158" t="inlineStr">
        <is>
          <t>BOLLNÄS</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22700-2022</t>
        </is>
      </c>
      <c r="B5159" s="1" t="n">
        <v>44714</v>
      </c>
      <c r="C5159" s="1" t="n">
        <v>45357</v>
      </c>
      <c r="D5159" t="inlineStr">
        <is>
          <t>GÄVLEBORGS LÄN</t>
        </is>
      </c>
      <c r="E5159" t="inlineStr">
        <is>
          <t>OVANÅKER</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22699-2022</t>
        </is>
      </c>
      <c r="B5160" s="1" t="n">
        <v>44714</v>
      </c>
      <c r="C5160" s="1" t="n">
        <v>45357</v>
      </c>
      <c r="D5160" t="inlineStr">
        <is>
          <t>GÄVLEBORGS LÄN</t>
        </is>
      </c>
      <c r="E5160" t="inlineStr">
        <is>
          <t>LJUSDAL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22728-2022</t>
        </is>
      </c>
      <c r="B5161" s="1" t="n">
        <v>44714</v>
      </c>
      <c r="C5161" s="1" t="n">
        <v>45357</v>
      </c>
      <c r="D5161" t="inlineStr">
        <is>
          <t>GÄVLEBORGS LÄN</t>
        </is>
      </c>
      <c r="E5161" t="inlineStr">
        <is>
          <t>BOLLNÄS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22731-2022</t>
        </is>
      </c>
      <c r="B5162" s="1" t="n">
        <v>44714</v>
      </c>
      <c r="C5162" s="1" t="n">
        <v>45357</v>
      </c>
      <c r="D5162" t="inlineStr">
        <is>
          <t>GÄVLEBORGS LÄN</t>
        </is>
      </c>
      <c r="E5162" t="inlineStr">
        <is>
          <t>BOLLNÄS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22745-2022</t>
        </is>
      </c>
      <c r="B5163" s="1" t="n">
        <v>44714</v>
      </c>
      <c r="C5163" s="1" t="n">
        <v>45357</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22859-2022</t>
        </is>
      </c>
      <c r="B5164" s="1" t="n">
        <v>44715</v>
      </c>
      <c r="C5164" s="1" t="n">
        <v>45357</v>
      </c>
      <c r="D5164" t="inlineStr">
        <is>
          <t>GÄVLEBORGS LÄN</t>
        </is>
      </c>
      <c r="E5164" t="inlineStr">
        <is>
          <t>LJUSDAL</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22839-2022</t>
        </is>
      </c>
      <c r="B5165" s="1" t="n">
        <v>44715</v>
      </c>
      <c r="C5165" s="1" t="n">
        <v>45357</v>
      </c>
      <c r="D5165" t="inlineStr">
        <is>
          <t>GÄVLEBORGS LÄN</t>
        </is>
      </c>
      <c r="E5165" t="inlineStr">
        <is>
          <t>SANDVIKEN</t>
        </is>
      </c>
      <c r="F5165" t="inlineStr">
        <is>
          <t>Bergvik skog öst AB</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22851-2022</t>
        </is>
      </c>
      <c r="B5166" s="1" t="n">
        <v>44715</v>
      </c>
      <c r="C5166" s="1" t="n">
        <v>45357</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22809-2022</t>
        </is>
      </c>
      <c r="B5167" s="1" t="n">
        <v>44715</v>
      </c>
      <c r="C5167" s="1" t="n">
        <v>45357</v>
      </c>
      <c r="D5167" t="inlineStr">
        <is>
          <t>GÄVLEBORGS LÄN</t>
        </is>
      </c>
      <c r="E5167" t="inlineStr">
        <is>
          <t>OVANÅKER</t>
        </is>
      </c>
      <c r="F5167" t="inlineStr">
        <is>
          <t>Bergvik skog väst AB</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22856-2022</t>
        </is>
      </c>
      <c r="B5168" s="1" t="n">
        <v>44715</v>
      </c>
      <c r="C5168" s="1" t="n">
        <v>45357</v>
      </c>
      <c r="D5168" t="inlineStr">
        <is>
          <t>GÄVLEBORGS LÄN</t>
        </is>
      </c>
      <c r="E5168" t="inlineStr">
        <is>
          <t>LJUSDAL</t>
        </is>
      </c>
      <c r="F5168" t="inlineStr">
        <is>
          <t>Sveaskog</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22933-2022</t>
        </is>
      </c>
      <c r="B5169" s="1" t="n">
        <v>44715</v>
      </c>
      <c r="C5169" s="1" t="n">
        <v>45357</v>
      </c>
      <c r="D5169" t="inlineStr">
        <is>
          <t>GÄVLEBORGS LÄN</t>
        </is>
      </c>
      <c r="E5169" t="inlineStr">
        <is>
          <t>LJUSDAL</t>
        </is>
      </c>
      <c r="F5169" t="inlineStr">
        <is>
          <t>Sveaskog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22882-2022</t>
        </is>
      </c>
      <c r="B5170" s="1" t="n">
        <v>44715</v>
      </c>
      <c r="C5170" s="1" t="n">
        <v>45357</v>
      </c>
      <c r="D5170" t="inlineStr">
        <is>
          <t>GÄVLEBORGS LÄN</t>
        </is>
      </c>
      <c r="E5170" t="inlineStr">
        <is>
          <t>BOLLNÄS</t>
        </is>
      </c>
      <c r="F5170" t="inlineStr">
        <is>
          <t>Bergvik skog väst AB</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23014-2022</t>
        </is>
      </c>
      <c r="B5171" s="1" t="n">
        <v>44719</v>
      </c>
      <c r="C5171" s="1" t="n">
        <v>45357</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23023-2022</t>
        </is>
      </c>
      <c r="B5172" s="1" t="n">
        <v>44719</v>
      </c>
      <c r="C5172" s="1" t="n">
        <v>45357</v>
      </c>
      <c r="D5172" t="inlineStr">
        <is>
          <t>GÄVLEBORGS LÄN</t>
        </is>
      </c>
      <c r="E5172" t="inlineStr">
        <is>
          <t>OVANÅKER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23089-2022</t>
        </is>
      </c>
      <c r="B5173" s="1" t="n">
        <v>44719</v>
      </c>
      <c r="C5173" s="1" t="n">
        <v>45357</v>
      </c>
      <c r="D5173" t="inlineStr">
        <is>
          <t>GÄVLEBORGS LÄN</t>
        </is>
      </c>
      <c r="E5173" t="inlineStr">
        <is>
          <t>LJUSDAL</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23087-2022</t>
        </is>
      </c>
      <c r="B5174" s="1" t="n">
        <v>44719</v>
      </c>
      <c r="C5174" s="1" t="n">
        <v>45357</v>
      </c>
      <c r="D5174" t="inlineStr">
        <is>
          <t>GÄVLEBORGS LÄN</t>
        </is>
      </c>
      <c r="E5174" t="inlineStr">
        <is>
          <t>LJUSDAL</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23093-2022</t>
        </is>
      </c>
      <c r="B5175" s="1" t="n">
        <v>44719</v>
      </c>
      <c r="C5175" s="1" t="n">
        <v>45357</v>
      </c>
      <c r="D5175" t="inlineStr">
        <is>
          <t>GÄVLEBORGS LÄN</t>
        </is>
      </c>
      <c r="E5175" t="inlineStr">
        <is>
          <t>OVANÅKER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23195-2022</t>
        </is>
      </c>
      <c r="B5176" s="1" t="n">
        <v>44720</v>
      </c>
      <c r="C5176" s="1" t="n">
        <v>45357</v>
      </c>
      <c r="D5176" t="inlineStr">
        <is>
          <t>GÄVLEBORGS LÄN</t>
        </is>
      </c>
      <c r="E5176" t="inlineStr">
        <is>
          <t>LJUSDAL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23191-2022</t>
        </is>
      </c>
      <c r="B5177" s="1" t="n">
        <v>44720</v>
      </c>
      <c r="C5177" s="1" t="n">
        <v>45357</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23132-2022</t>
        </is>
      </c>
      <c r="B5178" s="1" t="n">
        <v>44719</v>
      </c>
      <c r="C5178" s="1" t="n">
        <v>45357</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23192-2022</t>
        </is>
      </c>
      <c r="B5179" s="1" t="n">
        <v>44720</v>
      </c>
      <c r="C5179" s="1" t="n">
        <v>45357</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23029-2022</t>
        </is>
      </c>
      <c r="B5180" s="1" t="n">
        <v>44719</v>
      </c>
      <c r="C5180" s="1" t="n">
        <v>45357</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23251-2022</t>
        </is>
      </c>
      <c r="B5181" s="1" t="n">
        <v>44720</v>
      </c>
      <c r="C5181" s="1" t="n">
        <v>45357</v>
      </c>
      <c r="D5181" t="inlineStr">
        <is>
          <t>GÄVLEBORGS LÄN</t>
        </is>
      </c>
      <c r="E5181" t="inlineStr">
        <is>
          <t>OVANÅKER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23358-2022</t>
        </is>
      </c>
      <c r="B5182" s="1" t="n">
        <v>44720</v>
      </c>
      <c r="C5182" s="1" t="n">
        <v>45357</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23368-2022</t>
        </is>
      </c>
      <c r="B5183" s="1" t="n">
        <v>44720</v>
      </c>
      <c r="C5183" s="1" t="n">
        <v>45357</v>
      </c>
      <c r="D5183" t="inlineStr">
        <is>
          <t>GÄVLEBORGS LÄN</t>
        </is>
      </c>
      <c r="E5183" t="inlineStr">
        <is>
          <t>NORDANSTIG</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23378-2022</t>
        </is>
      </c>
      <c r="B5184" s="1" t="n">
        <v>44720</v>
      </c>
      <c r="C5184" s="1" t="n">
        <v>45357</v>
      </c>
      <c r="D5184" t="inlineStr">
        <is>
          <t>GÄVLEBORGS LÄN</t>
        </is>
      </c>
      <c r="E5184" t="inlineStr">
        <is>
          <t>BOLLNÄS</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23369-2022</t>
        </is>
      </c>
      <c r="B5185" s="1" t="n">
        <v>44720</v>
      </c>
      <c r="C5185" s="1" t="n">
        <v>45357</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23367-2022</t>
        </is>
      </c>
      <c r="B5186" s="1" t="n">
        <v>44720</v>
      </c>
      <c r="C5186" s="1" t="n">
        <v>45357</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23400-2022</t>
        </is>
      </c>
      <c r="B5187" s="1" t="n">
        <v>44720</v>
      </c>
      <c r="C5187" s="1" t="n">
        <v>45357</v>
      </c>
      <c r="D5187" t="inlineStr">
        <is>
          <t>GÄVLEBORGS LÄN</t>
        </is>
      </c>
      <c r="E5187" t="inlineStr">
        <is>
          <t>GÄVLE</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23652-2022</t>
        </is>
      </c>
      <c r="B5188" s="1" t="n">
        <v>44721</v>
      </c>
      <c r="C5188" s="1" t="n">
        <v>45357</v>
      </c>
      <c r="D5188" t="inlineStr">
        <is>
          <t>GÄVLEBORGS LÄN</t>
        </is>
      </c>
      <c r="E5188" t="inlineStr">
        <is>
          <t>LJUSDAL</t>
        </is>
      </c>
      <c r="F5188" t="inlineStr">
        <is>
          <t>Sveaskog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23619-2022</t>
        </is>
      </c>
      <c r="B5189" s="1" t="n">
        <v>44721</v>
      </c>
      <c r="C5189" s="1" t="n">
        <v>45357</v>
      </c>
      <c r="D5189" t="inlineStr">
        <is>
          <t>GÄVLEBORGS LÄN</t>
        </is>
      </c>
      <c r="E5189" t="inlineStr">
        <is>
          <t>LJUSDAL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23881-2022</t>
        </is>
      </c>
      <c r="B5190" s="1" t="n">
        <v>44722</v>
      </c>
      <c r="C5190" s="1" t="n">
        <v>45357</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23919-2022</t>
        </is>
      </c>
      <c r="B5191" s="1" t="n">
        <v>44722</v>
      </c>
      <c r="C5191" s="1" t="n">
        <v>45357</v>
      </c>
      <c r="D5191" t="inlineStr">
        <is>
          <t>GÄVLEBORGS LÄN</t>
        </is>
      </c>
      <c r="E5191" t="inlineStr">
        <is>
          <t>HUDIKSVALL</t>
        </is>
      </c>
      <c r="F5191" t="inlineStr">
        <is>
          <t>Holmen skog AB</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23925-2022</t>
        </is>
      </c>
      <c r="B5192" s="1" t="n">
        <v>44722</v>
      </c>
      <c r="C5192" s="1" t="n">
        <v>45357</v>
      </c>
      <c r="D5192" t="inlineStr">
        <is>
          <t>GÄVLEBORGS LÄN</t>
        </is>
      </c>
      <c r="E5192" t="inlineStr">
        <is>
          <t>BOLLNÄS</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23885-2022</t>
        </is>
      </c>
      <c r="B5193" s="1" t="n">
        <v>44722</v>
      </c>
      <c r="C5193" s="1" t="n">
        <v>45357</v>
      </c>
      <c r="D5193" t="inlineStr">
        <is>
          <t>GÄVLEBORGS LÄN</t>
        </is>
      </c>
      <c r="E5193" t="inlineStr">
        <is>
          <t>NORDANSTIG</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23965-2022</t>
        </is>
      </c>
      <c r="B5194" s="1" t="n">
        <v>44722</v>
      </c>
      <c r="C5194" s="1" t="n">
        <v>45357</v>
      </c>
      <c r="D5194" t="inlineStr">
        <is>
          <t>GÄVLEBORGS LÄN</t>
        </is>
      </c>
      <c r="E5194" t="inlineStr">
        <is>
          <t>NORDANSTIG</t>
        </is>
      </c>
      <c r="F5194" t="inlineStr">
        <is>
          <t>Holmen skog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23982-2022</t>
        </is>
      </c>
      <c r="B5195" s="1" t="n">
        <v>44723</v>
      </c>
      <c r="C5195" s="1" t="n">
        <v>45357</v>
      </c>
      <c r="D5195" t="inlineStr">
        <is>
          <t>GÄVLEBORGS LÄN</t>
        </is>
      </c>
      <c r="E5195" t="inlineStr">
        <is>
          <t>LJUSDAL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23957-2022</t>
        </is>
      </c>
      <c r="B5196" s="1" t="n">
        <v>44722</v>
      </c>
      <c r="C5196" s="1" t="n">
        <v>45357</v>
      </c>
      <c r="D5196" t="inlineStr">
        <is>
          <t>GÄVLEBORGS LÄN</t>
        </is>
      </c>
      <c r="E5196" t="inlineStr">
        <is>
          <t>LJUSDAL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23985-2022</t>
        </is>
      </c>
      <c r="B5197" s="1" t="n">
        <v>44723</v>
      </c>
      <c r="C5197" s="1" t="n">
        <v>45357</v>
      </c>
      <c r="D5197" t="inlineStr">
        <is>
          <t>GÄVLEBORGS LÄN</t>
        </is>
      </c>
      <c r="E5197" t="inlineStr">
        <is>
          <t>LJUSDAL</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24205-2022</t>
        </is>
      </c>
      <c r="B5198" s="1" t="n">
        <v>44725</v>
      </c>
      <c r="C5198" s="1" t="n">
        <v>45357</v>
      </c>
      <c r="D5198" t="inlineStr">
        <is>
          <t>GÄVLEBORGS LÄN</t>
        </is>
      </c>
      <c r="E5198" t="inlineStr">
        <is>
          <t>LJUSDAL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24095-2022</t>
        </is>
      </c>
      <c r="B5199" s="1" t="n">
        <v>44725</v>
      </c>
      <c r="C5199" s="1" t="n">
        <v>45357</v>
      </c>
      <c r="D5199" t="inlineStr">
        <is>
          <t>GÄVLEBORGS LÄN</t>
        </is>
      </c>
      <c r="E5199" t="inlineStr">
        <is>
          <t>OVANÅKER</t>
        </is>
      </c>
      <c r="F5199" t="inlineStr">
        <is>
          <t>Bergvik skog väst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24219-2022</t>
        </is>
      </c>
      <c r="B5200" s="1" t="n">
        <v>44725</v>
      </c>
      <c r="C5200" s="1" t="n">
        <v>45357</v>
      </c>
      <c r="D5200" t="inlineStr">
        <is>
          <t>GÄVLEBORGS LÄN</t>
        </is>
      </c>
      <c r="E5200" t="inlineStr">
        <is>
          <t>NORDANSTIG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24228-2022</t>
        </is>
      </c>
      <c r="B5201" s="1" t="n">
        <v>44725</v>
      </c>
      <c r="C5201" s="1" t="n">
        <v>45357</v>
      </c>
      <c r="D5201" t="inlineStr">
        <is>
          <t>GÄVLEBORGS LÄN</t>
        </is>
      </c>
      <c r="E5201" t="inlineStr">
        <is>
          <t>OCKELBO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24208-2022</t>
        </is>
      </c>
      <c r="B5202" s="1" t="n">
        <v>44725</v>
      </c>
      <c r="C5202" s="1" t="n">
        <v>45357</v>
      </c>
      <c r="D5202" t="inlineStr">
        <is>
          <t>GÄVLEBORGS LÄN</t>
        </is>
      </c>
      <c r="E5202" t="inlineStr">
        <is>
          <t>LJUSDAL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24217-2022</t>
        </is>
      </c>
      <c r="B5203" s="1" t="n">
        <v>44725</v>
      </c>
      <c r="C5203" s="1" t="n">
        <v>45357</v>
      </c>
      <c r="D5203" t="inlineStr">
        <is>
          <t>GÄVLEBORGS LÄN</t>
        </is>
      </c>
      <c r="E5203" t="inlineStr">
        <is>
          <t>LJUSDAL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24102-2022</t>
        </is>
      </c>
      <c r="B5204" s="1" t="n">
        <v>44725</v>
      </c>
      <c r="C5204" s="1" t="n">
        <v>45357</v>
      </c>
      <c r="D5204" t="inlineStr">
        <is>
          <t>GÄVLEBORGS LÄN</t>
        </is>
      </c>
      <c r="E5204" t="inlineStr">
        <is>
          <t>LJUSDAL</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24347-2022</t>
        </is>
      </c>
      <c r="B5205" s="1" t="n">
        <v>44726</v>
      </c>
      <c r="C5205" s="1" t="n">
        <v>45357</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24340-2022</t>
        </is>
      </c>
      <c r="B5206" s="1" t="n">
        <v>44726</v>
      </c>
      <c r="C5206" s="1" t="n">
        <v>45357</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24342-2022</t>
        </is>
      </c>
      <c r="B5207" s="1" t="n">
        <v>44726</v>
      </c>
      <c r="C5207" s="1" t="n">
        <v>45357</v>
      </c>
      <c r="D5207" t="inlineStr">
        <is>
          <t>GÄVLEBORGS LÄN</t>
        </is>
      </c>
      <c r="E5207" t="inlineStr">
        <is>
          <t>LJUSDAL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24457-2022</t>
        </is>
      </c>
      <c r="B5208" s="1" t="n">
        <v>44726</v>
      </c>
      <c r="C5208" s="1" t="n">
        <v>45357</v>
      </c>
      <c r="D5208" t="inlineStr">
        <is>
          <t>GÄVLEBORGS LÄN</t>
        </is>
      </c>
      <c r="E5208" t="inlineStr">
        <is>
          <t>LJUSDAL</t>
        </is>
      </c>
      <c r="F5208" t="inlineStr">
        <is>
          <t>Allmännings- och besparingsskogar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24444-2022</t>
        </is>
      </c>
      <c r="B5209" s="1" t="n">
        <v>44726</v>
      </c>
      <c r="C5209" s="1" t="n">
        <v>45357</v>
      </c>
      <c r="D5209" t="inlineStr">
        <is>
          <t>GÄVLEBORGS LÄN</t>
        </is>
      </c>
      <c r="E5209" t="inlineStr">
        <is>
          <t>LJUSDAL</t>
        </is>
      </c>
      <c r="F5209" t="inlineStr">
        <is>
          <t>Sveaskog</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24491-2022</t>
        </is>
      </c>
      <c r="B5210" s="1" t="n">
        <v>44726</v>
      </c>
      <c r="C5210" s="1" t="n">
        <v>45357</v>
      </c>
      <c r="D5210" t="inlineStr">
        <is>
          <t>GÄVLEBORGS LÄN</t>
        </is>
      </c>
      <c r="E5210" t="inlineStr">
        <is>
          <t>LJUSDAL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24470-2022</t>
        </is>
      </c>
      <c r="B5211" s="1" t="n">
        <v>44726</v>
      </c>
      <c r="C5211" s="1" t="n">
        <v>45357</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24512-2022</t>
        </is>
      </c>
      <c r="B5212" s="1" t="n">
        <v>44726</v>
      </c>
      <c r="C5212" s="1" t="n">
        <v>45357</v>
      </c>
      <c r="D5212" t="inlineStr">
        <is>
          <t>GÄVLEBORGS LÄN</t>
        </is>
      </c>
      <c r="E5212" t="inlineStr">
        <is>
          <t>LJUSDAL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24752-2022</t>
        </is>
      </c>
      <c r="B5213" s="1" t="n">
        <v>44728</v>
      </c>
      <c r="C5213" s="1" t="n">
        <v>45357</v>
      </c>
      <c r="D5213" t="inlineStr">
        <is>
          <t>GÄVLEBORGS LÄN</t>
        </is>
      </c>
      <c r="E5213" t="inlineStr">
        <is>
          <t>LJUSDAL</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24763-2022</t>
        </is>
      </c>
      <c r="B5214" s="1" t="n">
        <v>44728</v>
      </c>
      <c r="C5214" s="1" t="n">
        <v>45357</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24806-2022</t>
        </is>
      </c>
      <c r="B5215" s="1" t="n">
        <v>44728</v>
      </c>
      <c r="C5215" s="1" t="n">
        <v>45357</v>
      </c>
      <c r="D5215" t="inlineStr">
        <is>
          <t>GÄVLEBORGS LÄN</t>
        </is>
      </c>
      <c r="E5215" t="inlineStr">
        <is>
          <t>HUDIKSVALL</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24751-2022</t>
        </is>
      </c>
      <c r="B5216" s="1" t="n">
        <v>44728</v>
      </c>
      <c r="C5216" s="1" t="n">
        <v>45357</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24770-2022</t>
        </is>
      </c>
      <c r="B5217" s="1" t="n">
        <v>44728</v>
      </c>
      <c r="C5217" s="1" t="n">
        <v>45357</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24858-2022</t>
        </is>
      </c>
      <c r="B5218" s="1" t="n">
        <v>44728</v>
      </c>
      <c r="C5218" s="1" t="n">
        <v>45357</v>
      </c>
      <c r="D5218" t="inlineStr">
        <is>
          <t>GÄVLEBORGS LÄN</t>
        </is>
      </c>
      <c r="E5218" t="inlineStr">
        <is>
          <t>OVANÅKER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24808-2022</t>
        </is>
      </c>
      <c r="B5219" s="1" t="n">
        <v>44728</v>
      </c>
      <c r="C5219" s="1" t="n">
        <v>45357</v>
      </c>
      <c r="D5219" t="inlineStr">
        <is>
          <t>GÄVLEBORGS LÄN</t>
        </is>
      </c>
      <c r="E5219" t="inlineStr">
        <is>
          <t>HUDIKSVALL</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24750-2022</t>
        </is>
      </c>
      <c r="B5220" s="1" t="n">
        <v>44728</v>
      </c>
      <c r="C5220" s="1" t="n">
        <v>45357</v>
      </c>
      <c r="D5220" t="inlineStr">
        <is>
          <t>GÄVLEBORGS LÄN</t>
        </is>
      </c>
      <c r="E5220" t="inlineStr">
        <is>
          <t>LJUSDAL</t>
        </is>
      </c>
      <c r="F5220" t="inlineStr">
        <is>
          <t>Sveaskog</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24799-2022</t>
        </is>
      </c>
      <c r="B5221" s="1" t="n">
        <v>44728</v>
      </c>
      <c r="C5221" s="1" t="n">
        <v>45357</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24872-2022</t>
        </is>
      </c>
      <c r="B5222" s="1" t="n">
        <v>44728</v>
      </c>
      <c r="C5222" s="1" t="n">
        <v>45357</v>
      </c>
      <c r="D5222" t="inlineStr">
        <is>
          <t>GÄVLEBORGS LÄN</t>
        </is>
      </c>
      <c r="E5222" t="inlineStr">
        <is>
          <t>HUDIKSVALL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24981-2022</t>
        </is>
      </c>
      <c r="B5223" s="1" t="n">
        <v>44728</v>
      </c>
      <c r="C5223" s="1" t="n">
        <v>45357</v>
      </c>
      <c r="D5223" t="inlineStr">
        <is>
          <t>GÄVLEBORGS LÄN</t>
        </is>
      </c>
      <c r="E5223" t="inlineStr">
        <is>
          <t>BOLLNÄS</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24999-2022</t>
        </is>
      </c>
      <c r="B5224" s="1" t="n">
        <v>44728</v>
      </c>
      <c r="C5224" s="1" t="n">
        <v>45357</v>
      </c>
      <c r="D5224" t="inlineStr">
        <is>
          <t>GÄVLEBORGS LÄN</t>
        </is>
      </c>
      <c r="E5224" t="inlineStr">
        <is>
          <t>NORDANSTIG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25005-2022</t>
        </is>
      </c>
      <c r="B5225" s="1" t="n">
        <v>44729</v>
      </c>
      <c r="C5225" s="1" t="n">
        <v>45357</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25001-2022</t>
        </is>
      </c>
      <c r="B5226" s="1" t="n">
        <v>44728</v>
      </c>
      <c r="C5226" s="1" t="n">
        <v>45357</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24996-2022</t>
        </is>
      </c>
      <c r="B5227" s="1" t="n">
        <v>44729</v>
      </c>
      <c r="C5227" s="1" t="n">
        <v>45357</v>
      </c>
      <c r="D5227" t="inlineStr">
        <is>
          <t>GÄVLEBORGS LÄN</t>
        </is>
      </c>
      <c r="E5227" t="inlineStr">
        <is>
          <t>NORDANSTIG</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24998-2022</t>
        </is>
      </c>
      <c r="B5228" s="1" t="n">
        <v>44729</v>
      </c>
      <c r="C5228" s="1" t="n">
        <v>45357</v>
      </c>
      <c r="D5228" t="inlineStr">
        <is>
          <t>GÄVLEBORGS LÄN</t>
        </is>
      </c>
      <c r="E5228" t="inlineStr">
        <is>
          <t>NORDANSTIG</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25002-2022</t>
        </is>
      </c>
      <c r="B5229" s="1" t="n">
        <v>44728</v>
      </c>
      <c r="C5229" s="1" t="n">
        <v>45357</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24997-2022</t>
        </is>
      </c>
      <c r="B5230" s="1" t="n">
        <v>44729</v>
      </c>
      <c r="C5230" s="1" t="n">
        <v>45357</v>
      </c>
      <c r="D5230" t="inlineStr">
        <is>
          <t>GÄVLEBORGS LÄN</t>
        </is>
      </c>
      <c r="E5230" t="inlineStr">
        <is>
          <t>NORDANSTIG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25088-2022</t>
        </is>
      </c>
      <c r="B5231" s="1" t="n">
        <v>44729</v>
      </c>
      <c r="C5231" s="1" t="n">
        <v>45357</v>
      </c>
      <c r="D5231" t="inlineStr">
        <is>
          <t>GÄVLEBORGS LÄN</t>
        </is>
      </c>
      <c r="E5231" t="inlineStr">
        <is>
          <t>BOLLNÄS</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25075-2022</t>
        </is>
      </c>
      <c r="B5232" s="1" t="n">
        <v>44729</v>
      </c>
      <c r="C5232" s="1" t="n">
        <v>45357</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25116-2022</t>
        </is>
      </c>
      <c r="B5233" s="1" t="n">
        <v>44729</v>
      </c>
      <c r="C5233" s="1" t="n">
        <v>45357</v>
      </c>
      <c r="D5233" t="inlineStr">
        <is>
          <t>GÄVLEBORGS LÄN</t>
        </is>
      </c>
      <c r="E5233" t="inlineStr">
        <is>
          <t>LJUSDAL</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25242-2022</t>
        </is>
      </c>
      <c r="B5234" s="1" t="n">
        <v>44729</v>
      </c>
      <c r="C5234" s="1" t="n">
        <v>45357</v>
      </c>
      <c r="D5234" t="inlineStr">
        <is>
          <t>GÄVLEBORGS LÄN</t>
        </is>
      </c>
      <c r="E5234" t="inlineStr">
        <is>
          <t>BOLLNÄS</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25073-2022</t>
        </is>
      </c>
      <c r="B5235" s="1" t="n">
        <v>44729</v>
      </c>
      <c r="C5235" s="1" t="n">
        <v>45357</v>
      </c>
      <c r="D5235" t="inlineStr">
        <is>
          <t>GÄVLEBORGS LÄN</t>
        </is>
      </c>
      <c r="E5235" t="inlineStr">
        <is>
          <t>OCKELBO</t>
        </is>
      </c>
      <c r="F5235" t="inlineStr">
        <is>
          <t>Bergvik skog väst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25100-2022</t>
        </is>
      </c>
      <c r="B5236" s="1" t="n">
        <v>44729</v>
      </c>
      <c r="C5236" s="1" t="n">
        <v>45357</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25238-2022</t>
        </is>
      </c>
      <c r="B5237" s="1" t="n">
        <v>44729</v>
      </c>
      <c r="C5237" s="1" t="n">
        <v>45357</v>
      </c>
      <c r="D5237" t="inlineStr">
        <is>
          <t>GÄVLEBORGS LÄN</t>
        </is>
      </c>
      <c r="E5237" t="inlineStr">
        <is>
          <t>BOLLNÄS</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25058-2022</t>
        </is>
      </c>
      <c r="B5238" s="1" t="n">
        <v>44729</v>
      </c>
      <c r="C5238" s="1" t="n">
        <v>45357</v>
      </c>
      <c r="D5238" t="inlineStr">
        <is>
          <t>GÄVLEBORGS LÄN</t>
        </is>
      </c>
      <c r="E5238" t="inlineStr">
        <is>
          <t>OVANÅKER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25237-2022</t>
        </is>
      </c>
      <c r="B5239" s="1" t="n">
        <v>44729</v>
      </c>
      <c r="C5239" s="1" t="n">
        <v>45357</v>
      </c>
      <c r="D5239" t="inlineStr">
        <is>
          <t>GÄVLEBORGS LÄN</t>
        </is>
      </c>
      <c r="E5239" t="inlineStr">
        <is>
          <t>SÖDERHAMN</t>
        </is>
      </c>
      <c r="F5239" t="inlineStr">
        <is>
          <t>Bergvik skog väst AB</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25087-2022</t>
        </is>
      </c>
      <c r="B5240" s="1" t="n">
        <v>44729</v>
      </c>
      <c r="C5240" s="1" t="n">
        <v>45357</v>
      </c>
      <c r="D5240" t="inlineStr">
        <is>
          <t>GÄVLEBORGS LÄN</t>
        </is>
      </c>
      <c r="E5240" t="inlineStr">
        <is>
          <t>OVANÅKER</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25239-2022</t>
        </is>
      </c>
      <c r="B5241" s="1" t="n">
        <v>44729</v>
      </c>
      <c r="C5241" s="1" t="n">
        <v>45357</v>
      </c>
      <c r="D5241" t="inlineStr">
        <is>
          <t>GÄVLEBORGS LÄN</t>
        </is>
      </c>
      <c r="E5241" t="inlineStr">
        <is>
          <t>BOLLNÄS</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25200-2022</t>
        </is>
      </c>
      <c r="B5242" s="1" t="n">
        <v>44729</v>
      </c>
      <c r="C5242" s="1" t="n">
        <v>45357</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25110-2022</t>
        </is>
      </c>
      <c r="B5243" s="1" t="n">
        <v>44729</v>
      </c>
      <c r="C5243" s="1" t="n">
        <v>45357</v>
      </c>
      <c r="D5243" t="inlineStr">
        <is>
          <t>GÄVLEBORGS LÄN</t>
        </is>
      </c>
      <c r="E5243" t="inlineStr">
        <is>
          <t>LJUSDAL</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25126-2022</t>
        </is>
      </c>
      <c r="B5244" s="1" t="n">
        <v>44729</v>
      </c>
      <c r="C5244" s="1" t="n">
        <v>45357</v>
      </c>
      <c r="D5244" t="inlineStr">
        <is>
          <t>GÄVLEBORGS LÄN</t>
        </is>
      </c>
      <c r="E5244" t="inlineStr">
        <is>
          <t>LJUSDAL</t>
        </is>
      </c>
      <c r="F5244" t="inlineStr">
        <is>
          <t>Sveaskog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25378-2022</t>
        </is>
      </c>
      <c r="B5245" s="1" t="n">
        <v>44732</v>
      </c>
      <c r="C5245" s="1" t="n">
        <v>45357</v>
      </c>
      <c r="D5245" t="inlineStr">
        <is>
          <t>GÄVLEBORGS LÄN</t>
        </is>
      </c>
      <c r="E5245" t="inlineStr">
        <is>
          <t>SÖDERHAMN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25394-2022</t>
        </is>
      </c>
      <c r="B5246" s="1" t="n">
        <v>44732</v>
      </c>
      <c r="C5246" s="1" t="n">
        <v>45357</v>
      </c>
      <c r="D5246" t="inlineStr">
        <is>
          <t>GÄVLEBORGS LÄN</t>
        </is>
      </c>
      <c r="E5246" t="inlineStr">
        <is>
          <t>OVANÅKER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25409-2022</t>
        </is>
      </c>
      <c r="B5247" s="1" t="n">
        <v>44732</v>
      </c>
      <c r="C5247" s="1" t="n">
        <v>45357</v>
      </c>
      <c r="D5247" t="inlineStr">
        <is>
          <t>GÄVLEBORGS LÄN</t>
        </is>
      </c>
      <c r="E5247" t="inlineStr">
        <is>
          <t>OVANÅKER</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25349-2022</t>
        </is>
      </c>
      <c r="B5248" s="1" t="n">
        <v>44732</v>
      </c>
      <c r="C5248" s="1" t="n">
        <v>45357</v>
      </c>
      <c r="D5248" t="inlineStr">
        <is>
          <t>GÄVLEBORGS LÄN</t>
        </is>
      </c>
      <c r="E5248" t="inlineStr">
        <is>
          <t>HUDIKSVALL</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25447-2022</t>
        </is>
      </c>
      <c r="B5249" s="1" t="n">
        <v>44732</v>
      </c>
      <c r="C5249" s="1" t="n">
        <v>45357</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25453-2022</t>
        </is>
      </c>
      <c r="B5250" s="1" t="n">
        <v>44732</v>
      </c>
      <c r="C5250" s="1" t="n">
        <v>45357</v>
      </c>
      <c r="D5250" t="inlineStr">
        <is>
          <t>GÄVLEBORGS LÄN</t>
        </is>
      </c>
      <c r="E5250" t="inlineStr">
        <is>
          <t>OCKELBO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25460-2022</t>
        </is>
      </c>
      <c r="B5251" s="1" t="n">
        <v>44732</v>
      </c>
      <c r="C5251" s="1" t="n">
        <v>45357</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25415-2022</t>
        </is>
      </c>
      <c r="B5252" s="1" t="n">
        <v>44732</v>
      </c>
      <c r="C5252" s="1" t="n">
        <v>45357</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25629-2022</t>
        </is>
      </c>
      <c r="B5253" s="1" t="n">
        <v>44733</v>
      </c>
      <c r="C5253" s="1" t="n">
        <v>45357</v>
      </c>
      <c r="D5253" t="inlineStr">
        <is>
          <t>GÄVLEBORGS LÄN</t>
        </is>
      </c>
      <c r="E5253" t="inlineStr">
        <is>
          <t>BOLLNÄS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25633-2022</t>
        </is>
      </c>
      <c r="B5254" s="1" t="n">
        <v>44732</v>
      </c>
      <c r="C5254" s="1" t="n">
        <v>45357</v>
      </c>
      <c r="D5254" t="inlineStr">
        <is>
          <t>GÄVLEBORGS LÄN</t>
        </is>
      </c>
      <c r="E5254" t="inlineStr">
        <is>
          <t>BOLLNÄS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25632-2022</t>
        </is>
      </c>
      <c r="B5255" s="1" t="n">
        <v>44733</v>
      </c>
      <c r="C5255" s="1" t="n">
        <v>45357</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25640-2022</t>
        </is>
      </c>
      <c r="B5256" s="1" t="n">
        <v>44732</v>
      </c>
      <c r="C5256" s="1" t="n">
        <v>45357</v>
      </c>
      <c r="D5256" t="inlineStr">
        <is>
          <t>GÄVLEBORGS LÄN</t>
        </is>
      </c>
      <c r="E5256" t="inlineStr">
        <is>
          <t>SÖDERHAMN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25631-2022</t>
        </is>
      </c>
      <c r="B5257" s="1" t="n">
        <v>44732</v>
      </c>
      <c r="C5257" s="1" t="n">
        <v>45357</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25638-2022</t>
        </is>
      </c>
      <c r="B5258" s="1" t="n">
        <v>44733</v>
      </c>
      <c r="C5258" s="1" t="n">
        <v>45357</v>
      </c>
      <c r="D5258" t="inlineStr">
        <is>
          <t>GÄVLEBORGS LÄN</t>
        </is>
      </c>
      <c r="E5258" t="inlineStr">
        <is>
          <t>LJUSDAL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25630-2022</t>
        </is>
      </c>
      <c r="B5259" s="1" t="n">
        <v>44733</v>
      </c>
      <c r="C5259" s="1" t="n">
        <v>45357</v>
      </c>
      <c r="D5259" t="inlineStr">
        <is>
          <t>GÄVLEBORGS LÄN</t>
        </is>
      </c>
      <c r="E5259" t="inlineStr">
        <is>
          <t>LJUSDAL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25634-2022</t>
        </is>
      </c>
      <c r="B5260" s="1" t="n">
        <v>44733</v>
      </c>
      <c r="C5260" s="1" t="n">
        <v>45357</v>
      </c>
      <c r="D5260" t="inlineStr">
        <is>
          <t>GÄVLEBORGS LÄN</t>
        </is>
      </c>
      <c r="E5260" t="inlineStr">
        <is>
          <t>LJUSDAL</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25722-2022</t>
        </is>
      </c>
      <c r="B5261" s="1" t="n">
        <v>44733</v>
      </c>
      <c r="C5261" s="1" t="n">
        <v>45357</v>
      </c>
      <c r="D5261" t="inlineStr">
        <is>
          <t>GÄVLEBORGS LÄN</t>
        </is>
      </c>
      <c r="E5261" t="inlineStr">
        <is>
          <t>GÄVLE</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25684-2022</t>
        </is>
      </c>
      <c r="B5262" s="1" t="n">
        <v>44733</v>
      </c>
      <c r="C5262" s="1" t="n">
        <v>45357</v>
      </c>
      <c r="D5262" t="inlineStr">
        <is>
          <t>GÄVLEBORGS LÄN</t>
        </is>
      </c>
      <c r="E5262" t="inlineStr">
        <is>
          <t>SANDVIKEN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25768-2022</t>
        </is>
      </c>
      <c r="B5263" s="1" t="n">
        <v>44733</v>
      </c>
      <c r="C5263" s="1" t="n">
        <v>45357</v>
      </c>
      <c r="D5263" t="inlineStr">
        <is>
          <t>GÄVLEBORGS LÄN</t>
        </is>
      </c>
      <c r="E5263" t="inlineStr">
        <is>
          <t>GÄVLE</t>
        </is>
      </c>
      <c r="F5263" t="inlineStr">
        <is>
          <t>Bergvik skog öst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25774-2022</t>
        </is>
      </c>
      <c r="B5264" s="1" t="n">
        <v>44733</v>
      </c>
      <c r="C5264" s="1" t="n">
        <v>45357</v>
      </c>
      <c r="D5264" t="inlineStr">
        <is>
          <t>GÄVLEBORGS LÄN</t>
        </is>
      </c>
      <c r="E5264" t="inlineStr">
        <is>
          <t>GÄVLE</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25941-2022</t>
        </is>
      </c>
      <c r="B5265" s="1" t="n">
        <v>44734</v>
      </c>
      <c r="C5265" s="1" t="n">
        <v>45357</v>
      </c>
      <c r="D5265" t="inlineStr">
        <is>
          <t>GÄVLEBORGS LÄN</t>
        </is>
      </c>
      <c r="E5265" t="inlineStr">
        <is>
          <t>SANDVIKEN</t>
        </is>
      </c>
      <c r="F5265" t="inlineStr">
        <is>
          <t>Sveaskog</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25938-2022</t>
        </is>
      </c>
      <c r="B5266" s="1" t="n">
        <v>44734</v>
      </c>
      <c r="C5266" s="1" t="n">
        <v>45357</v>
      </c>
      <c r="D5266" t="inlineStr">
        <is>
          <t>GÄVLEBORGS LÄN</t>
        </is>
      </c>
      <c r="E5266" t="inlineStr">
        <is>
          <t>GÄVLE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26113-2022</t>
        </is>
      </c>
      <c r="B5267" s="1" t="n">
        <v>44734</v>
      </c>
      <c r="C5267" s="1" t="n">
        <v>45357</v>
      </c>
      <c r="D5267" t="inlineStr">
        <is>
          <t>GÄVLEBORGS LÄN</t>
        </is>
      </c>
      <c r="E5267" t="inlineStr">
        <is>
          <t>NORDANSTIG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26249-2022</t>
        </is>
      </c>
      <c r="B5268" s="1" t="n">
        <v>44735</v>
      </c>
      <c r="C5268" s="1" t="n">
        <v>45357</v>
      </c>
      <c r="D5268" t="inlineStr">
        <is>
          <t>GÄVLEBORGS LÄN</t>
        </is>
      </c>
      <c r="E5268" t="inlineStr">
        <is>
          <t>GÄVLE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26304-2022</t>
        </is>
      </c>
      <c r="B5269" s="1" t="n">
        <v>44735</v>
      </c>
      <c r="C5269" s="1" t="n">
        <v>45357</v>
      </c>
      <c r="D5269" t="inlineStr">
        <is>
          <t>GÄVLEBORGS LÄN</t>
        </is>
      </c>
      <c r="E5269" t="inlineStr">
        <is>
          <t>BOLLNÄS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26157-2022</t>
        </is>
      </c>
      <c r="B5270" s="1" t="n">
        <v>44735</v>
      </c>
      <c r="C5270" s="1" t="n">
        <v>45357</v>
      </c>
      <c r="D5270" t="inlineStr">
        <is>
          <t>GÄVLEBORGS LÄN</t>
        </is>
      </c>
      <c r="E5270" t="inlineStr">
        <is>
          <t>GÄVLE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26336-2022</t>
        </is>
      </c>
      <c r="B5271" s="1" t="n">
        <v>44735</v>
      </c>
      <c r="C5271" s="1" t="n">
        <v>45357</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26150-2022</t>
        </is>
      </c>
      <c r="B5272" s="1" t="n">
        <v>44735</v>
      </c>
      <c r="C5272" s="1" t="n">
        <v>45357</v>
      </c>
      <c r="D5272" t="inlineStr">
        <is>
          <t>GÄVLEBORGS LÄN</t>
        </is>
      </c>
      <c r="E5272" t="inlineStr">
        <is>
          <t>OCKELBO</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26228-2022</t>
        </is>
      </c>
      <c r="B5273" s="1" t="n">
        <v>44735</v>
      </c>
      <c r="C5273" s="1" t="n">
        <v>45357</v>
      </c>
      <c r="D5273" t="inlineStr">
        <is>
          <t>GÄVLEBORGS LÄN</t>
        </is>
      </c>
      <c r="E5273" t="inlineStr">
        <is>
          <t>LJUSDAL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26271-2022</t>
        </is>
      </c>
      <c r="B5274" s="1" t="n">
        <v>44735</v>
      </c>
      <c r="C5274" s="1" t="n">
        <v>45357</v>
      </c>
      <c r="D5274" t="inlineStr">
        <is>
          <t>GÄVLEBORGS LÄN</t>
        </is>
      </c>
      <c r="E5274" t="inlineStr">
        <is>
          <t>LJUSDAL</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26152-2022</t>
        </is>
      </c>
      <c r="B5275" s="1" t="n">
        <v>44735</v>
      </c>
      <c r="C5275" s="1" t="n">
        <v>45357</v>
      </c>
      <c r="D5275" t="inlineStr">
        <is>
          <t>GÄVLEBORGS LÄN</t>
        </is>
      </c>
      <c r="E5275" t="inlineStr">
        <is>
          <t>OCKELBO</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26176-2022</t>
        </is>
      </c>
      <c r="B5276" s="1" t="n">
        <v>44735</v>
      </c>
      <c r="C5276" s="1" t="n">
        <v>45357</v>
      </c>
      <c r="D5276" t="inlineStr">
        <is>
          <t>GÄVLEBORGS LÄN</t>
        </is>
      </c>
      <c r="E5276" t="inlineStr">
        <is>
          <t>LJUSDAL</t>
        </is>
      </c>
      <c r="F5276" t="inlineStr">
        <is>
          <t>Naturvårdsverket</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26301-2022</t>
        </is>
      </c>
      <c r="B5277" s="1" t="n">
        <v>44735</v>
      </c>
      <c r="C5277" s="1" t="n">
        <v>45357</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26334-2022</t>
        </is>
      </c>
      <c r="B5278" s="1" t="n">
        <v>44735</v>
      </c>
      <c r="C5278" s="1" t="n">
        <v>45357</v>
      </c>
      <c r="D5278" t="inlineStr">
        <is>
          <t>GÄVLEBORGS LÄN</t>
        </is>
      </c>
      <c r="E5278" t="inlineStr">
        <is>
          <t>GÄVLE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26349-2022</t>
        </is>
      </c>
      <c r="B5279" s="1" t="n">
        <v>44735</v>
      </c>
      <c r="C5279" s="1" t="n">
        <v>45357</v>
      </c>
      <c r="D5279" t="inlineStr">
        <is>
          <t>GÄVLEBORGS LÄN</t>
        </is>
      </c>
      <c r="E5279" t="inlineStr">
        <is>
          <t>GÄVLE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26554-2022</t>
        </is>
      </c>
      <c r="B5280" s="1" t="n">
        <v>44739</v>
      </c>
      <c r="C5280" s="1" t="n">
        <v>45357</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26564-2022</t>
        </is>
      </c>
      <c r="B5281" s="1" t="n">
        <v>44739</v>
      </c>
      <c r="C5281" s="1" t="n">
        <v>45357</v>
      </c>
      <c r="D5281" t="inlineStr">
        <is>
          <t>GÄVLEBORGS LÄN</t>
        </is>
      </c>
      <c r="E5281" t="inlineStr">
        <is>
          <t>GÄVLE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26651-2022</t>
        </is>
      </c>
      <c r="B5282" s="1" t="n">
        <v>44739</v>
      </c>
      <c r="C5282" s="1" t="n">
        <v>45357</v>
      </c>
      <c r="D5282" t="inlineStr">
        <is>
          <t>GÄVLEBORGS LÄN</t>
        </is>
      </c>
      <c r="E5282" t="inlineStr">
        <is>
          <t>HUDIKSVALL</t>
        </is>
      </c>
      <c r="F5282" t="inlineStr">
        <is>
          <t>Naturvårdsverket</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26711-2022</t>
        </is>
      </c>
      <c r="B5283" s="1" t="n">
        <v>44739</v>
      </c>
      <c r="C5283" s="1" t="n">
        <v>45357</v>
      </c>
      <c r="D5283" t="inlineStr">
        <is>
          <t>GÄVLEBORGS LÄN</t>
        </is>
      </c>
      <c r="E5283" t="inlineStr">
        <is>
          <t>SANDVIKEN</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26547-2022</t>
        </is>
      </c>
      <c r="B5284" s="1" t="n">
        <v>44739</v>
      </c>
      <c r="C5284" s="1" t="n">
        <v>45357</v>
      </c>
      <c r="D5284" t="inlineStr">
        <is>
          <t>GÄVLEBORGS LÄN</t>
        </is>
      </c>
      <c r="E5284" t="inlineStr">
        <is>
          <t>NORDANSTIG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26728-2022</t>
        </is>
      </c>
      <c r="B5285" s="1" t="n">
        <v>44740</v>
      </c>
      <c r="C5285" s="1" t="n">
        <v>45357</v>
      </c>
      <c r="D5285" t="inlineStr">
        <is>
          <t>GÄVLEBORGS LÄN</t>
        </is>
      </c>
      <c r="E5285" t="inlineStr">
        <is>
          <t>NORDANSTIG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26821-2022</t>
        </is>
      </c>
      <c r="B5286" s="1" t="n">
        <v>44740</v>
      </c>
      <c r="C5286" s="1" t="n">
        <v>45357</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26939-2022</t>
        </is>
      </c>
      <c r="B5287" s="1" t="n">
        <v>44740</v>
      </c>
      <c r="C5287" s="1" t="n">
        <v>45357</v>
      </c>
      <c r="D5287" t="inlineStr">
        <is>
          <t>GÄVLEBORGS LÄN</t>
        </is>
      </c>
      <c r="E5287" t="inlineStr">
        <is>
          <t>SÖDERHAMN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26941-2022</t>
        </is>
      </c>
      <c r="B5288" s="1" t="n">
        <v>44740</v>
      </c>
      <c r="C5288" s="1" t="n">
        <v>45357</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26940-2022</t>
        </is>
      </c>
      <c r="B5289" s="1" t="n">
        <v>44740</v>
      </c>
      <c r="C5289" s="1" t="n">
        <v>45357</v>
      </c>
      <c r="D5289" t="inlineStr">
        <is>
          <t>GÄVLEBORGS LÄN</t>
        </is>
      </c>
      <c r="E5289" t="inlineStr">
        <is>
          <t>SÖDERHAMN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26955-2022</t>
        </is>
      </c>
      <c r="B5290" s="1" t="n">
        <v>44740</v>
      </c>
      <c r="C5290" s="1" t="n">
        <v>45357</v>
      </c>
      <c r="D5290" t="inlineStr">
        <is>
          <t>GÄVLEBORGS LÄN</t>
        </is>
      </c>
      <c r="E5290" t="inlineStr">
        <is>
          <t>LJUSDAL</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26976-2022</t>
        </is>
      </c>
      <c r="B5291" s="1" t="n">
        <v>44740</v>
      </c>
      <c r="C5291" s="1" t="n">
        <v>45357</v>
      </c>
      <c r="D5291" t="inlineStr">
        <is>
          <t>GÄVLEBORGS LÄN</t>
        </is>
      </c>
      <c r="E5291" t="inlineStr">
        <is>
          <t>LJUSDAL</t>
        </is>
      </c>
      <c r="F5291" t="inlineStr">
        <is>
          <t>Holmen skog AB</t>
        </is>
      </c>
      <c r="G5291" t="n">
        <v>10.8</v>
      </c>
      <c r="H5291" t="n">
        <v>0</v>
      </c>
      <c r="I5291" t="n">
        <v>0</v>
      </c>
      <c r="J5291" t="n">
        <v>0</v>
      </c>
      <c r="K5291" t="n">
        <v>0</v>
      </c>
      <c r="L5291" t="n">
        <v>0</v>
      </c>
      <c r="M5291" t="n">
        <v>0</v>
      </c>
      <c r="N5291" t="n">
        <v>0</v>
      </c>
      <c r="O5291" t="n">
        <v>0</v>
      </c>
      <c r="P5291" t="n">
        <v>0</v>
      </c>
      <c r="Q5291" t="n">
        <v>0</v>
      </c>
      <c r="R5291" s="2" t="inlineStr"/>
      <c r="U5291">
        <f>HYPERLINK("https://klasma.github.io/Logging_2161/knärot/A 26976-2022 karta knärot.png", "A 26976-2022")</f>
        <v/>
      </c>
      <c r="V5291">
        <f>HYPERLINK("https://klasma.github.io/Logging_2161/klagomål/A 26976-2022 FSC-klagomål.docx", "A 26976-2022")</f>
        <v/>
      </c>
      <c r="W5291">
        <f>HYPERLINK("https://klasma.github.io/Logging_2161/klagomålsmail/A 26976-2022 FSC-klagomål mail.docx", "A 26976-2022")</f>
        <v/>
      </c>
      <c r="X5291">
        <f>HYPERLINK("https://klasma.github.io/Logging_2161/tillsyn/A 26976-2022 tillsynsbegäran.docx", "A 26976-2022")</f>
        <v/>
      </c>
      <c r="Y5291">
        <f>HYPERLINK("https://klasma.github.io/Logging_2161/tillsynsmail/A 26976-2022 tillsynsbegäran mail.docx", "A 26976-2022")</f>
        <v/>
      </c>
    </row>
    <row r="5292" ht="15" customHeight="1">
      <c r="A5292" t="inlineStr">
        <is>
          <t>A 26953-2022</t>
        </is>
      </c>
      <c r="B5292" s="1" t="n">
        <v>44740</v>
      </c>
      <c r="C5292" s="1" t="n">
        <v>45357</v>
      </c>
      <c r="D5292" t="inlineStr">
        <is>
          <t>GÄVLEBORGS LÄN</t>
        </is>
      </c>
      <c r="E5292" t="inlineStr">
        <is>
          <t>OVANÅKER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26978-2022</t>
        </is>
      </c>
      <c r="B5293" s="1" t="n">
        <v>44740</v>
      </c>
      <c r="C5293" s="1" t="n">
        <v>45357</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27182-2022</t>
        </is>
      </c>
      <c r="B5294" s="1" t="n">
        <v>44741</v>
      </c>
      <c r="C5294" s="1" t="n">
        <v>45357</v>
      </c>
      <c r="D5294" t="inlineStr">
        <is>
          <t>GÄVLEBORGS LÄN</t>
        </is>
      </c>
      <c r="E5294" t="inlineStr">
        <is>
          <t>GÄVLE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27060-2022</t>
        </is>
      </c>
      <c r="B5295" s="1" t="n">
        <v>44741</v>
      </c>
      <c r="C5295" s="1" t="n">
        <v>45357</v>
      </c>
      <c r="D5295" t="inlineStr">
        <is>
          <t>GÄVLEBORGS LÄN</t>
        </is>
      </c>
      <c r="E5295" t="inlineStr">
        <is>
          <t>HUDIKSVALL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27051-2022</t>
        </is>
      </c>
      <c r="B5296" s="1" t="n">
        <v>44741</v>
      </c>
      <c r="C5296" s="1" t="n">
        <v>45357</v>
      </c>
      <c r="D5296" t="inlineStr">
        <is>
          <t>GÄVLEBORGS LÄN</t>
        </is>
      </c>
      <c r="E5296" t="inlineStr">
        <is>
          <t>HUDIKSVALL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27247-2022</t>
        </is>
      </c>
      <c r="B5297" s="1" t="n">
        <v>44741</v>
      </c>
      <c r="C5297" s="1" t="n">
        <v>45357</v>
      </c>
      <c r="D5297" t="inlineStr">
        <is>
          <t>GÄVLEBORGS LÄN</t>
        </is>
      </c>
      <c r="E5297" t="inlineStr">
        <is>
          <t>LJUSDAL</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27276-2022</t>
        </is>
      </c>
      <c r="B5298" s="1" t="n">
        <v>44742</v>
      </c>
      <c r="C5298" s="1" t="n">
        <v>45357</v>
      </c>
      <c r="D5298" t="inlineStr">
        <is>
          <t>GÄVLEBORGS LÄN</t>
        </is>
      </c>
      <c r="E5298" t="inlineStr">
        <is>
          <t>NORDANSTIG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27248-2022</t>
        </is>
      </c>
      <c r="B5299" s="1" t="n">
        <v>44741</v>
      </c>
      <c r="C5299" s="1" t="n">
        <v>45357</v>
      </c>
      <c r="D5299" t="inlineStr">
        <is>
          <t>GÄVLEBORGS LÄN</t>
        </is>
      </c>
      <c r="E5299" t="inlineStr">
        <is>
          <t>LJUSDAL</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27355-2022</t>
        </is>
      </c>
      <c r="B5300" s="1" t="n">
        <v>44742</v>
      </c>
      <c r="C5300" s="1" t="n">
        <v>45357</v>
      </c>
      <c r="D5300" t="inlineStr">
        <is>
          <t>GÄVLEBORGS LÄN</t>
        </is>
      </c>
      <c r="E5300" t="inlineStr">
        <is>
          <t>GÄVLE</t>
        </is>
      </c>
      <c r="F5300" t="inlineStr">
        <is>
          <t>Bergvik skog öst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27320-2022</t>
        </is>
      </c>
      <c r="B5301" s="1" t="n">
        <v>44742</v>
      </c>
      <c r="C5301" s="1" t="n">
        <v>45357</v>
      </c>
      <c r="D5301" t="inlineStr">
        <is>
          <t>GÄVLEBORGS LÄN</t>
        </is>
      </c>
      <c r="E5301" t="inlineStr">
        <is>
          <t>LJUSDAL</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27539-2022</t>
        </is>
      </c>
      <c r="B5302" s="1" t="n">
        <v>44742</v>
      </c>
      <c r="C5302" s="1" t="n">
        <v>45357</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27695-2022</t>
        </is>
      </c>
      <c r="B5303" s="1" t="n">
        <v>44743</v>
      </c>
      <c r="C5303" s="1" t="n">
        <v>45357</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27764-2022</t>
        </is>
      </c>
      <c r="B5304" s="1" t="n">
        <v>44743</v>
      </c>
      <c r="C5304" s="1" t="n">
        <v>45357</v>
      </c>
      <c r="D5304" t="inlineStr">
        <is>
          <t>GÄVLEBORGS LÄN</t>
        </is>
      </c>
      <c r="E5304" t="inlineStr">
        <is>
          <t>LJUSDAL</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27799-2022</t>
        </is>
      </c>
      <c r="B5305" s="1" t="n">
        <v>44743</v>
      </c>
      <c r="C5305" s="1" t="n">
        <v>45357</v>
      </c>
      <c r="D5305" t="inlineStr">
        <is>
          <t>GÄVLEBORGS LÄN</t>
        </is>
      </c>
      <c r="E5305" t="inlineStr">
        <is>
          <t>LJUSDAL</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27809-2022</t>
        </is>
      </c>
      <c r="B5306" s="1" t="n">
        <v>44743</v>
      </c>
      <c r="C5306" s="1" t="n">
        <v>45357</v>
      </c>
      <c r="D5306" t="inlineStr">
        <is>
          <t>GÄVLEBORGS LÄN</t>
        </is>
      </c>
      <c r="E5306" t="inlineStr">
        <is>
          <t>LJUSDAL</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27847-2022</t>
        </is>
      </c>
      <c r="B5307" s="1" t="n">
        <v>44743</v>
      </c>
      <c r="C5307" s="1" t="n">
        <v>45357</v>
      </c>
      <c r="D5307" t="inlineStr">
        <is>
          <t>GÄVLEBORGS LÄN</t>
        </is>
      </c>
      <c r="E5307" t="inlineStr">
        <is>
          <t>SANDVIKEN</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27768-2022</t>
        </is>
      </c>
      <c r="B5308" s="1" t="n">
        <v>44743</v>
      </c>
      <c r="C5308" s="1" t="n">
        <v>45357</v>
      </c>
      <c r="D5308" t="inlineStr">
        <is>
          <t>GÄVLEBORGS LÄN</t>
        </is>
      </c>
      <c r="E5308" t="inlineStr">
        <is>
          <t>LJUSDAL</t>
        </is>
      </c>
      <c r="F5308" t="inlineStr">
        <is>
          <t>Bergvik skog väst AB</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27806-2022</t>
        </is>
      </c>
      <c r="B5309" s="1" t="n">
        <v>44743</v>
      </c>
      <c r="C5309" s="1" t="n">
        <v>45357</v>
      </c>
      <c r="D5309" t="inlineStr">
        <is>
          <t>GÄVLEBORGS LÄN</t>
        </is>
      </c>
      <c r="E5309" t="inlineStr">
        <is>
          <t>LJUSDAL</t>
        </is>
      </c>
      <c r="F5309" t="inlineStr">
        <is>
          <t>Sveaskog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27818-2022</t>
        </is>
      </c>
      <c r="B5310" s="1" t="n">
        <v>44743</v>
      </c>
      <c r="C5310" s="1" t="n">
        <v>45357</v>
      </c>
      <c r="D5310" t="inlineStr">
        <is>
          <t>GÄVLEBORGS LÄN</t>
        </is>
      </c>
      <c r="E5310" t="inlineStr">
        <is>
          <t>LJUSDAL</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27802-2022</t>
        </is>
      </c>
      <c r="B5311" s="1" t="n">
        <v>44743</v>
      </c>
      <c r="C5311" s="1" t="n">
        <v>45357</v>
      </c>
      <c r="D5311" t="inlineStr">
        <is>
          <t>GÄVLEBORGS LÄN</t>
        </is>
      </c>
      <c r="E5311" t="inlineStr">
        <is>
          <t>LJUSDAL</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27915-2022</t>
        </is>
      </c>
      <c r="B5312" s="1" t="n">
        <v>44744</v>
      </c>
      <c r="C5312" s="1" t="n">
        <v>45357</v>
      </c>
      <c r="D5312" t="inlineStr">
        <is>
          <t>GÄVLEBORGS LÄN</t>
        </is>
      </c>
      <c r="E5312" t="inlineStr">
        <is>
          <t>LJUSDAL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27819-2022</t>
        </is>
      </c>
      <c r="B5313" s="1" t="n">
        <v>44743</v>
      </c>
      <c r="C5313" s="1" t="n">
        <v>45357</v>
      </c>
      <c r="D5313" t="inlineStr">
        <is>
          <t>GÄVLEBORGS LÄN</t>
        </is>
      </c>
      <c r="E5313" t="inlineStr">
        <is>
          <t>LJUSDAL</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27914-2022</t>
        </is>
      </c>
      <c r="B5314" s="1" t="n">
        <v>44744</v>
      </c>
      <c r="C5314" s="1" t="n">
        <v>45357</v>
      </c>
      <c r="D5314" t="inlineStr">
        <is>
          <t>GÄVLEBORGS LÄN</t>
        </is>
      </c>
      <c r="E5314" t="inlineStr">
        <is>
          <t>LJUSDAL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27966-2022</t>
        </is>
      </c>
      <c r="B5315" s="1" t="n">
        <v>44744</v>
      </c>
      <c r="C5315" s="1" t="n">
        <v>45357</v>
      </c>
      <c r="D5315" t="inlineStr">
        <is>
          <t>GÄVLEBORGS LÄN</t>
        </is>
      </c>
      <c r="E5315" t="inlineStr">
        <is>
          <t>SANDVIKEN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27967-2022</t>
        </is>
      </c>
      <c r="B5316" s="1" t="n">
        <v>44744</v>
      </c>
      <c r="C5316" s="1" t="n">
        <v>45357</v>
      </c>
      <c r="D5316" t="inlineStr">
        <is>
          <t>GÄVLEBORGS LÄN</t>
        </is>
      </c>
      <c r="E5316" t="inlineStr">
        <is>
          <t>SANDVIKEN</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28007-2022</t>
        </is>
      </c>
      <c r="B5317" s="1" t="n">
        <v>44746</v>
      </c>
      <c r="C5317" s="1" t="n">
        <v>45357</v>
      </c>
      <c r="D5317" t="inlineStr">
        <is>
          <t>GÄVLEBORGS LÄN</t>
        </is>
      </c>
      <c r="E5317" t="inlineStr">
        <is>
          <t>HUDIKSVALL</t>
        </is>
      </c>
      <c r="F5317" t="inlineStr">
        <is>
          <t>Holmen skog AB</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28023-2022</t>
        </is>
      </c>
      <c r="B5318" s="1" t="n">
        <v>44746</v>
      </c>
      <c r="C5318" s="1" t="n">
        <v>45357</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28255-2022</t>
        </is>
      </c>
      <c r="B5319" s="1" t="n">
        <v>44746</v>
      </c>
      <c r="C5319" s="1" t="n">
        <v>45357</v>
      </c>
      <c r="D5319" t="inlineStr">
        <is>
          <t>GÄVLEBORGS LÄN</t>
        </is>
      </c>
      <c r="E5319" t="inlineStr">
        <is>
          <t>LJUSDAL</t>
        </is>
      </c>
      <c r="F5319" t="inlineStr">
        <is>
          <t>Allmännings- och besparingsskogar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28231-2022</t>
        </is>
      </c>
      <c r="B5320" s="1" t="n">
        <v>44746</v>
      </c>
      <c r="C5320" s="1" t="n">
        <v>45357</v>
      </c>
      <c r="D5320" t="inlineStr">
        <is>
          <t>GÄVLEBORGS LÄN</t>
        </is>
      </c>
      <c r="E5320" t="inlineStr">
        <is>
          <t>OVANÅKER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28181-2022</t>
        </is>
      </c>
      <c r="B5321" s="1" t="n">
        <v>44746</v>
      </c>
      <c r="C5321" s="1" t="n">
        <v>45357</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28416-2022</t>
        </is>
      </c>
      <c r="B5322" s="1" t="n">
        <v>44747</v>
      </c>
      <c r="C5322" s="1" t="n">
        <v>45357</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28454-2022</t>
        </is>
      </c>
      <c r="B5323" s="1" t="n">
        <v>44747</v>
      </c>
      <c r="C5323" s="1" t="n">
        <v>45357</v>
      </c>
      <c r="D5323" t="inlineStr">
        <is>
          <t>GÄVLEBORGS LÄN</t>
        </is>
      </c>
      <c r="E5323" t="inlineStr">
        <is>
          <t>LJUSDAL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28457-2022</t>
        </is>
      </c>
      <c r="B5324" s="1" t="n">
        <v>44747</v>
      </c>
      <c r="C5324" s="1" t="n">
        <v>45357</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28464-2022</t>
        </is>
      </c>
      <c r="B5325" s="1" t="n">
        <v>44747</v>
      </c>
      <c r="C5325" s="1" t="n">
        <v>45357</v>
      </c>
      <c r="D5325" t="inlineStr">
        <is>
          <t>GÄVLEBORGS LÄN</t>
        </is>
      </c>
      <c r="E5325" t="inlineStr">
        <is>
          <t>LJUSDAL</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28455-2022</t>
        </is>
      </c>
      <c r="B5326" s="1" t="n">
        <v>44747</v>
      </c>
      <c r="C5326" s="1" t="n">
        <v>45357</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28460-2022</t>
        </is>
      </c>
      <c r="B5327" s="1" t="n">
        <v>44747</v>
      </c>
      <c r="C5327" s="1" t="n">
        <v>45357</v>
      </c>
      <c r="D5327" t="inlineStr">
        <is>
          <t>GÄVLEBORGS LÄN</t>
        </is>
      </c>
      <c r="E5327" t="inlineStr">
        <is>
          <t>LJUSDAL</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28527-2022</t>
        </is>
      </c>
      <c r="B5328" s="1" t="n">
        <v>44748</v>
      </c>
      <c r="C5328" s="1" t="n">
        <v>45357</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28628-2022</t>
        </is>
      </c>
      <c r="B5329" s="1" t="n">
        <v>44748</v>
      </c>
      <c r="C5329" s="1" t="n">
        <v>45357</v>
      </c>
      <c r="D5329" t="inlineStr">
        <is>
          <t>GÄVLEBORGS LÄN</t>
        </is>
      </c>
      <c r="E5329" t="inlineStr">
        <is>
          <t>SANDVIKEN</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28546-2022</t>
        </is>
      </c>
      <c r="B5330" s="1" t="n">
        <v>44748</v>
      </c>
      <c r="C5330" s="1" t="n">
        <v>45357</v>
      </c>
      <c r="D5330" t="inlineStr">
        <is>
          <t>GÄVLEBORGS LÄN</t>
        </is>
      </c>
      <c r="E5330" t="inlineStr">
        <is>
          <t>HUDIKSVALL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28553-2022</t>
        </is>
      </c>
      <c r="B5331" s="1" t="n">
        <v>44748</v>
      </c>
      <c r="C5331" s="1" t="n">
        <v>45357</v>
      </c>
      <c r="D5331" t="inlineStr">
        <is>
          <t>GÄVLEBORGS LÄN</t>
        </is>
      </c>
      <c r="E5331" t="inlineStr">
        <is>
          <t>BOLLNÄS</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28648-2022</t>
        </is>
      </c>
      <c r="B5332" s="1" t="n">
        <v>44748</v>
      </c>
      <c r="C5332" s="1" t="n">
        <v>45357</v>
      </c>
      <c r="D5332" t="inlineStr">
        <is>
          <t>GÄVLEBORGS LÄN</t>
        </is>
      </c>
      <c r="E5332" t="inlineStr">
        <is>
          <t>SÖDERHAMN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28649-2022</t>
        </is>
      </c>
      <c r="B5333" s="1" t="n">
        <v>44748</v>
      </c>
      <c r="C5333" s="1" t="n">
        <v>45357</v>
      </c>
      <c r="D5333" t="inlineStr">
        <is>
          <t>GÄVLEBORGS LÄN</t>
        </is>
      </c>
      <c r="E5333" t="inlineStr">
        <is>
          <t>SÖDERHAMN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28711-2022</t>
        </is>
      </c>
      <c r="B5334" s="1" t="n">
        <v>44748</v>
      </c>
      <c r="C5334" s="1" t="n">
        <v>45357</v>
      </c>
      <c r="D5334" t="inlineStr">
        <is>
          <t>GÄVLEBORGS LÄN</t>
        </is>
      </c>
      <c r="E5334" t="inlineStr">
        <is>
          <t>NORDANSTIG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28775-2022</t>
        </is>
      </c>
      <c r="B5335" s="1" t="n">
        <v>44749</v>
      </c>
      <c r="C5335" s="1" t="n">
        <v>45357</v>
      </c>
      <c r="D5335" t="inlineStr">
        <is>
          <t>GÄVLEBORGS LÄN</t>
        </is>
      </c>
      <c r="E5335" t="inlineStr">
        <is>
          <t>OVANÅKER</t>
        </is>
      </c>
      <c r="F5335" t="inlineStr">
        <is>
          <t>Bergvik skog väst AB</t>
        </is>
      </c>
      <c r="G5335" t="n">
        <v>21.9</v>
      </c>
      <c r="H5335" t="n">
        <v>0</v>
      </c>
      <c r="I5335" t="n">
        <v>0</v>
      </c>
      <c r="J5335" t="n">
        <v>0</v>
      </c>
      <c r="K5335" t="n">
        <v>0</v>
      </c>
      <c r="L5335" t="n">
        <v>0</v>
      </c>
      <c r="M5335" t="n">
        <v>0</v>
      </c>
      <c r="N5335" t="n">
        <v>0</v>
      </c>
      <c r="O5335" t="n">
        <v>0</v>
      </c>
      <c r="P5335" t="n">
        <v>0</v>
      </c>
      <c r="Q5335" t="n">
        <v>0</v>
      </c>
      <c r="R5335" s="2" t="inlineStr"/>
    </row>
    <row r="5336" ht="15" customHeight="1">
      <c r="A5336" t="inlineStr">
        <is>
          <t>A 28757-2022</t>
        </is>
      </c>
      <c r="B5336" s="1" t="n">
        <v>44749</v>
      </c>
      <c r="C5336" s="1" t="n">
        <v>45357</v>
      </c>
      <c r="D5336" t="inlineStr">
        <is>
          <t>GÄVLEBORGS LÄN</t>
        </is>
      </c>
      <c r="E5336" t="inlineStr">
        <is>
          <t>GÄVLE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28841-2022</t>
        </is>
      </c>
      <c r="B5337" s="1" t="n">
        <v>44749</v>
      </c>
      <c r="C5337" s="1" t="n">
        <v>45357</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28846-2022</t>
        </is>
      </c>
      <c r="B5338" s="1" t="n">
        <v>44749</v>
      </c>
      <c r="C5338" s="1" t="n">
        <v>45357</v>
      </c>
      <c r="D5338" t="inlineStr">
        <is>
          <t>GÄVLEBORGS LÄN</t>
        </is>
      </c>
      <c r="E5338" t="inlineStr">
        <is>
          <t>LJUSDAL</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28858-2022</t>
        </is>
      </c>
      <c r="B5339" s="1" t="n">
        <v>44749</v>
      </c>
      <c r="C5339" s="1" t="n">
        <v>45357</v>
      </c>
      <c r="D5339" t="inlineStr">
        <is>
          <t>GÄVLEBORGS LÄN</t>
        </is>
      </c>
      <c r="E5339" t="inlineStr">
        <is>
          <t>OCKELBO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28967-2022</t>
        </is>
      </c>
      <c r="B5340" s="1" t="n">
        <v>44749</v>
      </c>
      <c r="C5340" s="1" t="n">
        <v>45357</v>
      </c>
      <c r="D5340" t="inlineStr">
        <is>
          <t>GÄVLEBORGS LÄN</t>
        </is>
      </c>
      <c r="E5340" t="inlineStr">
        <is>
          <t>HUDIKSVALL</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28979-2022</t>
        </is>
      </c>
      <c r="B5341" s="1" t="n">
        <v>44749</v>
      </c>
      <c r="C5341" s="1" t="n">
        <v>45357</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28981-2022</t>
        </is>
      </c>
      <c r="B5342" s="1" t="n">
        <v>44749</v>
      </c>
      <c r="C5342" s="1" t="n">
        <v>45357</v>
      </c>
      <c r="D5342" t="inlineStr">
        <is>
          <t>GÄVLEBORGS LÄN</t>
        </is>
      </c>
      <c r="E5342" t="inlineStr">
        <is>
          <t>BOLLNÄS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28870-2022</t>
        </is>
      </c>
      <c r="B5343" s="1" t="n">
        <v>44749</v>
      </c>
      <c r="C5343" s="1" t="n">
        <v>45357</v>
      </c>
      <c r="D5343" t="inlineStr">
        <is>
          <t>GÄVLEBORGS LÄN</t>
        </is>
      </c>
      <c r="E5343" t="inlineStr">
        <is>
          <t>HOFORS</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28983-2022</t>
        </is>
      </c>
      <c r="B5344" s="1" t="n">
        <v>44749</v>
      </c>
      <c r="C5344" s="1" t="n">
        <v>45357</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29267-2022</t>
        </is>
      </c>
      <c r="B5345" s="1" t="n">
        <v>44750</v>
      </c>
      <c r="C5345" s="1" t="n">
        <v>45357</v>
      </c>
      <c r="D5345" t="inlineStr">
        <is>
          <t>GÄVLEBORGS LÄN</t>
        </is>
      </c>
      <c r="E5345" t="inlineStr">
        <is>
          <t>LJUSDAL</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29241-2022</t>
        </is>
      </c>
      <c r="B5346" s="1" t="n">
        <v>44750</v>
      </c>
      <c r="C5346" s="1" t="n">
        <v>45357</v>
      </c>
      <c r="D5346" t="inlineStr">
        <is>
          <t>GÄVLEBORGS LÄN</t>
        </is>
      </c>
      <c r="E5346" t="inlineStr">
        <is>
          <t>BOLLNÄS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29100-2022</t>
        </is>
      </c>
      <c r="B5347" s="1" t="n">
        <v>44750</v>
      </c>
      <c r="C5347" s="1" t="n">
        <v>45357</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29263-2022</t>
        </is>
      </c>
      <c r="B5348" s="1" t="n">
        <v>44750</v>
      </c>
      <c r="C5348" s="1" t="n">
        <v>45357</v>
      </c>
      <c r="D5348" t="inlineStr">
        <is>
          <t>GÄVLEBORGS LÄN</t>
        </is>
      </c>
      <c r="E5348" t="inlineStr">
        <is>
          <t>LJUSDAL</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29272-2022</t>
        </is>
      </c>
      <c r="B5349" s="1" t="n">
        <v>44750</v>
      </c>
      <c r="C5349" s="1" t="n">
        <v>45357</v>
      </c>
      <c r="D5349" t="inlineStr">
        <is>
          <t>GÄVLEBORGS LÄN</t>
        </is>
      </c>
      <c r="E5349" t="inlineStr">
        <is>
          <t>OVANÅKER</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29197-2022</t>
        </is>
      </c>
      <c r="B5350" s="1" t="n">
        <v>44750</v>
      </c>
      <c r="C5350" s="1" t="n">
        <v>45357</v>
      </c>
      <c r="D5350" t="inlineStr">
        <is>
          <t>GÄVLEBORGS LÄN</t>
        </is>
      </c>
      <c r="E5350" t="inlineStr">
        <is>
          <t>GÄVLE</t>
        </is>
      </c>
      <c r="F5350" t="inlineStr">
        <is>
          <t>Kommuner</t>
        </is>
      </c>
      <c r="G5350" t="n">
        <v>92.59999999999999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29289-2022</t>
        </is>
      </c>
      <c r="B5351" s="1" t="n">
        <v>44750</v>
      </c>
      <c r="C5351" s="1" t="n">
        <v>45357</v>
      </c>
      <c r="D5351" t="inlineStr">
        <is>
          <t>GÄVLEBORGS LÄN</t>
        </is>
      </c>
      <c r="E5351" t="inlineStr">
        <is>
          <t>SÖDERHAMN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29601-2022</t>
        </is>
      </c>
      <c r="B5352" s="1" t="n">
        <v>44754</v>
      </c>
      <c r="C5352" s="1" t="n">
        <v>45357</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29670-2022</t>
        </is>
      </c>
      <c r="B5353" s="1" t="n">
        <v>44754</v>
      </c>
      <c r="C5353" s="1" t="n">
        <v>45357</v>
      </c>
      <c r="D5353" t="inlineStr">
        <is>
          <t>GÄVLEBORGS LÄN</t>
        </is>
      </c>
      <c r="E5353" t="inlineStr">
        <is>
          <t>SANDVIKEN</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29659-2022</t>
        </is>
      </c>
      <c r="B5354" s="1" t="n">
        <v>44754</v>
      </c>
      <c r="C5354" s="1" t="n">
        <v>45357</v>
      </c>
      <c r="D5354" t="inlineStr">
        <is>
          <t>GÄVLEBORGS LÄN</t>
        </is>
      </c>
      <c r="E5354" t="inlineStr">
        <is>
          <t>HUDIKSVALL</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29671-2022</t>
        </is>
      </c>
      <c r="B5355" s="1" t="n">
        <v>44754</v>
      </c>
      <c r="C5355" s="1" t="n">
        <v>45357</v>
      </c>
      <c r="D5355" t="inlineStr">
        <is>
          <t>GÄVLEBORGS LÄN</t>
        </is>
      </c>
      <c r="E5355" t="inlineStr">
        <is>
          <t>SANDVIKEN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29676-2022</t>
        </is>
      </c>
      <c r="B5356" s="1" t="n">
        <v>44754</v>
      </c>
      <c r="C5356" s="1" t="n">
        <v>45357</v>
      </c>
      <c r="D5356" t="inlineStr">
        <is>
          <t>GÄVLEBORGS LÄN</t>
        </is>
      </c>
      <c r="E5356" t="inlineStr">
        <is>
          <t>OVANÅKER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29762-2022</t>
        </is>
      </c>
      <c r="B5357" s="1" t="n">
        <v>44755</v>
      </c>
      <c r="C5357" s="1" t="n">
        <v>45357</v>
      </c>
      <c r="D5357" t="inlineStr">
        <is>
          <t>GÄVLEBORGS LÄN</t>
        </is>
      </c>
      <c r="E5357" t="inlineStr">
        <is>
          <t>OVANÅKER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29705-2022</t>
        </is>
      </c>
      <c r="B5358" s="1" t="n">
        <v>44755</v>
      </c>
      <c r="C5358" s="1" t="n">
        <v>45357</v>
      </c>
      <c r="D5358" t="inlineStr">
        <is>
          <t>GÄVLEBORGS LÄN</t>
        </is>
      </c>
      <c r="E5358" t="inlineStr">
        <is>
          <t>SANDVIKEN</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29929-2022</t>
        </is>
      </c>
      <c r="B5359" s="1" t="n">
        <v>44756</v>
      </c>
      <c r="C5359" s="1" t="n">
        <v>45357</v>
      </c>
      <c r="D5359" t="inlineStr">
        <is>
          <t>GÄVLEBORGS LÄN</t>
        </is>
      </c>
      <c r="E5359" t="inlineStr">
        <is>
          <t>GÄVLE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29951-2022</t>
        </is>
      </c>
      <c r="B5360" s="1" t="n">
        <v>44756</v>
      </c>
      <c r="C5360" s="1" t="n">
        <v>45357</v>
      </c>
      <c r="D5360" t="inlineStr">
        <is>
          <t>GÄVLEBORGS LÄN</t>
        </is>
      </c>
      <c r="E5360" t="inlineStr">
        <is>
          <t>LJUSDAL</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29905-2022</t>
        </is>
      </c>
      <c r="B5361" s="1" t="n">
        <v>44756</v>
      </c>
      <c r="C5361" s="1" t="n">
        <v>45357</v>
      </c>
      <c r="D5361" t="inlineStr">
        <is>
          <t>GÄVLEBORGS LÄN</t>
        </is>
      </c>
      <c r="E5361" t="inlineStr">
        <is>
          <t>GÄVLE</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29927-2022</t>
        </is>
      </c>
      <c r="B5362" s="1" t="n">
        <v>44756</v>
      </c>
      <c r="C5362" s="1" t="n">
        <v>45357</v>
      </c>
      <c r="D5362" t="inlineStr">
        <is>
          <t>GÄVLEBORGS LÄN</t>
        </is>
      </c>
      <c r="E5362" t="inlineStr">
        <is>
          <t>GÄVLE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29933-2022</t>
        </is>
      </c>
      <c r="B5363" s="1" t="n">
        <v>44756</v>
      </c>
      <c r="C5363" s="1" t="n">
        <v>45357</v>
      </c>
      <c r="D5363" t="inlineStr">
        <is>
          <t>GÄVLEBORGS LÄN</t>
        </is>
      </c>
      <c r="E5363" t="inlineStr">
        <is>
          <t>GÄVLE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29923-2022</t>
        </is>
      </c>
      <c r="B5364" s="1" t="n">
        <v>44756</v>
      </c>
      <c r="C5364" s="1" t="n">
        <v>45357</v>
      </c>
      <c r="D5364" t="inlineStr">
        <is>
          <t>GÄVLEBORGS LÄN</t>
        </is>
      </c>
      <c r="E5364" t="inlineStr">
        <is>
          <t>GÄVLE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29977-2022</t>
        </is>
      </c>
      <c r="B5365" s="1" t="n">
        <v>44756</v>
      </c>
      <c r="C5365" s="1" t="n">
        <v>45357</v>
      </c>
      <c r="D5365" t="inlineStr">
        <is>
          <t>GÄVLEBORGS LÄN</t>
        </is>
      </c>
      <c r="E5365" t="inlineStr">
        <is>
          <t>SANDVIKEN</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29972-2022</t>
        </is>
      </c>
      <c r="B5366" s="1" t="n">
        <v>44756</v>
      </c>
      <c r="C5366" s="1" t="n">
        <v>45357</v>
      </c>
      <c r="D5366" t="inlineStr">
        <is>
          <t>GÄVLEBORGS LÄN</t>
        </is>
      </c>
      <c r="E5366" t="inlineStr">
        <is>
          <t>SANDVIKEN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29949-2022</t>
        </is>
      </c>
      <c r="B5367" s="1" t="n">
        <v>44756</v>
      </c>
      <c r="C5367" s="1" t="n">
        <v>45357</v>
      </c>
      <c r="D5367" t="inlineStr">
        <is>
          <t>GÄVLEBORGS LÄN</t>
        </is>
      </c>
      <c r="E5367" t="inlineStr">
        <is>
          <t>LJUSDAL</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29976-2022</t>
        </is>
      </c>
      <c r="B5368" s="1" t="n">
        <v>44756</v>
      </c>
      <c r="C5368" s="1" t="n">
        <v>45357</v>
      </c>
      <c r="D5368" t="inlineStr">
        <is>
          <t>GÄVLEBORGS LÄN</t>
        </is>
      </c>
      <c r="E5368" t="inlineStr">
        <is>
          <t>SANDVIKEN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30051-2022</t>
        </is>
      </c>
      <c r="B5369" s="1" t="n">
        <v>44757</v>
      </c>
      <c r="C5369" s="1" t="n">
        <v>45357</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30152-2022</t>
        </is>
      </c>
      <c r="B5370" s="1" t="n">
        <v>44757</v>
      </c>
      <c r="C5370" s="1" t="n">
        <v>45357</v>
      </c>
      <c r="D5370" t="inlineStr">
        <is>
          <t>GÄVLEBORGS LÄN</t>
        </is>
      </c>
      <c r="E5370" t="inlineStr">
        <is>
          <t>BOLLNÄS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30137-2022</t>
        </is>
      </c>
      <c r="B5371" s="1" t="n">
        <v>44757</v>
      </c>
      <c r="C5371" s="1" t="n">
        <v>45357</v>
      </c>
      <c r="D5371" t="inlineStr">
        <is>
          <t>GÄVLEBORGS LÄN</t>
        </is>
      </c>
      <c r="E5371" t="inlineStr">
        <is>
          <t>OVANÅKER</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30168-2022</t>
        </is>
      </c>
      <c r="B5372" s="1" t="n">
        <v>44757</v>
      </c>
      <c r="C5372" s="1" t="n">
        <v>45357</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30181-2022</t>
        </is>
      </c>
      <c r="B5373" s="1" t="n">
        <v>44757</v>
      </c>
      <c r="C5373" s="1" t="n">
        <v>45357</v>
      </c>
      <c r="D5373" t="inlineStr">
        <is>
          <t>GÄVLEBORGS LÄN</t>
        </is>
      </c>
      <c r="E5373" t="inlineStr">
        <is>
          <t>GÄVLE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30202-2022</t>
        </is>
      </c>
      <c r="B5374" s="1" t="n">
        <v>44757</v>
      </c>
      <c r="C5374" s="1" t="n">
        <v>45357</v>
      </c>
      <c r="D5374" t="inlineStr">
        <is>
          <t>GÄVLEBORGS LÄN</t>
        </is>
      </c>
      <c r="E5374" t="inlineStr">
        <is>
          <t>LJUSDAL</t>
        </is>
      </c>
      <c r="F5374" t="inlineStr">
        <is>
          <t>Allmännings- och besparingsskogar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30166-2022</t>
        </is>
      </c>
      <c r="B5375" s="1" t="n">
        <v>44757</v>
      </c>
      <c r="C5375" s="1" t="n">
        <v>45357</v>
      </c>
      <c r="D5375" t="inlineStr">
        <is>
          <t>GÄVLEBORGS LÄN</t>
        </is>
      </c>
      <c r="E5375" t="inlineStr">
        <is>
          <t>OVANÅKER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30201-2022</t>
        </is>
      </c>
      <c r="B5376" s="1" t="n">
        <v>44757</v>
      </c>
      <c r="C5376" s="1" t="n">
        <v>45357</v>
      </c>
      <c r="D5376" t="inlineStr">
        <is>
          <t>GÄVLEBORGS LÄN</t>
        </is>
      </c>
      <c r="E5376" t="inlineStr">
        <is>
          <t>OVANÅKER</t>
        </is>
      </c>
      <c r="F5376" t="inlineStr">
        <is>
          <t>Holmen skog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30199-2022</t>
        </is>
      </c>
      <c r="B5377" s="1" t="n">
        <v>44757</v>
      </c>
      <c r="C5377" s="1" t="n">
        <v>45357</v>
      </c>
      <c r="D5377" t="inlineStr">
        <is>
          <t>GÄVLEBORGS LÄN</t>
        </is>
      </c>
      <c r="E5377" t="inlineStr">
        <is>
          <t>LJUSDAL</t>
        </is>
      </c>
      <c r="F5377" t="inlineStr">
        <is>
          <t>Allmännings- och besparingsskogar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v>
      </c>
      <c r="C5378" s="1" t="n">
        <v>45357</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30336-2022</t>
        </is>
      </c>
      <c r="B5379" s="1" t="n">
        <v>44760</v>
      </c>
      <c r="C5379" s="1" t="n">
        <v>45357</v>
      </c>
      <c r="D5379" t="inlineStr">
        <is>
          <t>GÄVLEBORGS LÄN</t>
        </is>
      </c>
      <c r="E5379" t="inlineStr">
        <is>
          <t>SÖDERHAMN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30374-2022</t>
        </is>
      </c>
      <c r="B5380" s="1" t="n">
        <v>44760</v>
      </c>
      <c r="C5380" s="1" t="n">
        <v>45357</v>
      </c>
      <c r="D5380" t="inlineStr">
        <is>
          <t>GÄVLEBORGS LÄN</t>
        </is>
      </c>
      <c r="E5380" t="inlineStr">
        <is>
          <t>OVANÅKER</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30372-2022</t>
        </is>
      </c>
      <c r="B5381" s="1" t="n">
        <v>44760</v>
      </c>
      <c r="C5381" s="1" t="n">
        <v>45357</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30364-2022</t>
        </is>
      </c>
      <c r="B5382" s="1" t="n">
        <v>44760</v>
      </c>
      <c r="C5382" s="1" t="n">
        <v>45357</v>
      </c>
      <c r="D5382" t="inlineStr">
        <is>
          <t>GÄVLEBORGS LÄN</t>
        </is>
      </c>
      <c r="E5382" t="inlineStr">
        <is>
          <t>OVANÅKER</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30391-2022</t>
        </is>
      </c>
      <c r="B5383" s="1" t="n">
        <v>44760</v>
      </c>
      <c r="C5383" s="1" t="n">
        <v>45357</v>
      </c>
      <c r="D5383" t="inlineStr">
        <is>
          <t>GÄVLEBORGS LÄN</t>
        </is>
      </c>
      <c r="E5383" t="inlineStr">
        <is>
          <t>SANDVIKEN</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30545-2022</t>
        </is>
      </c>
      <c r="B5384" s="1" t="n">
        <v>44762</v>
      </c>
      <c r="C5384" s="1" t="n">
        <v>45357</v>
      </c>
      <c r="D5384" t="inlineStr">
        <is>
          <t>GÄVLEBORGS LÄN</t>
        </is>
      </c>
      <c r="E5384" t="inlineStr">
        <is>
          <t>LJUSDAL</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30556-2022</t>
        </is>
      </c>
      <c r="B5385" s="1" t="n">
        <v>44762</v>
      </c>
      <c r="C5385" s="1" t="n">
        <v>45357</v>
      </c>
      <c r="D5385" t="inlineStr">
        <is>
          <t>GÄVLEBORGS LÄN</t>
        </is>
      </c>
      <c r="E5385" t="inlineStr">
        <is>
          <t>LJUSDAL</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30589-2022</t>
        </is>
      </c>
      <c r="B5386" s="1" t="n">
        <v>44762</v>
      </c>
      <c r="C5386" s="1" t="n">
        <v>45357</v>
      </c>
      <c r="D5386" t="inlineStr">
        <is>
          <t>GÄVLEBORGS LÄN</t>
        </is>
      </c>
      <c r="E5386" t="inlineStr">
        <is>
          <t>HUDIKSVALL</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30591-2022</t>
        </is>
      </c>
      <c r="B5387" s="1" t="n">
        <v>44762</v>
      </c>
      <c r="C5387" s="1" t="n">
        <v>45357</v>
      </c>
      <c r="D5387" t="inlineStr">
        <is>
          <t>GÄVLEBORGS LÄN</t>
        </is>
      </c>
      <c r="E5387" t="inlineStr">
        <is>
          <t>HUDIKSVALL</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30590-2022</t>
        </is>
      </c>
      <c r="B5388" s="1" t="n">
        <v>44762</v>
      </c>
      <c r="C5388" s="1" t="n">
        <v>45357</v>
      </c>
      <c r="D5388" t="inlineStr">
        <is>
          <t>GÄVLEBORGS LÄN</t>
        </is>
      </c>
      <c r="E5388" t="inlineStr">
        <is>
          <t>HUDIKSVALL</t>
        </is>
      </c>
      <c r="F5388" t="inlineStr">
        <is>
          <t>Sveaskog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30629-2022</t>
        </is>
      </c>
      <c r="B5389" s="1" t="n">
        <v>44763</v>
      </c>
      <c r="C5389" s="1" t="n">
        <v>45357</v>
      </c>
      <c r="D5389" t="inlineStr">
        <is>
          <t>GÄVLEBORGS LÄN</t>
        </is>
      </c>
      <c r="E5389" t="inlineStr">
        <is>
          <t>LJUSDAL</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30662-2022</t>
        </is>
      </c>
      <c r="B5390" s="1" t="n">
        <v>44763</v>
      </c>
      <c r="C5390" s="1" t="n">
        <v>45357</v>
      </c>
      <c r="D5390" t="inlineStr">
        <is>
          <t>GÄVLEBORGS LÄN</t>
        </is>
      </c>
      <c r="E5390" t="inlineStr">
        <is>
          <t>GÄVLE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30668-2022</t>
        </is>
      </c>
      <c r="B5391" s="1" t="n">
        <v>44763</v>
      </c>
      <c r="C5391" s="1" t="n">
        <v>45357</v>
      </c>
      <c r="D5391" t="inlineStr">
        <is>
          <t>GÄVLEBORGS LÄN</t>
        </is>
      </c>
      <c r="E5391" t="inlineStr">
        <is>
          <t>LJUSDAL</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30671-2022</t>
        </is>
      </c>
      <c r="B5392" s="1" t="n">
        <v>44763</v>
      </c>
      <c r="C5392" s="1" t="n">
        <v>45357</v>
      </c>
      <c r="D5392" t="inlineStr">
        <is>
          <t>GÄVLEBORGS LÄN</t>
        </is>
      </c>
      <c r="E5392" t="inlineStr">
        <is>
          <t>LJUSDAL</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30615-2022</t>
        </is>
      </c>
      <c r="B5393" s="1" t="n">
        <v>44763</v>
      </c>
      <c r="C5393" s="1" t="n">
        <v>45357</v>
      </c>
      <c r="D5393" t="inlineStr">
        <is>
          <t>GÄVLEBORGS LÄN</t>
        </is>
      </c>
      <c r="E5393" t="inlineStr">
        <is>
          <t>BOLLNÄS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30630-2022</t>
        </is>
      </c>
      <c r="B5394" s="1" t="n">
        <v>44763</v>
      </c>
      <c r="C5394" s="1" t="n">
        <v>45357</v>
      </c>
      <c r="D5394" t="inlineStr">
        <is>
          <t>GÄVLEBORGS LÄN</t>
        </is>
      </c>
      <c r="E5394" t="inlineStr">
        <is>
          <t>NORDANSTIG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30658-2022</t>
        </is>
      </c>
      <c r="B5395" s="1" t="n">
        <v>44763</v>
      </c>
      <c r="C5395" s="1" t="n">
        <v>45357</v>
      </c>
      <c r="D5395" t="inlineStr">
        <is>
          <t>GÄVLEBORGS LÄN</t>
        </is>
      </c>
      <c r="E5395" t="inlineStr">
        <is>
          <t>SANDVIKEN</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30642-2022</t>
        </is>
      </c>
      <c r="B5396" s="1" t="n">
        <v>44763</v>
      </c>
      <c r="C5396" s="1" t="n">
        <v>45357</v>
      </c>
      <c r="D5396" t="inlineStr">
        <is>
          <t>GÄVLEBORGS LÄN</t>
        </is>
      </c>
      <c r="E5396" t="inlineStr">
        <is>
          <t>NORDANSTIG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30660-2022</t>
        </is>
      </c>
      <c r="B5397" s="1" t="n">
        <v>44763</v>
      </c>
      <c r="C5397" s="1" t="n">
        <v>45357</v>
      </c>
      <c r="D5397" t="inlineStr">
        <is>
          <t>GÄVLEBORGS LÄN</t>
        </is>
      </c>
      <c r="E5397" t="inlineStr">
        <is>
          <t>SANDVIKEN</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30667-2022</t>
        </is>
      </c>
      <c r="B5398" s="1" t="n">
        <v>44763</v>
      </c>
      <c r="C5398" s="1" t="n">
        <v>45357</v>
      </c>
      <c r="D5398" t="inlineStr">
        <is>
          <t>GÄVLEBORGS LÄN</t>
        </is>
      </c>
      <c r="E5398" t="inlineStr">
        <is>
          <t>LJUSDAL</t>
        </is>
      </c>
      <c r="F5398" t="inlineStr">
        <is>
          <t>Sveaskog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30696-2022</t>
        </is>
      </c>
      <c r="B5399" s="1" t="n">
        <v>44763</v>
      </c>
      <c r="C5399" s="1" t="n">
        <v>45357</v>
      </c>
      <c r="D5399" t="inlineStr">
        <is>
          <t>GÄVLEBORGS LÄN</t>
        </is>
      </c>
      <c r="E5399" t="inlineStr">
        <is>
          <t>SANDVIKEN</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30797-2022</t>
        </is>
      </c>
      <c r="B5400" s="1" t="n">
        <v>44764</v>
      </c>
      <c r="C5400" s="1" t="n">
        <v>45357</v>
      </c>
      <c r="D5400" t="inlineStr">
        <is>
          <t>GÄVLEBORGS LÄN</t>
        </is>
      </c>
      <c r="E5400" t="inlineStr">
        <is>
          <t>SANDVIKEN</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30799-2022</t>
        </is>
      </c>
      <c r="B5401" s="1" t="n">
        <v>44764</v>
      </c>
      <c r="C5401" s="1" t="n">
        <v>45357</v>
      </c>
      <c r="D5401" t="inlineStr">
        <is>
          <t>GÄVLEBORGS LÄN</t>
        </is>
      </c>
      <c r="E5401" t="inlineStr">
        <is>
          <t>SANDVIKEN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30798-2022</t>
        </is>
      </c>
      <c r="B5402" s="1" t="n">
        <v>44764</v>
      </c>
      <c r="C5402" s="1" t="n">
        <v>45357</v>
      </c>
      <c r="D5402" t="inlineStr">
        <is>
          <t>GÄVLEBORGS LÄN</t>
        </is>
      </c>
      <c r="E5402" t="inlineStr">
        <is>
          <t>SANDVIKEN</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30779-2022</t>
        </is>
      </c>
      <c r="B5403" s="1" t="n">
        <v>44764</v>
      </c>
      <c r="C5403" s="1" t="n">
        <v>45357</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30817-2022</t>
        </is>
      </c>
      <c r="B5404" s="1" t="n">
        <v>44765</v>
      </c>
      <c r="C5404" s="1" t="n">
        <v>45357</v>
      </c>
      <c r="D5404" t="inlineStr">
        <is>
          <t>GÄVLEBORGS LÄN</t>
        </is>
      </c>
      <c r="E5404" t="inlineStr">
        <is>
          <t>NORDANSTIG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30816-2022</t>
        </is>
      </c>
      <c r="B5405" s="1" t="n">
        <v>44765</v>
      </c>
      <c r="C5405" s="1" t="n">
        <v>45357</v>
      </c>
      <c r="D5405" t="inlineStr">
        <is>
          <t>GÄVLEBORGS LÄN</t>
        </is>
      </c>
      <c r="E5405" t="inlineStr">
        <is>
          <t>NORDANSTIG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30825-2022</t>
        </is>
      </c>
      <c r="B5406" s="1" t="n">
        <v>44767</v>
      </c>
      <c r="C5406" s="1" t="n">
        <v>45357</v>
      </c>
      <c r="D5406" t="inlineStr">
        <is>
          <t>GÄVLEBORGS LÄN</t>
        </is>
      </c>
      <c r="E5406" t="inlineStr">
        <is>
          <t>HUDIKSVALL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30869-2022</t>
        </is>
      </c>
      <c r="B5407" s="1" t="n">
        <v>44767</v>
      </c>
      <c r="C5407" s="1" t="n">
        <v>45357</v>
      </c>
      <c r="D5407" t="inlineStr">
        <is>
          <t>GÄVLEBORGS LÄN</t>
        </is>
      </c>
      <c r="E5407" t="inlineStr">
        <is>
          <t>LJUSDAL</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30877-2022</t>
        </is>
      </c>
      <c r="B5408" s="1" t="n">
        <v>44767</v>
      </c>
      <c r="C5408" s="1" t="n">
        <v>45357</v>
      </c>
      <c r="D5408" t="inlineStr">
        <is>
          <t>GÄVLEBORGS LÄN</t>
        </is>
      </c>
      <c r="E5408" t="inlineStr">
        <is>
          <t>LJUSDAL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30844-2022</t>
        </is>
      </c>
      <c r="B5409" s="1" t="n">
        <v>44767</v>
      </c>
      <c r="C5409" s="1" t="n">
        <v>45357</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30857-2022</t>
        </is>
      </c>
      <c r="B5410" s="1" t="n">
        <v>44767</v>
      </c>
      <c r="C5410" s="1" t="n">
        <v>45357</v>
      </c>
      <c r="D5410" t="inlineStr">
        <is>
          <t>GÄVLEBORGS LÄN</t>
        </is>
      </c>
      <c r="E5410" t="inlineStr">
        <is>
          <t>NORDANSTIG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30875-2022</t>
        </is>
      </c>
      <c r="B5411" s="1" t="n">
        <v>44767</v>
      </c>
      <c r="C5411" s="1" t="n">
        <v>45357</v>
      </c>
      <c r="D5411" t="inlineStr">
        <is>
          <t>GÄVLEBORGS LÄN</t>
        </is>
      </c>
      <c r="E5411" t="inlineStr">
        <is>
          <t>GÄVLE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30959-2022</t>
        </is>
      </c>
      <c r="B5412" s="1" t="n">
        <v>44768</v>
      </c>
      <c r="C5412" s="1" t="n">
        <v>45357</v>
      </c>
      <c r="D5412" t="inlineStr">
        <is>
          <t>GÄVLEBORGS LÄN</t>
        </is>
      </c>
      <c r="E5412" t="inlineStr">
        <is>
          <t>HUDIKSVALL</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30960-2022</t>
        </is>
      </c>
      <c r="B5413" s="1" t="n">
        <v>44768</v>
      </c>
      <c r="C5413" s="1" t="n">
        <v>45357</v>
      </c>
      <c r="D5413" t="inlineStr">
        <is>
          <t>GÄVLEBORGS LÄN</t>
        </is>
      </c>
      <c r="E5413" t="inlineStr">
        <is>
          <t>HUDIKSVALL</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30990-2022</t>
        </is>
      </c>
      <c r="B5414" s="1" t="n">
        <v>44768</v>
      </c>
      <c r="C5414" s="1" t="n">
        <v>45357</v>
      </c>
      <c r="D5414" t="inlineStr">
        <is>
          <t>GÄVLEBORGS LÄN</t>
        </is>
      </c>
      <c r="E5414" t="inlineStr">
        <is>
          <t>SANDVIKEN</t>
        </is>
      </c>
      <c r="F5414" t="inlineStr">
        <is>
          <t>Bergvik skog öst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30984-2022</t>
        </is>
      </c>
      <c r="B5415" s="1" t="n">
        <v>44768</v>
      </c>
      <c r="C5415" s="1" t="n">
        <v>45357</v>
      </c>
      <c r="D5415" t="inlineStr">
        <is>
          <t>GÄVLEBORGS LÄN</t>
        </is>
      </c>
      <c r="E5415" t="inlineStr">
        <is>
          <t>LJUSDAL</t>
        </is>
      </c>
      <c r="F5415" t="inlineStr">
        <is>
          <t>Allmännings- och besparingsskogar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31019-2022</t>
        </is>
      </c>
      <c r="B5416" s="1" t="n">
        <v>44768</v>
      </c>
      <c r="C5416" s="1" t="n">
        <v>45357</v>
      </c>
      <c r="D5416" t="inlineStr">
        <is>
          <t>GÄVLEBORGS LÄN</t>
        </is>
      </c>
      <c r="E5416" t="inlineStr">
        <is>
          <t>LJUSDAL</t>
        </is>
      </c>
      <c r="F5416" t="inlineStr">
        <is>
          <t>Allmännings- och besparingsskogar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30940-2022</t>
        </is>
      </c>
      <c r="B5417" s="1" t="n">
        <v>44768</v>
      </c>
      <c r="C5417" s="1" t="n">
        <v>45357</v>
      </c>
      <c r="D5417" t="inlineStr">
        <is>
          <t>GÄVLEBORGS LÄN</t>
        </is>
      </c>
      <c r="E5417" t="inlineStr">
        <is>
          <t>NORDANSTIG</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31204-2022</t>
        </is>
      </c>
      <c r="B5418" s="1" t="n">
        <v>44771</v>
      </c>
      <c r="C5418" s="1" t="n">
        <v>45357</v>
      </c>
      <c r="D5418" t="inlineStr">
        <is>
          <t>GÄVLEBORGS LÄN</t>
        </is>
      </c>
      <c r="E5418" t="inlineStr">
        <is>
          <t>HUDIKSVALL</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31163-2022</t>
        </is>
      </c>
      <c r="B5419" s="1" t="n">
        <v>44770</v>
      </c>
      <c r="C5419" s="1" t="n">
        <v>45357</v>
      </c>
      <c r="D5419" t="inlineStr">
        <is>
          <t>GÄVLEBORGS LÄN</t>
        </is>
      </c>
      <c r="E5419" t="inlineStr">
        <is>
          <t>OVANÅKER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31205-2022</t>
        </is>
      </c>
      <c r="B5420" s="1" t="n">
        <v>44770</v>
      </c>
      <c r="C5420" s="1" t="n">
        <v>45357</v>
      </c>
      <c r="D5420" t="inlineStr">
        <is>
          <t>GÄVLEBORGS LÄN</t>
        </is>
      </c>
      <c r="E5420" t="inlineStr">
        <is>
          <t>HOFORS</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31237-2022</t>
        </is>
      </c>
      <c r="B5421" s="1" t="n">
        <v>44771</v>
      </c>
      <c r="C5421" s="1" t="n">
        <v>45357</v>
      </c>
      <c r="D5421" t="inlineStr">
        <is>
          <t>GÄVLEBORGS LÄN</t>
        </is>
      </c>
      <c r="E5421" t="inlineStr">
        <is>
          <t>BOLLNÄS</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31348-2022</t>
        </is>
      </c>
      <c r="B5422" s="1" t="n">
        <v>44774</v>
      </c>
      <c r="C5422" s="1" t="n">
        <v>45357</v>
      </c>
      <c r="D5422" t="inlineStr">
        <is>
          <t>GÄVLEBORGS LÄN</t>
        </is>
      </c>
      <c r="E5422" t="inlineStr">
        <is>
          <t>LJUSDAL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31356-2022</t>
        </is>
      </c>
      <c r="B5423" s="1" t="n">
        <v>44774</v>
      </c>
      <c r="C5423" s="1" t="n">
        <v>45357</v>
      </c>
      <c r="D5423" t="inlineStr">
        <is>
          <t>GÄVLEBORGS LÄN</t>
        </is>
      </c>
      <c r="E5423" t="inlineStr">
        <is>
          <t>OVANÅKER</t>
        </is>
      </c>
      <c r="F5423" t="inlineStr">
        <is>
          <t>Bergvik skog väst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31312-2022</t>
        </is>
      </c>
      <c r="B5424" s="1" t="n">
        <v>44774</v>
      </c>
      <c r="C5424" s="1" t="n">
        <v>45357</v>
      </c>
      <c r="D5424" t="inlineStr">
        <is>
          <t>GÄVLEBORGS LÄN</t>
        </is>
      </c>
      <c r="E5424" t="inlineStr">
        <is>
          <t>LJUSDAL</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31377-2022</t>
        </is>
      </c>
      <c r="B5425" s="1" t="n">
        <v>44774</v>
      </c>
      <c r="C5425" s="1" t="n">
        <v>45357</v>
      </c>
      <c r="D5425" t="inlineStr">
        <is>
          <t>GÄVLEBORGS LÄN</t>
        </is>
      </c>
      <c r="E5425" t="inlineStr">
        <is>
          <t>OVANÅKER</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31327-2022</t>
        </is>
      </c>
      <c r="B5426" s="1" t="n">
        <v>44774</v>
      </c>
      <c r="C5426" s="1" t="n">
        <v>45357</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31336-2022</t>
        </is>
      </c>
      <c r="B5427" s="1" t="n">
        <v>44774</v>
      </c>
      <c r="C5427" s="1" t="n">
        <v>45357</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31378-2022</t>
        </is>
      </c>
      <c r="B5428" s="1" t="n">
        <v>44774</v>
      </c>
      <c r="C5428" s="1" t="n">
        <v>45357</v>
      </c>
      <c r="D5428" t="inlineStr">
        <is>
          <t>GÄVLEBORGS LÄN</t>
        </is>
      </c>
      <c r="E5428" t="inlineStr">
        <is>
          <t>LJUSDAL</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31397-2022</t>
        </is>
      </c>
      <c r="B5429" s="1" t="n">
        <v>44774</v>
      </c>
      <c r="C5429" s="1" t="n">
        <v>45357</v>
      </c>
      <c r="D5429" t="inlineStr">
        <is>
          <t>GÄVLEBORGS LÄN</t>
        </is>
      </c>
      <c r="E5429" t="inlineStr">
        <is>
          <t>LJUSDAL</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31419-2022</t>
        </is>
      </c>
      <c r="B5430" s="1" t="n">
        <v>44774</v>
      </c>
      <c r="C5430" s="1" t="n">
        <v>45357</v>
      </c>
      <c r="D5430" t="inlineStr">
        <is>
          <t>GÄVLEBORGS LÄN</t>
        </is>
      </c>
      <c r="E5430" t="inlineStr">
        <is>
          <t>SANDVIKEN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31432-2022</t>
        </is>
      </c>
      <c r="B5431" s="1" t="n">
        <v>44775</v>
      </c>
      <c r="C5431" s="1" t="n">
        <v>45357</v>
      </c>
      <c r="D5431" t="inlineStr">
        <is>
          <t>GÄVLEBORGS LÄN</t>
        </is>
      </c>
      <c r="E5431" t="inlineStr">
        <is>
          <t>NORDANSTIG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31434-2022</t>
        </is>
      </c>
      <c r="B5432" s="1" t="n">
        <v>44775</v>
      </c>
      <c r="C5432" s="1" t="n">
        <v>45357</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31535-2022</t>
        </is>
      </c>
      <c r="B5433" s="1" t="n">
        <v>44775</v>
      </c>
      <c r="C5433" s="1" t="n">
        <v>45357</v>
      </c>
      <c r="D5433" t="inlineStr">
        <is>
          <t>GÄVLEBORGS LÄN</t>
        </is>
      </c>
      <c r="E5433" t="inlineStr">
        <is>
          <t>GÄVLE</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31551-2022</t>
        </is>
      </c>
      <c r="B5434" s="1" t="n">
        <v>44775</v>
      </c>
      <c r="C5434" s="1" t="n">
        <v>45357</v>
      </c>
      <c r="D5434" t="inlineStr">
        <is>
          <t>GÄVLEBORGS LÄN</t>
        </is>
      </c>
      <c r="E5434" t="inlineStr">
        <is>
          <t>NORDANSTIG</t>
        </is>
      </c>
      <c r="F5434" t="inlineStr">
        <is>
          <t>Holmen skog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31528-2022</t>
        </is>
      </c>
      <c r="B5435" s="1" t="n">
        <v>44775</v>
      </c>
      <c r="C5435" s="1" t="n">
        <v>45357</v>
      </c>
      <c r="D5435" t="inlineStr">
        <is>
          <t>GÄVLEBORGS LÄN</t>
        </is>
      </c>
      <c r="E5435" t="inlineStr">
        <is>
          <t>GÄVLE</t>
        </is>
      </c>
      <c r="F5435" t="inlineStr">
        <is>
          <t>Bergvik skog öst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31531-2022</t>
        </is>
      </c>
      <c r="B5436" s="1" t="n">
        <v>44775</v>
      </c>
      <c r="C5436" s="1" t="n">
        <v>45357</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31541-2022</t>
        </is>
      </c>
      <c r="B5437" s="1" t="n">
        <v>44775</v>
      </c>
      <c r="C5437" s="1" t="n">
        <v>45357</v>
      </c>
      <c r="D5437" t="inlineStr">
        <is>
          <t>GÄVLEBORGS LÄN</t>
        </is>
      </c>
      <c r="E5437" t="inlineStr">
        <is>
          <t>NORDANSTIG</t>
        </is>
      </c>
      <c r="F5437" t="inlineStr">
        <is>
          <t>Holmen skog AB</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31676-2022</t>
        </is>
      </c>
      <c r="B5438" s="1" t="n">
        <v>44776</v>
      </c>
      <c r="C5438" s="1" t="n">
        <v>45357</v>
      </c>
      <c r="D5438" t="inlineStr">
        <is>
          <t>GÄVLEBORGS LÄN</t>
        </is>
      </c>
      <c r="E5438" t="inlineStr">
        <is>
          <t>SÖDERHAMN</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31773-2022</t>
        </is>
      </c>
      <c r="B5439" s="1" t="n">
        <v>44776</v>
      </c>
      <c r="C5439" s="1" t="n">
        <v>45357</v>
      </c>
      <c r="D5439" t="inlineStr">
        <is>
          <t>GÄVLEBORGS LÄN</t>
        </is>
      </c>
      <c r="E5439" t="inlineStr">
        <is>
          <t>GÄVLE</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31808-2022</t>
        </is>
      </c>
      <c r="B5440" s="1" t="n">
        <v>44776</v>
      </c>
      <c r="C5440" s="1" t="n">
        <v>45357</v>
      </c>
      <c r="D5440" t="inlineStr">
        <is>
          <t>GÄVLEBORGS LÄN</t>
        </is>
      </c>
      <c r="E5440" t="inlineStr">
        <is>
          <t>LJUSDAL</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31787-2022</t>
        </is>
      </c>
      <c r="B5441" s="1" t="n">
        <v>44776</v>
      </c>
      <c r="C5441" s="1" t="n">
        <v>45357</v>
      </c>
      <c r="D5441" t="inlineStr">
        <is>
          <t>GÄVLEBORGS LÄN</t>
        </is>
      </c>
      <c r="E5441" t="inlineStr">
        <is>
          <t>NORDANSTIG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31800-2022</t>
        </is>
      </c>
      <c r="B5442" s="1" t="n">
        <v>44776</v>
      </c>
      <c r="C5442" s="1" t="n">
        <v>45357</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31805-2022</t>
        </is>
      </c>
      <c r="B5443" s="1" t="n">
        <v>44776</v>
      </c>
      <c r="C5443" s="1" t="n">
        <v>45357</v>
      </c>
      <c r="D5443" t="inlineStr">
        <is>
          <t>GÄVLEBORGS LÄN</t>
        </is>
      </c>
      <c r="E5443" t="inlineStr">
        <is>
          <t>OVANÅKER</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31899-2022</t>
        </is>
      </c>
      <c r="B5444" s="1" t="n">
        <v>44777</v>
      </c>
      <c r="C5444" s="1" t="n">
        <v>45357</v>
      </c>
      <c r="D5444" t="inlineStr">
        <is>
          <t>GÄVLEBORGS LÄN</t>
        </is>
      </c>
      <c r="E5444" t="inlineStr">
        <is>
          <t>NORDANSTIG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31890-2022</t>
        </is>
      </c>
      <c r="B5445" s="1" t="n">
        <v>44777</v>
      </c>
      <c r="C5445" s="1" t="n">
        <v>45357</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32040-2022</t>
        </is>
      </c>
      <c r="B5446" s="1" t="n">
        <v>44778</v>
      </c>
      <c r="C5446" s="1" t="n">
        <v>45357</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32087-2022</t>
        </is>
      </c>
      <c r="B5447" s="1" t="n">
        <v>44778</v>
      </c>
      <c r="C5447" s="1" t="n">
        <v>45357</v>
      </c>
      <c r="D5447" t="inlineStr">
        <is>
          <t>GÄVLEBORGS LÄN</t>
        </is>
      </c>
      <c r="E5447" t="inlineStr">
        <is>
          <t>HUDIKSVALL</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32004-2022</t>
        </is>
      </c>
      <c r="B5448" s="1" t="n">
        <v>44778</v>
      </c>
      <c r="C5448" s="1" t="n">
        <v>45357</v>
      </c>
      <c r="D5448" t="inlineStr">
        <is>
          <t>GÄVLEBORGS LÄN</t>
        </is>
      </c>
      <c r="E5448" t="inlineStr">
        <is>
          <t>HUDIKSVALL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32035-2022</t>
        </is>
      </c>
      <c r="B5449" s="1" t="n">
        <v>44778</v>
      </c>
      <c r="C5449" s="1" t="n">
        <v>45357</v>
      </c>
      <c r="D5449" t="inlineStr">
        <is>
          <t>GÄVLEBORGS LÄN</t>
        </is>
      </c>
      <c r="E5449" t="inlineStr">
        <is>
          <t>LJUSDAL</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32038-2022</t>
        </is>
      </c>
      <c r="B5450" s="1" t="n">
        <v>44778</v>
      </c>
      <c r="C5450" s="1" t="n">
        <v>45357</v>
      </c>
      <c r="D5450" t="inlineStr">
        <is>
          <t>GÄVLEBORGS LÄN</t>
        </is>
      </c>
      <c r="E5450" t="inlineStr">
        <is>
          <t>LJUSDAL</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32217-2022</t>
        </is>
      </c>
      <c r="B5451" s="1" t="n">
        <v>44781</v>
      </c>
      <c r="C5451" s="1" t="n">
        <v>45357</v>
      </c>
      <c r="D5451" t="inlineStr">
        <is>
          <t>GÄVLEBORGS LÄN</t>
        </is>
      </c>
      <c r="E5451" t="inlineStr">
        <is>
          <t>LJUSDAL</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32199-2022</t>
        </is>
      </c>
      <c r="B5452" s="1" t="n">
        <v>44781</v>
      </c>
      <c r="C5452" s="1" t="n">
        <v>45357</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32238-2022</t>
        </is>
      </c>
      <c r="B5453" s="1" t="n">
        <v>44781</v>
      </c>
      <c r="C5453" s="1" t="n">
        <v>45357</v>
      </c>
      <c r="D5453" t="inlineStr">
        <is>
          <t>GÄVLEBORGS LÄN</t>
        </is>
      </c>
      <c r="E5453" t="inlineStr">
        <is>
          <t>LJUSDAL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32201-2022</t>
        </is>
      </c>
      <c r="B5454" s="1" t="n">
        <v>44781</v>
      </c>
      <c r="C5454" s="1" t="n">
        <v>45357</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32301-2022</t>
        </is>
      </c>
      <c r="B5455" s="1" t="n">
        <v>44781</v>
      </c>
      <c r="C5455" s="1" t="n">
        <v>45357</v>
      </c>
      <c r="D5455" t="inlineStr">
        <is>
          <t>GÄVLEBORGS LÄN</t>
        </is>
      </c>
      <c r="E5455" t="inlineStr">
        <is>
          <t>OCKELBO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32330-2022</t>
        </is>
      </c>
      <c r="B5456" s="1" t="n">
        <v>44781</v>
      </c>
      <c r="C5456" s="1" t="n">
        <v>45357</v>
      </c>
      <c r="D5456" t="inlineStr">
        <is>
          <t>GÄVLEBORGS LÄN</t>
        </is>
      </c>
      <c r="E5456" t="inlineStr">
        <is>
          <t>HOFORS</t>
        </is>
      </c>
      <c r="F5456" t="inlineStr">
        <is>
          <t>Sveaskog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32327-2022</t>
        </is>
      </c>
      <c r="B5457" s="1" t="n">
        <v>44781</v>
      </c>
      <c r="C5457" s="1" t="n">
        <v>45357</v>
      </c>
      <c r="D5457" t="inlineStr">
        <is>
          <t>GÄVLEBORGS LÄN</t>
        </is>
      </c>
      <c r="E5457" t="inlineStr">
        <is>
          <t>HOFORS</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32277-2022</t>
        </is>
      </c>
      <c r="B5458" s="1" t="n">
        <v>44781</v>
      </c>
      <c r="C5458" s="1" t="n">
        <v>45357</v>
      </c>
      <c r="D5458" t="inlineStr">
        <is>
          <t>GÄVLEBORGS LÄN</t>
        </is>
      </c>
      <c r="E5458" t="inlineStr">
        <is>
          <t>LJUSDAL</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32342-2022</t>
        </is>
      </c>
      <c r="B5459" s="1" t="n">
        <v>44781</v>
      </c>
      <c r="C5459" s="1" t="n">
        <v>45357</v>
      </c>
      <c r="D5459" t="inlineStr">
        <is>
          <t>GÄVLEBORGS LÄN</t>
        </is>
      </c>
      <c r="E5459" t="inlineStr">
        <is>
          <t>NORDANSTIG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32350-2022</t>
        </is>
      </c>
      <c r="B5460" s="1" t="n">
        <v>44782</v>
      </c>
      <c r="C5460" s="1" t="n">
        <v>45357</v>
      </c>
      <c r="D5460" t="inlineStr">
        <is>
          <t>GÄVLEBORGS LÄN</t>
        </is>
      </c>
      <c r="E5460" t="inlineStr">
        <is>
          <t>NORDANSTIG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32465-2022</t>
        </is>
      </c>
      <c r="B5461" s="1" t="n">
        <v>44782</v>
      </c>
      <c r="C5461" s="1" t="n">
        <v>45357</v>
      </c>
      <c r="D5461" t="inlineStr">
        <is>
          <t>GÄVLEBORGS LÄN</t>
        </is>
      </c>
      <c r="E5461" t="inlineStr">
        <is>
          <t>SANDVIKEN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32382-2022</t>
        </is>
      </c>
      <c r="B5462" s="1" t="n">
        <v>44782</v>
      </c>
      <c r="C5462" s="1" t="n">
        <v>45357</v>
      </c>
      <c r="D5462" t="inlineStr">
        <is>
          <t>GÄVLEBORGS LÄN</t>
        </is>
      </c>
      <c r="E5462" t="inlineStr">
        <is>
          <t>GÄVLE</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32689-2022</t>
        </is>
      </c>
      <c r="B5463" s="1" t="n">
        <v>44783</v>
      </c>
      <c r="C5463" s="1" t="n">
        <v>45357</v>
      </c>
      <c r="D5463" t="inlineStr">
        <is>
          <t>GÄVLEBORGS LÄN</t>
        </is>
      </c>
      <c r="E5463" t="inlineStr">
        <is>
          <t>LJUSDAL</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32750-2022</t>
        </is>
      </c>
      <c r="B5464" s="1" t="n">
        <v>44783</v>
      </c>
      <c r="C5464" s="1" t="n">
        <v>45357</v>
      </c>
      <c r="D5464" t="inlineStr">
        <is>
          <t>GÄVLEBORGS LÄN</t>
        </is>
      </c>
      <c r="E5464" t="inlineStr">
        <is>
          <t>SÖDERHAMN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32622-2022</t>
        </is>
      </c>
      <c r="B5465" s="1" t="n">
        <v>44783</v>
      </c>
      <c r="C5465" s="1" t="n">
        <v>45357</v>
      </c>
      <c r="D5465" t="inlineStr">
        <is>
          <t>GÄVLEBORGS LÄN</t>
        </is>
      </c>
      <c r="E5465" t="inlineStr">
        <is>
          <t>NORDANSTIG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32634-2022</t>
        </is>
      </c>
      <c r="B5466" s="1" t="n">
        <v>44783</v>
      </c>
      <c r="C5466" s="1" t="n">
        <v>45357</v>
      </c>
      <c r="D5466" t="inlineStr">
        <is>
          <t>GÄVLEBORGS LÄN</t>
        </is>
      </c>
      <c r="E5466" t="inlineStr">
        <is>
          <t>BOLLNÄS</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32749-2022</t>
        </is>
      </c>
      <c r="B5467" s="1" t="n">
        <v>44783</v>
      </c>
      <c r="C5467" s="1" t="n">
        <v>45357</v>
      </c>
      <c r="D5467" t="inlineStr">
        <is>
          <t>GÄVLEBORGS LÄN</t>
        </is>
      </c>
      <c r="E5467" t="inlineStr">
        <is>
          <t>SÖDERHAMN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32635-2022</t>
        </is>
      </c>
      <c r="B5468" s="1" t="n">
        <v>44783</v>
      </c>
      <c r="C5468" s="1" t="n">
        <v>45357</v>
      </c>
      <c r="D5468" t="inlineStr">
        <is>
          <t>GÄVLEBORGS LÄN</t>
        </is>
      </c>
      <c r="E5468" t="inlineStr">
        <is>
          <t>NORDANSTIG</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32613-2022</t>
        </is>
      </c>
      <c r="B5469" s="1" t="n">
        <v>44783</v>
      </c>
      <c r="C5469" s="1" t="n">
        <v>45357</v>
      </c>
      <c r="D5469" t="inlineStr">
        <is>
          <t>GÄVLEBORGS LÄN</t>
        </is>
      </c>
      <c r="E5469" t="inlineStr">
        <is>
          <t>BOLLNÄS</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32879-2022</t>
        </is>
      </c>
      <c r="B5470" s="1" t="n">
        <v>44784</v>
      </c>
      <c r="C5470" s="1" t="n">
        <v>45357</v>
      </c>
      <c r="D5470" t="inlineStr">
        <is>
          <t>GÄVLEBORGS LÄN</t>
        </is>
      </c>
      <c r="E5470" t="inlineStr">
        <is>
          <t>LJUSDAL</t>
        </is>
      </c>
      <c r="F5470" t="inlineStr">
        <is>
          <t>Bergvik skog väst AB</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32832-2022</t>
        </is>
      </c>
      <c r="B5471" s="1" t="n">
        <v>44784</v>
      </c>
      <c r="C5471" s="1" t="n">
        <v>45357</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32847-2022</t>
        </is>
      </c>
      <c r="B5472" s="1" t="n">
        <v>44784</v>
      </c>
      <c r="C5472" s="1" t="n">
        <v>45357</v>
      </c>
      <c r="D5472" t="inlineStr">
        <is>
          <t>GÄVLEBORGS LÄN</t>
        </is>
      </c>
      <c r="E5472" t="inlineStr">
        <is>
          <t>SANDVIKEN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32849-2022</t>
        </is>
      </c>
      <c r="B5473" s="1" t="n">
        <v>44784</v>
      </c>
      <c r="C5473" s="1" t="n">
        <v>45357</v>
      </c>
      <c r="D5473" t="inlineStr">
        <is>
          <t>GÄVLEBORGS LÄN</t>
        </is>
      </c>
      <c r="E5473" t="inlineStr">
        <is>
          <t>SANDVIKEN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32948-2022</t>
        </is>
      </c>
      <c r="B5474" s="1" t="n">
        <v>44784</v>
      </c>
      <c r="C5474" s="1" t="n">
        <v>45357</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33028-2022</t>
        </is>
      </c>
      <c r="B5475" s="1" t="n">
        <v>44785</v>
      </c>
      <c r="C5475" s="1" t="n">
        <v>45357</v>
      </c>
      <c r="D5475" t="inlineStr">
        <is>
          <t>GÄVLEBORGS LÄN</t>
        </is>
      </c>
      <c r="E5475" t="inlineStr">
        <is>
          <t>BOLLNÄS</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33049-2022</t>
        </is>
      </c>
      <c r="B5476" s="1" t="n">
        <v>44785</v>
      </c>
      <c r="C5476" s="1" t="n">
        <v>45357</v>
      </c>
      <c r="D5476" t="inlineStr">
        <is>
          <t>GÄVLEBORGS LÄN</t>
        </is>
      </c>
      <c r="E5476" t="inlineStr">
        <is>
          <t>BOLLNÄS</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33109-2022</t>
        </is>
      </c>
      <c r="B5477" s="1" t="n">
        <v>44785</v>
      </c>
      <c r="C5477" s="1" t="n">
        <v>45357</v>
      </c>
      <c r="D5477" t="inlineStr">
        <is>
          <t>GÄVLEBORGS LÄN</t>
        </is>
      </c>
      <c r="E5477" t="inlineStr">
        <is>
          <t>NORDANSTIG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33040-2022</t>
        </is>
      </c>
      <c r="B5478" s="1" t="n">
        <v>44785</v>
      </c>
      <c r="C5478" s="1" t="n">
        <v>45357</v>
      </c>
      <c r="D5478" t="inlineStr">
        <is>
          <t>GÄVLEBORGS LÄN</t>
        </is>
      </c>
      <c r="E5478" t="inlineStr">
        <is>
          <t>BOLLNÄS</t>
        </is>
      </c>
      <c r="F5478" t="inlineStr">
        <is>
          <t>Kyrkan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33022-2022</t>
        </is>
      </c>
      <c r="B5479" s="1" t="n">
        <v>44785</v>
      </c>
      <c r="C5479" s="1" t="n">
        <v>45357</v>
      </c>
      <c r="D5479" t="inlineStr">
        <is>
          <t>GÄVLEBORGS LÄN</t>
        </is>
      </c>
      <c r="E5479" t="inlineStr">
        <is>
          <t>OVANÅKER</t>
        </is>
      </c>
      <c r="F5479" t="inlineStr">
        <is>
          <t>Bergvik skog väst AB</t>
        </is>
      </c>
      <c r="G5479" t="n">
        <v>15.3</v>
      </c>
      <c r="H5479" t="n">
        <v>0</v>
      </c>
      <c r="I5479" t="n">
        <v>0</v>
      </c>
      <c r="J5479" t="n">
        <v>0</v>
      </c>
      <c r="K5479" t="n">
        <v>0</v>
      </c>
      <c r="L5479" t="n">
        <v>0</v>
      </c>
      <c r="M5479" t="n">
        <v>0</v>
      </c>
      <c r="N5479" t="n">
        <v>0</v>
      </c>
      <c r="O5479" t="n">
        <v>0</v>
      </c>
      <c r="P5479" t="n">
        <v>0</v>
      </c>
      <c r="Q5479" t="n">
        <v>0</v>
      </c>
      <c r="R5479" s="2" t="inlineStr"/>
    </row>
    <row r="5480" ht="15" customHeight="1">
      <c r="A5480" t="inlineStr">
        <is>
          <t>A 33086-2022</t>
        </is>
      </c>
      <c r="B5480" s="1" t="n">
        <v>44785</v>
      </c>
      <c r="C5480" s="1" t="n">
        <v>45357</v>
      </c>
      <c r="D5480" t="inlineStr">
        <is>
          <t>GÄVLEBORGS LÄN</t>
        </is>
      </c>
      <c r="E5480" t="inlineStr">
        <is>
          <t>BOLLNÄS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33178-2022</t>
        </is>
      </c>
      <c r="B5481" s="1" t="n">
        <v>44785</v>
      </c>
      <c r="C5481" s="1" t="n">
        <v>45357</v>
      </c>
      <c r="D5481" t="inlineStr">
        <is>
          <t>GÄVLEBORGS LÄN</t>
        </is>
      </c>
      <c r="E5481" t="inlineStr">
        <is>
          <t>GÄVLE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33138-2022</t>
        </is>
      </c>
      <c r="B5482" s="1" t="n">
        <v>44785</v>
      </c>
      <c r="C5482" s="1" t="n">
        <v>45357</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33175-2022</t>
        </is>
      </c>
      <c r="B5483" s="1" t="n">
        <v>44785</v>
      </c>
      <c r="C5483" s="1" t="n">
        <v>45357</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33280-2022</t>
        </is>
      </c>
      <c r="B5484" s="1" t="n">
        <v>44788</v>
      </c>
      <c r="C5484" s="1" t="n">
        <v>45357</v>
      </c>
      <c r="D5484" t="inlineStr">
        <is>
          <t>GÄVLEBORGS LÄN</t>
        </is>
      </c>
      <c r="E5484" t="inlineStr">
        <is>
          <t>GÄVLE</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33414-2022</t>
        </is>
      </c>
      <c r="B5485" s="1" t="n">
        <v>44788</v>
      </c>
      <c r="C5485" s="1" t="n">
        <v>45357</v>
      </c>
      <c r="D5485" t="inlineStr">
        <is>
          <t>GÄVLEBORGS LÄN</t>
        </is>
      </c>
      <c r="E5485" t="inlineStr">
        <is>
          <t>NORDANSTIG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33293-2022</t>
        </is>
      </c>
      <c r="B5486" s="1" t="n">
        <v>44788</v>
      </c>
      <c r="C5486" s="1" t="n">
        <v>45357</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33377-2022</t>
        </is>
      </c>
      <c r="B5487" s="1" t="n">
        <v>44788</v>
      </c>
      <c r="C5487" s="1" t="n">
        <v>45357</v>
      </c>
      <c r="D5487" t="inlineStr">
        <is>
          <t>GÄVLEBORGS LÄN</t>
        </is>
      </c>
      <c r="E5487" t="inlineStr">
        <is>
          <t>NORDANSTIG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33417-2022</t>
        </is>
      </c>
      <c r="B5488" s="1" t="n">
        <v>44788</v>
      </c>
      <c r="C5488" s="1" t="n">
        <v>45357</v>
      </c>
      <c r="D5488" t="inlineStr">
        <is>
          <t>GÄVLEBORGS LÄN</t>
        </is>
      </c>
      <c r="E5488" t="inlineStr">
        <is>
          <t>NORDANSTIG</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33432-2022</t>
        </is>
      </c>
      <c r="B5489" s="1" t="n">
        <v>44788</v>
      </c>
      <c r="C5489" s="1" t="n">
        <v>45357</v>
      </c>
      <c r="D5489" t="inlineStr">
        <is>
          <t>GÄVLEBORGS LÄN</t>
        </is>
      </c>
      <c r="E5489" t="inlineStr">
        <is>
          <t>BOLLNÄS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33672-2022</t>
        </is>
      </c>
      <c r="B5490" s="1" t="n">
        <v>44789</v>
      </c>
      <c r="C5490" s="1" t="n">
        <v>45357</v>
      </c>
      <c r="D5490" t="inlineStr">
        <is>
          <t>GÄVLEBORGS LÄN</t>
        </is>
      </c>
      <c r="E5490" t="inlineStr">
        <is>
          <t>HOFORS</t>
        </is>
      </c>
      <c r="F5490" t="inlineStr">
        <is>
          <t>Sveaskog</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33559-2022</t>
        </is>
      </c>
      <c r="B5491" s="1" t="n">
        <v>44789</v>
      </c>
      <c r="C5491" s="1" t="n">
        <v>45357</v>
      </c>
      <c r="D5491" t="inlineStr">
        <is>
          <t>GÄVLEBORGS LÄN</t>
        </is>
      </c>
      <c r="E5491" t="inlineStr">
        <is>
          <t>NORDANSTIG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33567-2022</t>
        </is>
      </c>
      <c r="B5492" s="1" t="n">
        <v>44789</v>
      </c>
      <c r="C5492" s="1" t="n">
        <v>45357</v>
      </c>
      <c r="D5492" t="inlineStr">
        <is>
          <t>GÄVLEBORGS LÄN</t>
        </is>
      </c>
      <c r="E5492" t="inlineStr">
        <is>
          <t>HUDIKSVALL</t>
        </is>
      </c>
      <c r="F5492" t="inlineStr">
        <is>
          <t>Holmen skog AB</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33568-2022</t>
        </is>
      </c>
      <c r="B5493" s="1" t="n">
        <v>44789</v>
      </c>
      <c r="C5493" s="1" t="n">
        <v>45357</v>
      </c>
      <c r="D5493" t="inlineStr">
        <is>
          <t>GÄVLEBORGS LÄN</t>
        </is>
      </c>
      <c r="E5493" t="inlineStr">
        <is>
          <t>LJUSDAL</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33626-2022</t>
        </is>
      </c>
      <c r="B5494" s="1" t="n">
        <v>44789</v>
      </c>
      <c r="C5494" s="1" t="n">
        <v>45357</v>
      </c>
      <c r="D5494" t="inlineStr">
        <is>
          <t>GÄVLEBORGS LÄN</t>
        </is>
      </c>
      <c r="E5494" t="inlineStr">
        <is>
          <t>LJUSDAL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33535-2022</t>
        </is>
      </c>
      <c r="B5495" s="1" t="n">
        <v>44789</v>
      </c>
      <c r="C5495" s="1" t="n">
        <v>45357</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33558-2022</t>
        </is>
      </c>
      <c r="B5496" s="1" t="n">
        <v>44789</v>
      </c>
      <c r="C5496" s="1" t="n">
        <v>45357</v>
      </c>
      <c r="D5496" t="inlineStr">
        <is>
          <t>GÄVLEBORGS LÄN</t>
        </is>
      </c>
      <c r="E5496" t="inlineStr">
        <is>
          <t>NORDANSTIG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33674-2022</t>
        </is>
      </c>
      <c r="B5497" s="1" t="n">
        <v>44789</v>
      </c>
      <c r="C5497" s="1" t="n">
        <v>45357</v>
      </c>
      <c r="D5497" t="inlineStr">
        <is>
          <t>GÄVLEBORGS LÄN</t>
        </is>
      </c>
      <c r="E5497" t="inlineStr">
        <is>
          <t>OVANÅKER</t>
        </is>
      </c>
      <c r="F5497" t="inlineStr">
        <is>
          <t>Holmen skog AB</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33806-2022</t>
        </is>
      </c>
      <c r="B5498" s="1" t="n">
        <v>44790</v>
      </c>
      <c r="C5498" s="1" t="n">
        <v>45357</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33880-2022</t>
        </is>
      </c>
      <c r="B5499" s="1" t="n">
        <v>44790</v>
      </c>
      <c r="C5499" s="1" t="n">
        <v>45357</v>
      </c>
      <c r="D5499" t="inlineStr">
        <is>
          <t>GÄVLEBORGS LÄN</t>
        </is>
      </c>
      <c r="E5499" t="inlineStr">
        <is>
          <t>GÄVLE</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33775-2022</t>
        </is>
      </c>
      <c r="B5500" s="1" t="n">
        <v>44790</v>
      </c>
      <c r="C5500" s="1" t="n">
        <v>45357</v>
      </c>
      <c r="D5500" t="inlineStr">
        <is>
          <t>GÄVLEBORGS LÄN</t>
        </is>
      </c>
      <c r="E5500" t="inlineStr">
        <is>
          <t>OVANÅKER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33752-2022</t>
        </is>
      </c>
      <c r="B5501" s="1" t="n">
        <v>44790</v>
      </c>
      <c r="C5501" s="1" t="n">
        <v>45357</v>
      </c>
      <c r="D5501" t="inlineStr">
        <is>
          <t>GÄVLEBORGS LÄN</t>
        </is>
      </c>
      <c r="E5501" t="inlineStr">
        <is>
          <t>HUDIKSVALL</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33968-2022</t>
        </is>
      </c>
      <c r="B5502" s="1" t="n">
        <v>44790</v>
      </c>
      <c r="C5502" s="1" t="n">
        <v>45357</v>
      </c>
      <c r="D5502" t="inlineStr">
        <is>
          <t>GÄVLEBORGS LÄN</t>
        </is>
      </c>
      <c r="E5502" t="inlineStr">
        <is>
          <t>HUDIKSVALL</t>
        </is>
      </c>
      <c r="F5502" t="inlineStr">
        <is>
          <t>Holmen skog AB</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33974-2022</t>
        </is>
      </c>
      <c r="B5503" s="1" t="n">
        <v>44790</v>
      </c>
      <c r="C5503" s="1" t="n">
        <v>45357</v>
      </c>
      <c r="D5503" t="inlineStr">
        <is>
          <t>GÄVLEBORGS LÄN</t>
        </is>
      </c>
      <c r="E5503" t="inlineStr">
        <is>
          <t>NORDANSTIG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34175-2022</t>
        </is>
      </c>
      <c r="B5504" s="1" t="n">
        <v>44791</v>
      </c>
      <c r="C5504" s="1" t="n">
        <v>45357</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34058-2022</t>
        </is>
      </c>
      <c r="B5505" s="1" t="n">
        <v>44791</v>
      </c>
      <c r="C5505" s="1" t="n">
        <v>45357</v>
      </c>
      <c r="D5505" t="inlineStr">
        <is>
          <t>GÄVLEBORGS LÄN</t>
        </is>
      </c>
      <c r="E5505" t="inlineStr">
        <is>
          <t>LJUSDAL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34116-2022</t>
        </is>
      </c>
      <c r="B5506" s="1" t="n">
        <v>44791</v>
      </c>
      <c r="C5506" s="1" t="n">
        <v>45357</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34172-2022</t>
        </is>
      </c>
      <c r="B5507" s="1" t="n">
        <v>44791</v>
      </c>
      <c r="C5507" s="1" t="n">
        <v>45357</v>
      </c>
      <c r="D5507" t="inlineStr">
        <is>
          <t>GÄVLEBORGS LÄN</t>
        </is>
      </c>
      <c r="E5507" t="inlineStr">
        <is>
          <t>LJUSDAL</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34363-2022</t>
        </is>
      </c>
      <c r="B5508" s="1" t="n">
        <v>44792</v>
      </c>
      <c r="C5508" s="1" t="n">
        <v>45357</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34370-2022</t>
        </is>
      </c>
      <c r="B5509" s="1" t="n">
        <v>44792</v>
      </c>
      <c r="C5509" s="1" t="n">
        <v>45357</v>
      </c>
      <c r="D5509" t="inlineStr">
        <is>
          <t>GÄVLEBORGS LÄN</t>
        </is>
      </c>
      <c r="E5509" t="inlineStr">
        <is>
          <t>HUDIKSVALL</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34422-2022</t>
        </is>
      </c>
      <c r="B5510" s="1" t="n">
        <v>44792</v>
      </c>
      <c r="C5510" s="1" t="n">
        <v>45357</v>
      </c>
      <c r="D5510" t="inlineStr">
        <is>
          <t>GÄVLEBORGS LÄN</t>
        </is>
      </c>
      <c r="E5510" t="inlineStr">
        <is>
          <t>LJUSDAL</t>
        </is>
      </c>
      <c r="F5510" t="inlineStr">
        <is>
          <t>Bergvik skog väst AB</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34352-2022</t>
        </is>
      </c>
      <c r="B5511" s="1" t="n">
        <v>44792</v>
      </c>
      <c r="C5511" s="1" t="n">
        <v>45357</v>
      </c>
      <c r="D5511" t="inlineStr">
        <is>
          <t>GÄVLEBORGS LÄN</t>
        </is>
      </c>
      <c r="E5511" t="inlineStr">
        <is>
          <t>HUDIKSVALL</t>
        </is>
      </c>
      <c r="F5511" t="inlineStr">
        <is>
          <t>Holmen skog AB</t>
        </is>
      </c>
      <c r="G5511" t="n">
        <v>13.3</v>
      </c>
      <c r="H5511" t="n">
        <v>0</v>
      </c>
      <c r="I5511" t="n">
        <v>0</v>
      </c>
      <c r="J5511" t="n">
        <v>0</v>
      </c>
      <c r="K5511" t="n">
        <v>0</v>
      </c>
      <c r="L5511" t="n">
        <v>0</v>
      </c>
      <c r="M5511" t="n">
        <v>0</v>
      </c>
      <c r="N5511" t="n">
        <v>0</v>
      </c>
      <c r="O5511" t="n">
        <v>0</v>
      </c>
      <c r="P5511" t="n">
        <v>0</v>
      </c>
      <c r="Q5511" t="n">
        <v>0</v>
      </c>
      <c r="R5511" s="2" t="inlineStr"/>
    </row>
    <row r="5512" ht="15" customHeight="1">
      <c r="A5512" t="inlineStr">
        <is>
          <t>A 34447-2022</t>
        </is>
      </c>
      <c r="B5512" s="1" t="n">
        <v>44792</v>
      </c>
      <c r="C5512" s="1" t="n">
        <v>45357</v>
      </c>
      <c r="D5512" t="inlineStr">
        <is>
          <t>GÄVLEBORGS LÄN</t>
        </is>
      </c>
      <c r="E5512" t="inlineStr">
        <is>
          <t>LJUSDAL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34457-2022</t>
        </is>
      </c>
      <c r="B5513" s="1" t="n">
        <v>44792</v>
      </c>
      <c r="C5513" s="1" t="n">
        <v>45357</v>
      </c>
      <c r="D5513" t="inlineStr">
        <is>
          <t>GÄVLEBORGS LÄN</t>
        </is>
      </c>
      <c r="E5513" t="inlineStr">
        <is>
          <t>LJUSDAL</t>
        </is>
      </c>
      <c r="F5513" t="inlineStr">
        <is>
          <t>Sveaskog</t>
        </is>
      </c>
      <c r="G5513" t="n">
        <v>11.1</v>
      </c>
      <c r="H5513" t="n">
        <v>0</v>
      </c>
      <c r="I5513" t="n">
        <v>0</v>
      </c>
      <c r="J5513" t="n">
        <v>0</v>
      </c>
      <c r="K5513" t="n">
        <v>0</v>
      </c>
      <c r="L5513" t="n">
        <v>0</v>
      </c>
      <c r="M5513" t="n">
        <v>0</v>
      </c>
      <c r="N5513" t="n">
        <v>0</v>
      </c>
      <c r="O5513" t="n">
        <v>0</v>
      </c>
      <c r="P5513" t="n">
        <v>0</v>
      </c>
      <c r="Q5513" t="n">
        <v>0</v>
      </c>
      <c r="R5513" s="2" t="inlineStr"/>
    </row>
    <row r="5514" ht="15" customHeight="1">
      <c r="A5514" t="inlineStr">
        <is>
          <t>A 34427-2022</t>
        </is>
      </c>
      <c r="B5514" s="1" t="n">
        <v>44792</v>
      </c>
      <c r="C5514" s="1" t="n">
        <v>45357</v>
      </c>
      <c r="D5514" t="inlineStr">
        <is>
          <t>GÄVLEBORGS LÄN</t>
        </is>
      </c>
      <c r="E5514" t="inlineStr">
        <is>
          <t>HUDIKSVALL</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34444-2022</t>
        </is>
      </c>
      <c r="B5515" s="1" t="n">
        <v>44792</v>
      </c>
      <c r="C5515" s="1" t="n">
        <v>45357</v>
      </c>
      <c r="D5515" t="inlineStr">
        <is>
          <t>GÄVLEBORGS LÄN</t>
        </is>
      </c>
      <c r="E5515" t="inlineStr">
        <is>
          <t>BOLLNÄS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34503-2022</t>
        </is>
      </c>
      <c r="B5516" s="1" t="n">
        <v>44792</v>
      </c>
      <c r="C5516" s="1" t="n">
        <v>45357</v>
      </c>
      <c r="D5516" t="inlineStr">
        <is>
          <t>GÄVLEBORGS LÄN</t>
        </is>
      </c>
      <c r="E5516" t="inlineStr">
        <is>
          <t>LJUSDAL</t>
        </is>
      </c>
      <c r="F5516" t="inlineStr">
        <is>
          <t>Sveaskog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34487-2022</t>
        </is>
      </c>
      <c r="B5517" s="1" t="n">
        <v>44792</v>
      </c>
      <c r="C5517" s="1" t="n">
        <v>45357</v>
      </c>
      <c r="D5517" t="inlineStr">
        <is>
          <t>GÄVLEBORGS LÄN</t>
        </is>
      </c>
      <c r="E5517" t="inlineStr">
        <is>
          <t>NORDANSTIG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34419-2022</t>
        </is>
      </c>
      <c r="B5518" s="1" t="n">
        <v>44792</v>
      </c>
      <c r="C5518" s="1" t="n">
        <v>45357</v>
      </c>
      <c r="D5518" t="inlineStr">
        <is>
          <t>GÄVLEBORGS LÄN</t>
        </is>
      </c>
      <c r="E5518" t="inlineStr">
        <is>
          <t>LJUSDAL</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34491-2022</t>
        </is>
      </c>
      <c r="B5519" s="1" t="n">
        <v>44792</v>
      </c>
      <c r="C5519" s="1" t="n">
        <v>45357</v>
      </c>
      <c r="D5519" t="inlineStr">
        <is>
          <t>GÄVLEBORGS LÄN</t>
        </is>
      </c>
      <c r="E5519" t="inlineStr">
        <is>
          <t>NORDANSTIG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34501-2022</t>
        </is>
      </c>
      <c r="B5520" s="1" t="n">
        <v>44792</v>
      </c>
      <c r="C5520" s="1" t="n">
        <v>45357</v>
      </c>
      <c r="D5520" t="inlineStr">
        <is>
          <t>GÄVLEBORGS LÄN</t>
        </is>
      </c>
      <c r="E5520" t="inlineStr">
        <is>
          <t>LJUSDAL</t>
        </is>
      </c>
      <c r="F5520" t="inlineStr">
        <is>
          <t>Sveaskog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34538-2022</t>
        </is>
      </c>
      <c r="B5521" s="1" t="n">
        <v>44793</v>
      </c>
      <c r="C5521" s="1" t="n">
        <v>45357</v>
      </c>
      <c r="D5521" t="inlineStr">
        <is>
          <t>GÄVLEBORGS LÄN</t>
        </is>
      </c>
      <c r="E5521" t="inlineStr">
        <is>
          <t>OCKELBO</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34602-2022</t>
        </is>
      </c>
      <c r="B5522" s="1" t="n">
        <v>44795</v>
      </c>
      <c r="C5522" s="1" t="n">
        <v>45357</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34664-2022</t>
        </is>
      </c>
      <c r="B5523" s="1" t="n">
        <v>44795</v>
      </c>
      <c r="C5523" s="1" t="n">
        <v>45357</v>
      </c>
      <c r="D5523" t="inlineStr">
        <is>
          <t>GÄVLEBORGS LÄN</t>
        </is>
      </c>
      <c r="E5523" t="inlineStr">
        <is>
          <t>HUDIKSVALL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34706-2022</t>
        </is>
      </c>
      <c r="B5524" s="1" t="n">
        <v>44795</v>
      </c>
      <c r="C5524" s="1" t="n">
        <v>45357</v>
      </c>
      <c r="D5524" t="inlineStr">
        <is>
          <t>GÄVLEBORGS LÄN</t>
        </is>
      </c>
      <c r="E5524" t="inlineStr">
        <is>
          <t>GÄVLE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34712-2022</t>
        </is>
      </c>
      <c r="B5525" s="1" t="n">
        <v>44795</v>
      </c>
      <c r="C5525" s="1" t="n">
        <v>45357</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34718-2022</t>
        </is>
      </c>
      <c r="B5526" s="1" t="n">
        <v>44795</v>
      </c>
      <c r="C5526" s="1" t="n">
        <v>45357</v>
      </c>
      <c r="D5526" t="inlineStr">
        <is>
          <t>GÄVLEBORGS LÄN</t>
        </is>
      </c>
      <c r="E5526" t="inlineStr">
        <is>
          <t>OCKELBO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34725-2022</t>
        </is>
      </c>
      <c r="B5527" s="1" t="n">
        <v>44795</v>
      </c>
      <c r="C5527" s="1" t="n">
        <v>45357</v>
      </c>
      <c r="D5527" t="inlineStr">
        <is>
          <t>GÄVLEBORGS LÄN</t>
        </is>
      </c>
      <c r="E5527" t="inlineStr">
        <is>
          <t>SÖDERHAMN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34771-2022</t>
        </is>
      </c>
      <c r="B5528" s="1" t="n">
        <v>44795</v>
      </c>
      <c r="C5528" s="1" t="n">
        <v>45357</v>
      </c>
      <c r="D5528" t="inlineStr">
        <is>
          <t>GÄVLEBORGS LÄN</t>
        </is>
      </c>
      <c r="E5528" t="inlineStr">
        <is>
          <t>LJUSDAL</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45357</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34709-2022</t>
        </is>
      </c>
      <c r="B5530" s="1" t="n">
        <v>44795</v>
      </c>
      <c r="C5530" s="1" t="n">
        <v>45357</v>
      </c>
      <c r="D5530" t="inlineStr">
        <is>
          <t>GÄVLEBORGS LÄN</t>
        </is>
      </c>
      <c r="E5530" t="inlineStr">
        <is>
          <t>OCKELBO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34722-2022</t>
        </is>
      </c>
      <c r="B5531" s="1" t="n">
        <v>44795</v>
      </c>
      <c r="C5531" s="1" t="n">
        <v>45357</v>
      </c>
      <c r="D5531" t="inlineStr">
        <is>
          <t>GÄVLEBORGS LÄN</t>
        </is>
      </c>
      <c r="E5531" t="inlineStr">
        <is>
          <t>OCKELBO</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34871-2022</t>
        </is>
      </c>
      <c r="B5532" s="1" t="n">
        <v>44796</v>
      </c>
      <c r="C5532" s="1" t="n">
        <v>45357</v>
      </c>
      <c r="D5532" t="inlineStr">
        <is>
          <t>GÄVLEBORGS LÄN</t>
        </is>
      </c>
      <c r="E5532" t="inlineStr">
        <is>
          <t>GÄVLE</t>
        </is>
      </c>
      <c r="F5532" t="inlineStr">
        <is>
          <t>Bergvik skog öst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34887-2022</t>
        </is>
      </c>
      <c r="B5533" s="1" t="n">
        <v>44796</v>
      </c>
      <c r="C5533" s="1" t="n">
        <v>45357</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34893-2022</t>
        </is>
      </c>
      <c r="B5534" s="1" t="n">
        <v>44796</v>
      </c>
      <c r="C5534" s="1" t="n">
        <v>45357</v>
      </c>
      <c r="D5534" t="inlineStr">
        <is>
          <t>GÄVLEBORGS LÄN</t>
        </is>
      </c>
      <c r="E5534" t="inlineStr">
        <is>
          <t>BOLLNÄS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34939-2022</t>
        </is>
      </c>
      <c r="B5535" s="1" t="n">
        <v>44796</v>
      </c>
      <c r="C5535" s="1" t="n">
        <v>45357</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34946-2022</t>
        </is>
      </c>
      <c r="B5536" s="1" t="n">
        <v>44796</v>
      </c>
      <c r="C5536" s="1" t="n">
        <v>45357</v>
      </c>
      <c r="D5536" t="inlineStr">
        <is>
          <t>GÄVLEBORGS LÄN</t>
        </is>
      </c>
      <c r="E5536" t="inlineStr">
        <is>
          <t>SANDVIKEN</t>
        </is>
      </c>
      <c r="F5536" t="inlineStr">
        <is>
          <t>Bergvik skog öst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35028-2022</t>
        </is>
      </c>
      <c r="B5537" s="1" t="n">
        <v>44797</v>
      </c>
      <c r="C5537" s="1" t="n">
        <v>45357</v>
      </c>
      <c r="D5537" t="inlineStr">
        <is>
          <t>GÄVLEBORGS LÄN</t>
        </is>
      </c>
      <c r="E5537" t="inlineStr">
        <is>
          <t>NORDANSTIG</t>
        </is>
      </c>
      <c r="F5537" t="inlineStr">
        <is>
          <t>SCA</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35048-2022</t>
        </is>
      </c>
      <c r="B5538" s="1" t="n">
        <v>44797</v>
      </c>
      <c r="C5538" s="1" t="n">
        <v>45357</v>
      </c>
      <c r="D5538" t="inlineStr">
        <is>
          <t>GÄVLEBORGS LÄN</t>
        </is>
      </c>
      <c r="E5538" t="inlineStr">
        <is>
          <t>OCKELBO</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35059-2022</t>
        </is>
      </c>
      <c r="B5539" s="1" t="n">
        <v>44797</v>
      </c>
      <c r="C5539" s="1" t="n">
        <v>45357</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35115-2022</t>
        </is>
      </c>
      <c r="B5540" s="1" t="n">
        <v>44797</v>
      </c>
      <c r="C5540" s="1" t="n">
        <v>45357</v>
      </c>
      <c r="D5540" t="inlineStr">
        <is>
          <t>GÄVLEBORGS LÄN</t>
        </is>
      </c>
      <c r="E5540" t="inlineStr">
        <is>
          <t>NORDANSTIG</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35035-2022</t>
        </is>
      </c>
      <c r="B5541" s="1" t="n">
        <v>44797</v>
      </c>
      <c r="C5541" s="1" t="n">
        <v>45357</v>
      </c>
      <c r="D5541" t="inlineStr">
        <is>
          <t>GÄVLEBORGS LÄN</t>
        </is>
      </c>
      <c r="E5541" t="inlineStr">
        <is>
          <t>LJUSDAL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35049-2022</t>
        </is>
      </c>
      <c r="B5542" s="1" t="n">
        <v>44797</v>
      </c>
      <c r="C5542" s="1" t="n">
        <v>45357</v>
      </c>
      <c r="D5542" t="inlineStr">
        <is>
          <t>GÄVLEBORGS LÄN</t>
        </is>
      </c>
      <c r="E5542" t="inlineStr">
        <is>
          <t>OCKELBO</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35070-2022</t>
        </is>
      </c>
      <c r="B5543" s="1" t="n">
        <v>44797</v>
      </c>
      <c r="C5543" s="1" t="n">
        <v>45357</v>
      </c>
      <c r="D5543" t="inlineStr">
        <is>
          <t>GÄVLEBORGS LÄN</t>
        </is>
      </c>
      <c r="E5543" t="inlineStr">
        <is>
          <t>NORDANSTIG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35129-2022</t>
        </is>
      </c>
      <c r="B5544" s="1" t="n">
        <v>44797</v>
      </c>
      <c r="C5544" s="1" t="n">
        <v>45357</v>
      </c>
      <c r="D5544" t="inlineStr">
        <is>
          <t>GÄVLEBORGS LÄN</t>
        </is>
      </c>
      <c r="E5544" t="inlineStr">
        <is>
          <t>NORDANSTIG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35053-2022</t>
        </is>
      </c>
      <c r="B5545" s="1" t="n">
        <v>44797</v>
      </c>
      <c r="C5545" s="1" t="n">
        <v>45357</v>
      </c>
      <c r="D5545" t="inlineStr">
        <is>
          <t>GÄVLEBORGS LÄN</t>
        </is>
      </c>
      <c r="E5545" t="inlineStr">
        <is>
          <t>OVANÅKER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35030-2022</t>
        </is>
      </c>
      <c r="B5546" s="1" t="n">
        <v>44797</v>
      </c>
      <c r="C5546" s="1" t="n">
        <v>45357</v>
      </c>
      <c r="D5546" t="inlineStr">
        <is>
          <t>GÄVLEBORGS LÄN</t>
        </is>
      </c>
      <c r="E5546" t="inlineStr">
        <is>
          <t>LJUSDAL</t>
        </is>
      </c>
      <c r="F5546" t="inlineStr">
        <is>
          <t>Sveaskog</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35054-2022</t>
        </is>
      </c>
      <c r="B5547" s="1" t="n">
        <v>44797</v>
      </c>
      <c r="C5547" s="1" t="n">
        <v>45357</v>
      </c>
      <c r="D5547" t="inlineStr">
        <is>
          <t>GÄVLEBORGS LÄN</t>
        </is>
      </c>
      <c r="E5547" t="inlineStr">
        <is>
          <t>OCKELBO</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35179-2022</t>
        </is>
      </c>
      <c r="B5548" s="1" t="n">
        <v>44797</v>
      </c>
      <c r="C5548" s="1" t="n">
        <v>45357</v>
      </c>
      <c r="D5548" t="inlineStr">
        <is>
          <t>GÄVLEBORGS LÄN</t>
        </is>
      </c>
      <c r="E5548" t="inlineStr">
        <is>
          <t>HUDIKSVALL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35184-2022</t>
        </is>
      </c>
      <c r="B5549" s="1" t="n">
        <v>44797</v>
      </c>
      <c r="C5549" s="1" t="n">
        <v>45357</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35185-2022</t>
        </is>
      </c>
      <c r="B5550" s="1" t="n">
        <v>44797</v>
      </c>
      <c r="C5550" s="1" t="n">
        <v>45357</v>
      </c>
      <c r="D5550" t="inlineStr">
        <is>
          <t>GÄVLEBORGS LÄN</t>
        </is>
      </c>
      <c r="E5550" t="inlineStr">
        <is>
          <t>SANDVIKEN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35159-2022</t>
        </is>
      </c>
      <c r="B5551" s="1" t="n">
        <v>44797</v>
      </c>
      <c r="C5551" s="1" t="n">
        <v>45357</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35324-2022</t>
        </is>
      </c>
      <c r="B5552" s="1" t="n">
        <v>44798</v>
      </c>
      <c r="C5552" s="1" t="n">
        <v>45357</v>
      </c>
      <c r="D5552" t="inlineStr">
        <is>
          <t>GÄVLEBORGS LÄN</t>
        </is>
      </c>
      <c r="E5552" t="inlineStr">
        <is>
          <t>OVANÅKER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35348-2022</t>
        </is>
      </c>
      <c r="B5553" s="1" t="n">
        <v>44798</v>
      </c>
      <c r="C5553" s="1" t="n">
        <v>45357</v>
      </c>
      <c r="D5553" t="inlineStr">
        <is>
          <t>GÄVLEBORGS LÄN</t>
        </is>
      </c>
      <c r="E5553" t="inlineStr">
        <is>
          <t>OVANÅKER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35268-2022</t>
        </is>
      </c>
      <c r="B5554" s="1" t="n">
        <v>44798</v>
      </c>
      <c r="C5554" s="1" t="n">
        <v>45357</v>
      </c>
      <c r="D5554" t="inlineStr">
        <is>
          <t>GÄVLEBORGS LÄN</t>
        </is>
      </c>
      <c r="E5554" t="inlineStr">
        <is>
          <t>HUDIKSVALL</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35245-2022</t>
        </is>
      </c>
      <c r="B5555" s="1" t="n">
        <v>44798</v>
      </c>
      <c r="C5555" s="1" t="n">
        <v>45357</v>
      </c>
      <c r="D5555" t="inlineStr">
        <is>
          <t>GÄVLEBORGS LÄN</t>
        </is>
      </c>
      <c r="E5555" t="inlineStr">
        <is>
          <t>BOLLNÄS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35387-2022</t>
        </is>
      </c>
      <c r="B5556" s="1" t="n">
        <v>44798</v>
      </c>
      <c r="C5556" s="1" t="n">
        <v>45357</v>
      </c>
      <c r="D5556" t="inlineStr">
        <is>
          <t>GÄVLEBORGS LÄN</t>
        </is>
      </c>
      <c r="E5556" t="inlineStr">
        <is>
          <t>LJUSDAL</t>
        </is>
      </c>
      <c r="F5556" t="inlineStr">
        <is>
          <t>Sveaskog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35461-2022</t>
        </is>
      </c>
      <c r="B5557" s="1" t="n">
        <v>44798</v>
      </c>
      <c r="C5557" s="1" t="n">
        <v>45357</v>
      </c>
      <c r="D5557" t="inlineStr">
        <is>
          <t>GÄVLEBORGS LÄN</t>
        </is>
      </c>
      <c r="E5557" t="inlineStr">
        <is>
          <t>LJUSDAL</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35433-2022</t>
        </is>
      </c>
      <c r="B5558" s="1" t="n">
        <v>44798</v>
      </c>
      <c r="C5558" s="1" t="n">
        <v>45357</v>
      </c>
      <c r="D5558" t="inlineStr">
        <is>
          <t>GÄVLEBORGS LÄN</t>
        </is>
      </c>
      <c r="E5558" t="inlineStr">
        <is>
          <t>HUDIKSVALL</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35479-2022</t>
        </is>
      </c>
      <c r="B5559" s="1" t="n">
        <v>44798</v>
      </c>
      <c r="C5559" s="1" t="n">
        <v>45357</v>
      </c>
      <c r="D5559" t="inlineStr">
        <is>
          <t>GÄVLEBORGS LÄN</t>
        </is>
      </c>
      <c r="E5559" t="inlineStr">
        <is>
          <t>NORDANSTIG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35467-2022</t>
        </is>
      </c>
      <c r="B5560" s="1" t="n">
        <v>44798</v>
      </c>
      <c r="C5560" s="1" t="n">
        <v>45357</v>
      </c>
      <c r="D5560" t="inlineStr">
        <is>
          <t>GÄVLEBORGS LÄN</t>
        </is>
      </c>
      <c r="E5560" t="inlineStr">
        <is>
          <t>LJUSDAL</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35527-2022</t>
        </is>
      </c>
      <c r="B5561" s="1" t="n">
        <v>44799</v>
      </c>
      <c r="C5561" s="1" t="n">
        <v>45357</v>
      </c>
      <c r="D5561" t="inlineStr">
        <is>
          <t>GÄVLEBORGS LÄN</t>
        </is>
      </c>
      <c r="E5561" t="inlineStr">
        <is>
          <t>LJUSDAL</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35586-2022</t>
        </is>
      </c>
      <c r="B5562" s="1" t="n">
        <v>44799</v>
      </c>
      <c r="C5562" s="1" t="n">
        <v>45357</v>
      </c>
      <c r="D5562" t="inlineStr">
        <is>
          <t>GÄVLEBORGS LÄN</t>
        </is>
      </c>
      <c r="E5562" t="inlineStr">
        <is>
          <t>LJUSDAL</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35536-2022</t>
        </is>
      </c>
      <c r="B5563" s="1" t="n">
        <v>44799</v>
      </c>
      <c r="C5563" s="1" t="n">
        <v>45357</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35665-2022</t>
        </is>
      </c>
      <c r="B5564" s="1" t="n">
        <v>44799</v>
      </c>
      <c r="C5564" s="1" t="n">
        <v>45357</v>
      </c>
      <c r="D5564" t="inlineStr">
        <is>
          <t>GÄVLEBORGS LÄN</t>
        </is>
      </c>
      <c r="E5564" t="inlineStr">
        <is>
          <t>SÖDERHAMN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35523-2022</t>
        </is>
      </c>
      <c r="B5565" s="1" t="n">
        <v>44799</v>
      </c>
      <c r="C5565" s="1" t="n">
        <v>45357</v>
      </c>
      <c r="D5565" t="inlineStr">
        <is>
          <t>GÄVLEBORGS LÄN</t>
        </is>
      </c>
      <c r="E5565" t="inlineStr">
        <is>
          <t>SANDVIKEN</t>
        </is>
      </c>
      <c r="G5565" t="n">
        <v>2.1</v>
      </c>
      <c r="H5565" t="n">
        <v>0</v>
      </c>
      <c r="I5565" t="n">
        <v>0</v>
      </c>
      <c r="J5565" t="n">
        <v>0</v>
      </c>
      <c r="K5565" t="n">
        <v>0</v>
      </c>
      <c r="L5565" t="n">
        <v>0</v>
      </c>
      <c r="M5565" t="n">
        <v>0</v>
      </c>
      <c r="N5565" t="n">
        <v>0</v>
      </c>
      <c r="O5565" t="n">
        <v>0</v>
      </c>
      <c r="P5565" t="n">
        <v>0</v>
      </c>
      <c r="Q5565" t="n">
        <v>0</v>
      </c>
      <c r="R5565" s="2" t="inlineStr"/>
      <c r="U5565">
        <f>HYPERLINK("https://klasma.github.io/Logging_2181/knärot/A 35523-2022 karta knärot.png", "A 35523-2022")</f>
        <v/>
      </c>
      <c r="V5565">
        <f>HYPERLINK("https://klasma.github.io/Logging_2181/klagomål/A 35523-2022 FSC-klagomål.docx", "A 35523-2022")</f>
        <v/>
      </c>
      <c r="W5565">
        <f>HYPERLINK("https://klasma.github.io/Logging_2181/klagomålsmail/A 35523-2022 FSC-klagomål mail.docx", "A 35523-2022")</f>
        <v/>
      </c>
      <c r="X5565">
        <f>HYPERLINK("https://klasma.github.io/Logging_2181/tillsyn/A 35523-2022 tillsynsbegäran.docx", "A 35523-2022")</f>
        <v/>
      </c>
      <c r="Y5565">
        <f>HYPERLINK("https://klasma.github.io/Logging_2181/tillsynsmail/A 35523-2022 tillsynsbegäran mail.docx", "A 35523-2022")</f>
        <v/>
      </c>
    </row>
    <row r="5566" ht="15" customHeight="1">
      <c r="A5566" t="inlineStr">
        <is>
          <t>A 35584-2022</t>
        </is>
      </c>
      <c r="B5566" s="1" t="n">
        <v>44799</v>
      </c>
      <c r="C5566" s="1" t="n">
        <v>45357</v>
      </c>
      <c r="D5566" t="inlineStr">
        <is>
          <t>GÄVLEBORGS LÄN</t>
        </is>
      </c>
      <c r="E5566" t="inlineStr">
        <is>
          <t>LJUSDAL</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35583-2022</t>
        </is>
      </c>
      <c r="B5567" s="1" t="n">
        <v>44799</v>
      </c>
      <c r="C5567" s="1" t="n">
        <v>45357</v>
      </c>
      <c r="D5567" t="inlineStr">
        <is>
          <t>GÄVLEBORGS LÄN</t>
        </is>
      </c>
      <c r="E5567" t="inlineStr">
        <is>
          <t>LJUSDAL</t>
        </is>
      </c>
      <c r="F5567" t="inlineStr">
        <is>
          <t>Sveaskog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35591-2022</t>
        </is>
      </c>
      <c r="B5568" s="1" t="n">
        <v>44799</v>
      </c>
      <c r="C5568" s="1" t="n">
        <v>45357</v>
      </c>
      <c r="D5568" t="inlineStr">
        <is>
          <t>GÄVLEBORGS LÄN</t>
        </is>
      </c>
      <c r="E5568" t="inlineStr">
        <is>
          <t>LJUSDAL</t>
        </is>
      </c>
      <c r="F5568" t="inlineStr">
        <is>
          <t>Sveaskog</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35737-2022</t>
        </is>
      </c>
      <c r="B5569" s="1" t="n">
        <v>44800</v>
      </c>
      <c r="C5569" s="1" t="n">
        <v>45357</v>
      </c>
      <c r="D5569" t="inlineStr">
        <is>
          <t>GÄVLEBORGS LÄN</t>
        </is>
      </c>
      <c r="E5569" t="inlineStr">
        <is>
          <t>OVANÅKER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35734-2022</t>
        </is>
      </c>
      <c r="B5570" s="1" t="n">
        <v>44800</v>
      </c>
      <c r="C5570" s="1" t="n">
        <v>45357</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35738-2022</t>
        </is>
      </c>
      <c r="B5571" s="1" t="n">
        <v>44800</v>
      </c>
      <c r="C5571" s="1" t="n">
        <v>45357</v>
      </c>
      <c r="D5571" t="inlineStr">
        <is>
          <t>GÄVLEBORGS LÄN</t>
        </is>
      </c>
      <c r="E5571" t="inlineStr">
        <is>
          <t>OVANÅKER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35735-2022</t>
        </is>
      </c>
      <c r="B5572" s="1" t="n">
        <v>44799</v>
      </c>
      <c r="C5572" s="1" t="n">
        <v>45357</v>
      </c>
      <c r="D5572" t="inlineStr">
        <is>
          <t>GÄVLEBORGS LÄN</t>
        </is>
      </c>
      <c r="E5572" t="inlineStr">
        <is>
          <t>BOLLNÄS</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35739-2022</t>
        </is>
      </c>
      <c r="B5573" s="1" t="n">
        <v>44799</v>
      </c>
      <c r="C5573" s="1" t="n">
        <v>45357</v>
      </c>
      <c r="D5573" t="inlineStr">
        <is>
          <t>GÄVLEBORGS LÄN</t>
        </is>
      </c>
      <c r="E5573" t="inlineStr">
        <is>
          <t>OVANÅKER</t>
        </is>
      </c>
      <c r="G5573" t="n">
        <v>4.6</v>
      </c>
      <c r="H5573" t="n">
        <v>0</v>
      </c>
      <c r="I5573" t="n">
        <v>0</v>
      </c>
      <c r="J5573" t="n">
        <v>0</v>
      </c>
      <c r="K5573" t="n">
        <v>0</v>
      </c>
      <c r="L5573" t="n">
        <v>0</v>
      </c>
      <c r="M5573" t="n">
        <v>0</v>
      </c>
      <c r="N5573" t="n">
        <v>0</v>
      </c>
      <c r="O5573" t="n">
        <v>0</v>
      </c>
      <c r="P5573" t="n">
        <v>0</v>
      </c>
      <c r="Q5573" t="n">
        <v>0</v>
      </c>
      <c r="R5573" s="2" t="inlineStr"/>
      <c r="U5573">
        <f>HYPERLINK("https://klasma.github.io/Logging_2121/knärot/A 35739-2022 karta knärot.png", "A 35739-2022")</f>
        <v/>
      </c>
      <c r="V5573">
        <f>HYPERLINK("https://klasma.github.io/Logging_2121/klagomål/A 35739-2022 FSC-klagomål.docx", "A 35739-2022")</f>
        <v/>
      </c>
      <c r="W5573">
        <f>HYPERLINK("https://klasma.github.io/Logging_2121/klagomålsmail/A 35739-2022 FSC-klagomål mail.docx", "A 35739-2022")</f>
        <v/>
      </c>
      <c r="X5573">
        <f>HYPERLINK("https://klasma.github.io/Logging_2121/tillsyn/A 35739-2022 tillsynsbegäran.docx", "A 35739-2022")</f>
        <v/>
      </c>
      <c r="Y5573">
        <f>HYPERLINK("https://klasma.github.io/Logging_2121/tillsynsmail/A 35739-2022 tillsynsbegäran mail.docx", "A 35739-2022")</f>
        <v/>
      </c>
    </row>
    <row r="5574" ht="15" customHeight="1">
      <c r="A5574" t="inlineStr">
        <is>
          <t>A 35736-2022</t>
        </is>
      </c>
      <c r="B5574" s="1" t="n">
        <v>44799</v>
      </c>
      <c r="C5574" s="1" t="n">
        <v>45357</v>
      </c>
      <c r="D5574" t="inlineStr">
        <is>
          <t>GÄVLEBORGS LÄN</t>
        </is>
      </c>
      <c r="E5574" t="inlineStr">
        <is>
          <t>BOLLNÄS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35761-2022</t>
        </is>
      </c>
      <c r="B5575" s="1" t="n">
        <v>44800</v>
      </c>
      <c r="C5575" s="1" t="n">
        <v>45357</v>
      </c>
      <c r="D5575" t="inlineStr">
        <is>
          <t>GÄVLEBORGS LÄN</t>
        </is>
      </c>
      <c r="E5575" t="inlineStr">
        <is>
          <t>GÄVLE</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35846-2022</t>
        </is>
      </c>
      <c r="B5576" s="1" t="n">
        <v>44802</v>
      </c>
      <c r="C5576" s="1" t="n">
        <v>45357</v>
      </c>
      <c r="D5576" t="inlineStr">
        <is>
          <t>GÄVLEBORGS LÄN</t>
        </is>
      </c>
      <c r="E5576" t="inlineStr">
        <is>
          <t>OCKELBO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35855-2022</t>
        </is>
      </c>
      <c r="B5577" s="1" t="n">
        <v>44802</v>
      </c>
      <c r="C5577" s="1" t="n">
        <v>45357</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35937-2022</t>
        </is>
      </c>
      <c r="B5578" s="1" t="n">
        <v>44802</v>
      </c>
      <c r="C5578" s="1" t="n">
        <v>45357</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35823-2022</t>
        </is>
      </c>
      <c r="B5579" s="1" t="n">
        <v>44802</v>
      </c>
      <c r="C5579" s="1" t="n">
        <v>45357</v>
      </c>
      <c r="D5579" t="inlineStr">
        <is>
          <t>GÄVLEBORGS LÄN</t>
        </is>
      </c>
      <c r="E5579" t="inlineStr">
        <is>
          <t>OVANÅKER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35890-2022</t>
        </is>
      </c>
      <c r="B5580" s="1" t="n">
        <v>44802</v>
      </c>
      <c r="C5580" s="1" t="n">
        <v>45357</v>
      </c>
      <c r="D5580" t="inlineStr">
        <is>
          <t>GÄVLEBORGS LÄN</t>
        </is>
      </c>
      <c r="E5580" t="inlineStr">
        <is>
          <t>LJUSDAL</t>
        </is>
      </c>
      <c r="F5580" t="inlineStr">
        <is>
          <t>Bergvik skog väst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35991-2022</t>
        </is>
      </c>
      <c r="B5581" s="1" t="n">
        <v>44802</v>
      </c>
      <c r="C5581" s="1" t="n">
        <v>45357</v>
      </c>
      <c r="D5581" t="inlineStr">
        <is>
          <t>GÄVLEBORGS LÄN</t>
        </is>
      </c>
      <c r="E5581" t="inlineStr">
        <is>
          <t>GÄVLE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35941-2022</t>
        </is>
      </c>
      <c r="B5582" s="1" t="n">
        <v>44802</v>
      </c>
      <c r="C5582" s="1" t="n">
        <v>45357</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36160-2022</t>
        </is>
      </c>
      <c r="B5583" s="1" t="n">
        <v>44803</v>
      </c>
      <c r="C5583" s="1" t="n">
        <v>45357</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36196-2022</t>
        </is>
      </c>
      <c r="B5584" s="1" t="n">
        <v>44803</v>
      </c>
      <c r="C5584" s="1" t="n">
        <v>45357</v>
      </c>
      <c r="D5584" t="inlineStr">
        <is>
          <t>GÄVLEBORGS LÄN</t>
        </is>
      </c>
      <c r="E5584" t="inlineStr">
        <is>
          <t>LJUSDAL</t>
        </is>
      </c>
      <c r="G5584" t="n">
        <v>37.7</v>
      </c>
      <c r="H5584" t="n">
        <v>0</v>
      </c>
      <c r="I5584" t="n">
        <v>0</v>
      </c>
      <c r="J5584" t="n">
        <v>0</v>
      </c>
      <c r="K5584" t="n">
        <v>0</v>
      </c>
      <c r="L5584" t="n">
        <v>0</v>
      </c>
      <c r="M5584" t="n">
        <v>0</v>
      </c>
      <c r="N5584" t="n">
        <v>0</v>
      </c>
      <c r="O5584" t="n">
        <v>0</v>
      </c>
      <c r="P5584" t="n">
        <v>0</v>
      </c>
      <c r="Q5584" t="n">
        <v>0</v>
      </c>
      <c r="R5584" s="2" t="inlineStr"/>
    </row>
    <row r="5585" ht="15" customHeight="1">
      <c r="A5585" t="inlineStr">
        <is>
          <t>A 36229-2022</t>
        </is>
      </c>
      <c r="B5585" s="1" t="n">
        <v>44803</v>
      </c>
      <c r="C5585" s="1" t="n">
        <v>45357</v>
      </c>
      <c r="D5585" t="inlineStr">
        <is>
          <t>GÄVLEBORGS LÄN</t>
        </is>
      </c>
      <c r="E5585" t="inlineStr">
        <is>
          <t>LJUSDAL</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36236-2022</t>
        </is>
      </c>
      <c r="B5586" s="1" t="n">
        <v>44803</v>
      </c>
      <c r="C5586" s="1" t="n">
        <v>45357</v>
      </c>
      <c r="D5586" t="inlineStr">
        <is>
          <t>GÄVLEBORGS LÄN</t>
        </is>
      </c>
      <c r="E5586" t="inlineStr">
        <is>
          <t>HUDIKSVALL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36233-2022</t>
        </is>
      </c>
      <c r="B5587" s="1" t="n">
        <v>44803</v>
      </c>
      <c r="C5587" s="1" t="n">
        <v>45357</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36301-2022</t>
        </is>
      </c>
      <c r="B5588" s="1" t="n">
        <v>44803</v>
      </c>
      <c r="C5588" s="1" t="n">
        <v>45357</v>
      </c>
      <c r="D5588" t="inlineStr">
        <is>
          <t>GÄVLEBORGS LÄN</t>
        </is>
      </c>
      <c r="E5588" t="inlineStr">
        <is>
          <t>LJUSDAL</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36466-2022</t>
        </is>
      </c>
      <c r="B5589" s="1" t="n">
        <v>44804</v>
      </c>
      <c r="C5589" s="1" t="n">
        <v>45357</v>
      </c>
      <c r="D5589" t="inlineStr">
        <is>
          <t>GÄVLEBORGS LÄN</t>
        </is>
      </c>
      <c r="E5589" t="inlineStr">
        <is>
          <t>LJUSDAL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36478-2022</t>
        </is>
      </c>
      <c r="B5590" s="1" t="n">
        <v>44804</v>
      </c>
      <c r="C5590" s="1" t="n">
        <v>45357</v>
      </c>
      <c r="D5590" t="inlineStr">
        <is>
          <t>GÄVLEBORGS LÄN</t>
        </is>
      </c>
      <c r="E5590" t="inlineStr">
        <is>
          <t>NORDANSTIG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36576-2022</t>
        </is>
      </c>
      <c r="B5591" s="1" t="n">
        <v>44804</v>
      </c>
      <c r="C5591" s="1" t="n">
        <v>45357</v>
      </c>
      <c r="D5591" t="inlineStr">
        <is>
          <t>GÄVLEBORGS LÄN</t>
        </is>
      </c>
      <c r="E5591" t="inlineStr">
        <is>
          <t>OVANÅKER</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36638-2022</t>
        </is>
      </c>
      <c r="B5592" s="1" t="n">
        <v>44804</v>
      </c>
      <c r="C5592" s="1" t="n">
        <v>45357</v>
      </c>
      <c r="D5592" t="inlineStr">
        <is>
          <t>GÄVLEBORGS LÄN</t>
        </is>
      </c>
      <c r="E5592" t="inlineStr">
        <is>
          <t>GÄVLE</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36470-2022</t>
        </is>
      </c>
      <c r="B5593" s="1" t="n">
        <v>44804</v>
      </c>
      <c r="C5593" s="1" t="n">
        <v>45357</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36475-2022</t>
        </is>
      </c>
      <c r="B5594" s="1" t="n">
        <v>44804</v>
      </c>
      <c r="C5594" s="1" t="n">
        <v>45357</v>
      </c>
      <c r="D5594" t="inlineStr">
        <is>
          <t>GÄVLEBORGS LÄN</t>
        </is>
      </c>
      <c r="E5594" t="inlineStr">
        <is>
          <t>LJUSDAL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36518-2022</t>
        </is>
      </c>
      <c r="B5595" s="1" t="n">
        <v>44804</v>
      </c>
      <c r="C5595" s="1" t="n">
        <v>45357</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36433-2022</t>
        </is>
      </c>
      <c r="B5596" s="1" t="n">
        <v>44804</v>
      </c>
      <c r="C5596" s="1" t="n">
        <v>45357</v>
      </c>
      <c r="D5596" t="inlineStr">
        <is>
          <t>GÄVLEBORGS LÄN</t>
        </is>
      </c>
      <c r="E5596" t="inlineStr">
        <is>
          <t>GÄVLE</t>
        </is>
      </c>
      <c r="F5596" t="inlineStr">
        <is>
          <t>Bergvik skog öst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36456-2022</t>
        </is>
      </c>
      <c r="B5597" s="1" t="n">
        <v>44804</v>
      </c>
      <c r="C5597" s="1" t="n">
        <v>45357</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36516-2022</t>
        </is>
      </c>
      <c r="B5598" s="1" t="n">
        <v>44804</v>
      </c>
      <c r="C5598" s="1" t="n">
        <v>45357</v>
      </c>
      <c r="D5598" t="inlineStr">
        <is>
          <t>GÄVLEBORGS LÄN</t>
        </is>
      </c>
      <c r="E5598" t="inlineStr">
        <is>
          <t>HUDIKSVALL</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36563-2022</t>
        </is>
      </c>
      <c r="B5599" s="1" t="n">
        <v>44804</v>
      </c>
      <c r="C5599" s="1" t="n">
        <v>45357</v>
      </c>
      <c r="D5599" t="inlineStr">
        <is>
          <t>GÄVLEBORGS LÄN</t>
        </is>
      </c>
      <c r="E5599" t="inlineStr">
        <is>
          <t>LJUSDAL</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36521-2022</t>
        </is>
      </c>
      <c r="B5600" s="1" t="n">
        <v>44804</v>
      </c>
      <c r="C5600" s="1" t="n">
        <v>45357</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36646-2022</t>
        </is>
      </c>
      <c r="B5601" s="1" t="n">
        <v>44804</v>
      </c>
      <c r="C5601" s="1" t="n">
        <v>45357</v>
      </c>
      <c r="D5601" t="inlineStr">
        <is>
          <t>GÄVLEBORGS LÄN</t>
        </is>
      </c>
      <c r="E5601" t="inlineStr">
        <is>
          <t>SANDVIKEN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36655-2022</t>
        </is>
      </c>
      <c r="B5602" s="1" t="n">
        <v>44804</v>
      </c>
      <c r="C5602" s="1" t="n">
        <v>45357</v>
      </c>
      <c r="D5602" t="inlineStr">
        <is>
          <t>GÄVLEBORGS LÄN</t>
        </is>
      </c>
      <c r="E5602" t="inlineStr">
        <is>
          <t>NORDANSTIG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36768-2022</t>
        </is>
      </c>
      <c r="B5603" s="1" t="n">
        <v>44805</v>
      </c>
      <c r="C5603" s="1" t="n">
        <v>45357</v>
      </c>
      <c r="D5603" t="inlineStr">
        <is>
          <t>GÄVLEBORGS LÄN</t>
        </is>
      </c>
      <c r="E5603" t="inlineStr">
        <is>
          <t>GÄVLE</t>
        </is>
      </c>
      <c r="F5603" t="inlineStr">
        <is>
          <t>Kyrkan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36779-2022</t>
        </is>
      </c>
      <c r="B5604" s="1" t="n">
        <v>44805</v>
      </c>
      <c r="C5604" s="1" t="n">
        <v>45357</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36718-2022</t>
        </is>
      </c>
      <c r="B5605" s="1" t="n">
        <v>44805</v>
      </c>
      <c r="C5605" s="1" t="n">
        <v>45357</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36851-2022</t>
        </is>
      </c>
      <c r="B5606" s="1" t="n">
        <v>44805</v>
      </c>
      <c r="C5606" s="1" t="n">
        <v>45357</v>
      </c>
      <c r="D5606" t="inlineStr">
        <is>
          <t>GÄVLEBORGS LÄN</t>
        </is>
      </c>
      <c r="E5606" t="inlineStr">
        <is>
          <t>OCKELBO</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36833-2022</t>
        </is>
      </c>
      <c r="B5607" s="1" t="n">
        <v>44805</v>
      </c>
      <c r="C5607" s="1" t="n">
        <v>45357</v>
      </c>
      <c r="D5607" t="inlineStr">
        <is>
          <t>GÄVLEBORGS LÄN</t>
        </is>
      </c>
      <c r="E5607" t="inlineStr">
        <is>
          <t>SANDVIKEN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36895-2022</t>
        </is>
      </c>
      <c r="B5608" s="1" t="n">
        <v>44805</v>
      </c>
      <c r="C5608" s="1" t="n">
        <v>45357</v>
      </c>
      <c r="D5608" t="inlineStr">
        <is>
          <t>GÄVLEBORGS LÄN</t>
        </is>
      </c>
      <c r="E5608" t="inlineStr">
        <is>
          <t>GÄVLE</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36882-2022</t>
        </is>
      </c>
      <c r="B5609" s="1" t="n">
        <v>44805</v>
      </c>
      <c r="C5609" s="1" t="n">
        <v>45357</v>
      </c>
      <c r="D5609" t="inlineStr">
        <is>
          <t>GÄVLEBORGS LÄN</t>
        </is>
      </c>
      <c r="E5609" t="inlineStr">
        <is>
          <t>HOFORS</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36912-2022</t>
        </is>
      </c>
      <c r="B5610" s="1" t="n">
        <v>44805</v>
      </c>
      <c r="C5610" s="1" t="n">
        <v>45357</v>
      </c>
      <c r="D5610" t="inlineStr">
        <is>
          <t>GÄVLEBORGS LÄN</t>
        </is>
      </c>
      <c r="E5610" t="inlineStr">
        <is>
          <t>HUDIKSVALL</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36920-2022</t>
        </is>
      </c>
      <c r="B5611" s="1" t="n">
        <v>44805</v>
      </c>
      <c r="C5611" s="1" t="n">
        <v>45357</v>
      </c>
      <c r="D5611" t="inlineStr">
        <is>
          <t>GÄVLEBORGS LÄN</t>
        </is>
      </c>
      <c r="E5611" t="inlineStr">
        <is>
          <t>SÖDERHAMN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36877-2022</t>
        </is>
      </c>
      <c r="B5612" s="1" t="n">
        <v>44805</v>
      </c>
      <c r="C5612" s="1" t="n">
        <v>45357</v>
      </c>
      <c r="D5612" t="inlineStr">
        <is>
          <t>GÄVLEBORGS LÄN</t>
        </is>
      </c>
      <c r="E5612" t="inlineStr">
        <is>
          <t>BOLLNÄS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36979-2022</t>
        </is>
      </c>
      <c r="B5613" s="1" t="n">
        <v>44806</v>
      </c>
      <c r="C5613" s="1" t="n">
        <v>45357</v>
      </c>
      <c r="D5613" t="inlineStr">
        <is>
          <t>GÄVLEBORGS LÄN</t>
        </is>
      </c>
      <c r="E5613" t="inlineStr">
        <is>
          <t>HUDIKSVALL</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37005-2022</t>
        </is>
      </c>
      <c r="B5614" s="1" t="n">
        <v>44806</v>
      </c>
      <c r="C5614" s="1" t="n">
        <v>45357</v>
      </c>
      <c r="D5614" t="inlineStr">
        <is>
          <t>GÄVLEBORGS LÄN</t>
        </is>
      </c>
      <c r="E5614" t="inlineStr">
        <is>
          <t>NORDANSTIG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37020-2022</t>
        </is>
      </c>
      <c r="B5615" s="1" t="n">
        <v>44806</v>
      </c>
      <c r="C5615" s="1" t="n">
        <v>45357</v>
      </c>
      <c r="D5615" t="inlineStr">
        <is>
          <t>GÄVLEBORGS LÄN</t>
        </is>
      </c>
      <c r="E5615" t="inlineStr">
        <is>
          <t>NORDANSTIG</t>
        </is>
      </c>
      <c r="F5615" t="inlineStr">
        <is>
          <t>Holmen skog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36974-2022</t>
        </is>
      </c>
      <c r="B5616" s="1" t="n">
        <v>44806</v>
      </c>
      <c r="C5616" s="1" t="n">
        <v>45357</v>
      </c>
      <c r="D5616" t="inlineStr">
        <is>
          <t>GÄVLEBORGS LÄN</t>
        </is>
      </c>
      <c r="E5616" t="inlineStr">
        <is>
          <t>NORDANSTIG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36981-2022</t>
        </is>
      </c>
      <c r="B5617" s="1" t="n">
        <v>44806</v>
      </c>
      <c r="C5617" s="1" t="n">
        <v>45357</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37134-2022</t>
        </is>
      </c>
      <c r="B5618" s="1" t="n">
        <v>44806</v>
      </c>
      <c r="C5618" s="1" t="n">
        <v>45357</v>
      </c>
      <c r="D5618" t="inlineStr">
        <is>
          <t>GÄVLEBORGS LÄN</t>
        </is>
      </c>
      <c r="E5618" t="inlineStr">
        <is>
          <t>NORDANSTIG</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37060-2022</t>
        </is>
      </c>
      <c r="B5619" s="1" t="n">
        <v>44806</v>
      </c>
      <c r="C5619" s="1" t="n">
        <v>45357</v>
      </c>
      <c r="D5619" t="inlineStr">
        <is>
          <t>GÄVLEBORGS LÄN</t>
        </is>
      </c>
      <c r="E5619" t="inlineStr">
        <is>
          <t>BOLLNÄS</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37071-2022</t>
        </is>
      </c>
      <c r="B5620" s="1" t="n">
        <v>44806</v>
      </c>
      <c r="C5620" s="1" t="n">
        <v>45357</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37317-2022</t>
        </is>
      </c>
      <c r="B5621" s="1" t="n">
        <v>44806</v>
      </c>
      <c r="C5621" s="1" t="n">
        <v>45357</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37303-2022</t>
        </is>
      </c>
      <c r="B5622" s="1" t="n">
        <v>44809</v>
      </c>
      <c r="C5622" s="1" t="n">
        <v>45357</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37295-2022</t>
        </is>
      </c>
      <c r="B5623" s="1" t="n">
        <v>44808</v>
      </c>
      <c r="C5623" s="1" t="n">
        <v>45357</v>
      </c>
      <c r="D5623" t="inlineStr">
        <is>
          <t>GÄVLEBORGS LÄN</t>
        </is>
      </c>
      <c r="E5623" t="inlineStr">
        <is>
          <t>NORDANSTIG</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37343-2022</t>
        </is>
      </c>
      <c r="B5624" s="1" t="n">
        <v>44809</v>
      </c>
      <c r="C5624" s="1" t="n">
        <v>45357</v>
      </c>
      <c r="D5624" t="inlineStr">
        <is>
          <t>GÄVLEBORGS LÄN</t>
        </is>
      </c>
      <c r="E5624" t="inlineStr">
        <is>
          <t>LJUSDAL</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37345-2022</t>
        </is>
      </c>
      <c r="B5625" s="1" t="n">
        <v>44809</v>
      </c>
      <c r="C5625" s="1" t="n">
        <v>45357</v>
      </c>
      <c r="D5625" t="inlineStr">
        <is>
          <t>GÄVLEBORGS LÄN</t>
        </is>
      </c>
      <c r="E5625" t="inlineStr">
        <is>
          <t>LJUSDAL</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37402-2022</t>
        </is>
      </c>
      <c r="B5626" s="1" t="n">
        <v>44809</v>
      </c>
      <c r="C5626" s="1" t="n">
        <v>45357</v>
      </c>
      <c r="D5626" t="inlineStr">
        <is>
          <t>GÄVLEBORGS LÄN</t>
        </is>
      </c>
      <c r="E5626" t="inlineStr">
        <is>
          <t>HUDIKSVALL</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37638-2022</t>
        </is>
      </c>
      <c r="B5627" s="1" t="n">
        <v>44810</v>
      </c>
      <c r="C5627" s="1" t="n">
        <v>45357</v>
      </c>
      <c r="D5627" t="inlineStr">
        <is>
          <t>GÄVLEBORGS LÄN</t>
        </is>
      </c>
      <c r="E5627" t="inlineStr">
        <is>
          <t>HUDIKSVALL</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37680-2022</t>
        </is>
      </c>
      <c r="B5628" s="1" t="n">
        <v>44810</v>
      </c>
      <c r="C5628" s="1" t="n">
        <v>45357</v>
      </c>
      <c r="D5628" t="inlineStr">
        <is>
          <t>GÄVLEBORGS LÄN</t>
        </is>
      </c>
      <c r="E5628" t="inlineStr">
        <is>
          <t>HOFORS</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37743-2022</t>
        </is>
      </c>
      <c r="B5629" s="1" t="n">
        <v>44810</v>
      </c>
      <c r="C5629" s="1" t="n">
        <v>45357</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37640-2022</t>
        </is>
      </c>
      <c r="B5630" s="1" t="n">
        <v>44810</v>
      </c>
      <c r="C5630" s="1" t="n">
        <v>45357</v>
      </c>
      <c r="D5630" t="inlineStr">
        <is>
          <t>GÄVLEBORGS LÄN</t>
        </is>
      </c>
      <c r="E5630" t="inlineStr">
        <is>
          <t>SÖDERHAMN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37681-2022</t>
        </is>
      </c>
      <c r="B5631" s="1" t="n">
        <v>44810</v>
      </c>
      <c r="C5631" s="1" t="n">
        <v>45357</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37632-2022</t>
        </is>
      </c>
      <c r="B5632" s="1" t="n">
        <v>44810</v>
      </c>
      <c r="C5632" s="1" t="n">
        <v>45357</v>
      </c>
      <c r="D5632" t="inlineStr">
        <is>
          <t>GÄVLEBORGS LÄN</t>
        </is>
      </c>
      <c r="E5632" t="inlineStr">
        <is>
          <t>BOLLNÄS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37697-2022</t>
        </is>
      </c>
      <c r="B5633" s="1" t="n">
        <v>44810</v>
      </c>
      <c r="C5633" s="1" t="n">
        <v>45357</v>
      </c>
      <c r="D5633" t="inlineStr">
        <is>
          <t>GÄVLEBORGS LÄN</t>
        </is>
      </c>
      <c r="E5633" t="inlineStr">
        <is>
          <t>SANDVIKEN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37767-2022</t>
        </is>
      </c>
      <c r="B5634" s="1" t="n">
        <v>44810</v>
      </c>
      <c r="C5634" s="1" t="n">
        <v>45357</v>
      </c>
      <c r="D5634" t="inlineStr">
        <is>
          <t>GÄVLEBORGS LÄN</t>
        </is>
      </c>
      <c r="E5634" t="inlineStr">
        <is>
          <t>HOFORS</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37775-2022</t>
        </is>
      </c>
      <c r="B5635" s="1" t="n">
        <v>44810</v>
      </c>
      <c r="C5635" s="1" t="n">
        <v>45357</v>
      </c>
      <c r="D5635" t="inlineStr">
        <is>
          <t>GÄVLEBORGS LÄN</t>
        </is>
      </c>
      <c r="E5635" t="inlineStr">
        <is>
          <t>GÄVLE</t>
        </is>
      </c>
      <c r="F5635" t="inlineStr">
        <is>
          <t>Bergvik skog väst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37795-2022</t>
        </is>
      </c>
      <c r="B5636" s="1" t="n">
        <v>44810</v>
      </c>
      <c r="C5636" s="1" t="n">
        <v>45357</v>
      </c>
      <c r="D5636" t="inlineStr">
        <is>
          <t>GÄVLEBORGS LÄN</t>
        </is>
      </c>
      <c r="E5636" t="inlineStr">
        <is>
          <t>GÄVLE</t>
        </is>
      </c>
      <c r="F5636" t="inlineStr">
        <is>
          <t>Bergvik skog väst AB</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37801-2022</t>
        </is>
      </c>
      <c r="B5637" s="1" t="n">
        <v>44810</v>
      </c>
      <c r="C5637" s="1" t="n">
        <v>45357</v>
      </c>
      <c r="D5637" t="inlineStr">
        <is>
          <t>GÄVLEBORGS LÄN</t>
        </is>
      </c>
      <c r="E5637" t="inlineStr">
        <is>
          <t>GÄVLE</t>
        </is>
      </c>
      <c r="F5637" t="inlineStr">
        <is>
          <t>Bergvik skog väst AB</t>
        </is>
      </c>
      <c r="G5637" t="n">
        <v>25.5</v>
      </c>
      <c r="H5637" t="n">
        <v>0</v>
      </c>
      <c r="I5637" t="n">
        <v>0</v>
      </c>
      <c r="J5637" t="n">
        <v>0</v>
      </c>
      <c r="K5637" t="n">
        <v>0</v>
      </c>
      <c r="L5637" t="n">
        <v>0</v>
      </c>
      <c r="M5637" t="n">
        <v>0</v>
      </c>
      <c r="N5637" t="n">
        <v>0</v>
      </c>
      <c r="O5637" t="n">
        <v>0</v>
      </c>
      <c r="P5637" t="n">
        <v>0</v>
      </c>
      <c r="Q5637" t="n">
        <v>0</v>
      </c>
      <c r="R5637" s="2" t="inlineStr"/>
    </row>
    <row r="5638" ht="15" customHeight="1">
      <c r="A5638" t="inlineStr">
        <is>
          <t>A 37792-2022</t>
        </is>
      </c>
      <c r="B5638" s="1" t="n">
        <v>44810</v>
      </c>
      <c r="C5638" s="1" t="n">
        <v>45357</v>
      </c>
      <c r="D5638" t="inlineStr">
        <is>
          <t>GÄVLEBORGS LÄN</t>
        </is>
      </c>
      <c r="E5638" t="inlineStr">
        <is>
          <t>LJUSDAL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37744-2022</t>
        </is>
      </c>
      <c r="B5639" s="1" t="n">
        <v>44810</v>
      </c>
      <c r="C5639" s="1" t="n">
        <v>45357</v>
      </c>
      <c r="D5639" t="inlineStr">
        <is>
          <t>GÄVLEBORGS LÄN</t>
        </is>
      </c>
      <c r="E5639" t="inlineStr">
        <is>
          <t>HOFORS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37925-2022</t>
        </is>
      </c>
      <c r="B5640" s="1" t="n">
        <v>44811</v>
      </c>
      <c r="C5640" s="1" t="n">
        <v>45357</v>
      </c>
      <c r="D5640" t="inlineStr">
        <is>
          <t>GÄVLEBORGS LÄN</t>
        </is>
      </c>
      <c r="E5640" t="inlineStr">
        <is>
          <t>OVANÅKER</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37931-2022</t>
        </is>
      </c>
      <c r="B5641" s="1" t="n">
        <v>44811</v>
      </c>
      <c r="C5641" s="1" t="n">
        <v>45357</v>
      </c>
      <c r="D5641" t="inlineStr">
        <is>
          <t>GÄVLEBORGS LÄN</t>
        </is>
      </c>
      <c r="E5641" t="inlineStr">
        <is>
          <t>HUDIKSVALL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37965-2022</t>
        </is>
      </c>
      <c r="B5642" s="1" t="n">
        <v>44811</v>
      </c>
      <c r="C5642" s="1" t="n">
        <v>45357</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37972-2022</t>
        </is>
      </c>
      <c r="B5643" s="1" t="n">
        <v>44811</v>
      </c>
      <c r="C5643" s="1" t="n">
        <v>45357</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37986-2022</t>
        </is>
      </c>
      <c r="B5644" s="1" t="n">
        <v>44811</v>
      </c>
      <c r="C5644" s="1" t="n">
        <v>45357</v>
      </c>
      <c r="D5644" t="inlineStr">
        <is>
          <t>GÄVLEBORGS LÄN</t>
        </is>
      </c>
      <c r="E5644" t="inlineStr">
        <is>
          <t>NORDANSTIG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37995-2022</t>
        </is>
      </c>
      <c r="B5645" s="1" t="n">
        <v>44811</v>
      </c>
      <c r="C5645" s="1" t="n">
        <v>45357</v>
      </c>
      <c r="D5645" t="inlineStr">
        <is>
          <t>GÄVLEBORGS LÄN</t>
        </is>
      </c>
      <c r="E5645" t="inlineStr">
        <is>
          <t>LJUSDAL</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38185-2022</t>
        </is>
      </c>
      <c r="B5646" s="1" t="n">
        <v>44812</v>
      </c>
      <c r="C5646" s="1" t="n">
        <v>45357</v>
      </c>
      <c r="D5646" t="inlineStr">
        <is>
          <t>GÄVLEBORGS LÄN</t>
        </is>
      </c>
      <c r="E5646" t="inlineStr">
        <is>
          <t>HUDIKSVALL</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38175-2022</t>
        </is>
      </c>
      <c r="B5647" s="1" t="n">
        <v>44812</v>
      </c>
      <c r="C5647" s="1" t="n">
        <v>45357</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38251-2022</t>
        </is>
      </c>
      <c r="B5648" s="1" t="n">
        <v>44812</v>
      </c>
      <c r="C5648" s="1" t="n">
        <v>45357</v>
      </c>
      <c r="D5648" t="inlineStr">
        <is>
          <t>GÄVLEBORGS LÄN</t>
        </is>
      </c>
      <c r="E5648" t="inlineStr">
        <is>
          <t>HOFORS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38296-2022</t>
        </is>
      </c>
      <c r="B5649" s="1" t="n">
        <v>44812</v>
      </c>
      <c r="C5649" s="1" t="n">
        <v>45357</v>
      </c>
      <c r="D5649" t="inlineStr">
        <is>
          <t>GÄVLEBORGS LÄN</t>
        </is>
      </c>
      <c r="E5649" t="inlineStr">
        <is>
          <t>HUDIKSVALL</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38315-2022</t>
        </is>
      </c>
      <c r="B5650" s="1" t="n">
        <v>44812</v>
      </c>
      <c r="C5650" s="1" t="n">
        <v>45357</v>
      </c>
      <c r="D5650" t="inlineStr">
        <is>
          <t>GÄVLEBORGS LÄN</t>
        </is>
      </c>
      <c r="E5650" t="inlineStr">
        <is>
          <t>OCKELBO</t>
        </is>
      </c>
      <c r="F5650" t="inlineStr">
        <is>
          <t>Bergvik skog väst AB</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38355-2022</t>
        </is>
      </c>
      <c r="B5651" s="1" t="n">
        <v>44812</v>
      </c>
      <c r="C5651" s="1" t="n">
        <v>45357</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38332-2022</t>
        </is>
      </c>
      <c r="B5652" s="1" t="n">
        <v>44812</v>
      </c>
      <c r="C5652" s="1" t="n">
        <v>45357</v>
      </c>
      <c r="D5652" t="inlineStr">
        <is>
          <t>GÄVLEBORGS LÄN</t>
        </is>
      </c>
      <c r="E5652" t="inlineStr">
        <is>
          <t>LJUSDAL</t>
        </is>
      </c>
      <c r="F5652" t="inlineStr">
        <is>
          <t>Allmännings- och besparingsskogar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38345-2022</t>
        </is>
      </c>
      <c r="B5653" s="1" t="n">
        <v>44812</v>
      </c>
      <c r="C5653" s="1" t="n">
        <v>45357</v>
      </c>
      <c r="D5653" t="inlineStr">
        <is>
          <t>GÄVLEBORGS LÄN</t>
        </is>
      </c>
      <c r="E5653" t="inlineStr">
        <is>
          <t>NORDANSTIG</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38252-2022</t>
        </is>
      </c>
      <c r="B5654" s="1" t="n">
        <v>44812</v>
      </c>
      <c r="C5654" s="1" t="n">
        <v>45357</v>
      </c>
      <c r="D5654" t="inlineStr">
        <is>
          <t>GÄVLEBORGS LÄN</t>
        </is>
      </c>
      <c r="E5654" t="inlineStr">
        <is>
          <t>NORDANSTIG</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38324-2022</t>
        </is>
      </c>
      <c r="B5655" s="1" t="n">
        <v>44812</v>
      </c>
      <c r="C5655" s="1" t="n">
        <v>45357</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38328-2022</t>
        </is>
      </c>
      <c r="B5656" s="1" t="n">
        <v>44812</v>
      </c>
      <c r="C5656" s="1" t="n">
        <v>45357</v>
      </c>
      <c r="D5656" t="inlineStr">
        <is>
          <t>GÄVLEBORGS LÄN</t>
        </is>
      </c>
      <c r="E5656" t="inlineStr">
        <is>
          <t>OCKELBO</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38341-2022</t>
        </is>
      </c>
      <c r="B5657" s="1" t="n">
        <v>44812</v>
      </c>
      <c r="C5657" s="1" t="n">
        <v>45357</v>
      </c>
      <c r="D5657" t="inlineStr">
        <is>
          <t>GÄVLEBORGS LÄN</t>
        </is>
      </c>
      <c r="E5657" t="inlineStr">
        <is>
          <t>HUDIKSVALL</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38348-2022</t>
        </is>
      </c>
      <c r="B5658" s="1" t="n">
        <v>44812</v>
      </c>
      <c r="C5658" s="1" t="n">
        <v>45357</v>
      </c>
      <c r="D5658" t="inlineStr">
        <is>
          <t>GÄVLEBORGS LÄN</t>
        </is>
      </c>
      <c r="E5658" t="inlineStr">
        <is>
          <t>NORDANSTIG</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38480-2022</t>
        </is>
      </c>
      <c r="B5659" s="1" t="n">
        <v>44813</v>
      </c>
      <c r="C5659" s="1" t="n">
        <v>45357</v>
      </c>
      <c r="D5659" t="inlineStr">
        <is>
          <t>GÄVLEBORGS LÄN</t>
        </is>
      </c>
      <c r="E5659" t="inlineStr">
        <is>
          <t>HUDIKSVALL</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38566-2022</t>
        </is>
      </c>
      <c r="B5660" s="1" t="n">
        <v>44813</v>
      </c>
      <c r="C5660" s="1" t="n">
        <v>45357</v>
      </c>
      <c r="D5660" t="inlineStr">
        <is>
          <t>GÄVLEBORGS LÄN</t>
        </is>
      </c>
      <c r="E5660" t="inlineStr">
        <is>
          <t>GÄVLE</t>
        </is>
      </c>
      <c r="F5660" t="inlineStr">
        <is>
          <t>Bergvik skog öst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38479-2022</t>
        </is>
      </c>
      <c r="B5661" s="1" t="n">
        <v>44813</v>
      </c>
      <c r="C5661" s="1" t="n">
        <v>45357</v>
      </c>
      <c r="D5661" t="inlineStr">
        <is>
          <t>GÄVLEBORGS LÄN</t>
        </is>
      </c>
      <c r="E5661" t="inlineStr">
        <is>
          <t>LJUSDAL</t>
        </is>
      </c>
      <c r="F5661" t="inlineStr">
        <is>
          <t>Bergvik skog väst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38540-2022</t>
        </is>
      </c>
      <c r="B5662" s="1" t="n">
        <v>44813</v>
      </c>
      <c r="C5662" s="1" t="n">
        <v>45357</v>
      </c>
      <c r="D5662" t="inlineStr">
        <is>
          <t>GÄVLEBORGS LÄN</t>
        </is>
      </c>
      <c r="E5662" t="inlineStr">
        <is>
          <t>LJUSDAL</t>
        </is>
      </c>
      <c r="F5662" t="inlineStr">
        <is>
          <t>Allmännings- och besparingsskogar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38447-2022</t>
        </is>
      </c>
      <c r="B5663" s="1" t="n">
        <v>44813</v>
      </c>
      <c r="C5663" s="1" t="n">
        <v>45357</v>
      </c>
      <c r="D5663" t="inlineStr">
        <is>
          <t>GÄVLEBORGS LÄN</t>
        </is>
      </c>
      <c r="E5663" t="inlineStr">
        <is>
          <t>GÄVLE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38499-2022</t>
        </is>
      </c>
      <c r="B5664" s="1" t="n">
        <v>44813</v>
      </c>
      <c r="C5664" s="1" t="n">
        <v>45357</v>
      </c>
      <c r="D5664" t="inlineStr">
        <is>
          <t>GÄVLEBORGS LÄN</t>
        </is>
      </c>
      <c r="E5664" t="inlineStr">
        <is>
          <t>LJUSDAL</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38548-2022</t>
        </is>
      </c>
      <c r="B5665" s="1" t="n">
        <v>44813</v>
      </c>
      <c r="C5665" s="1" t="n">
        <v>45357</v>
      </c>
      <c r="D5665" t="inlineStr">
        <is>
          <t>GÄVLEBORGS LÄN</t>
        </is>
      </c>
      <c r="E5665" t="inlineStr">
        <is>
          <t>SÖDERHAMN</t>
        </is>
      </c>
      <c r="F5665" t="inlineStr">
        <is>
          <t>Kyrkan</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38575-2022</t>
        </is>
      </c>
      <c r="B5666" s="1" t="n">
        <v>44813</v>
      </c>
      <c r="C5666" s="1" t="n">
        <v>45357</v>
      </c>
      <c r="D5666" t="inlineStr">
        <is>
          <t>GÄVLEBORGS LÄN</t>
        </is>
      </c>
      <c r="E5666" t="inlineStr">
        <is>
          <t>LJUSDAL</t>
        </is>
      </c>
      <c r="F5666" t="inlineStr">
        <is>
          <t>Allmännings- och besparingsskogar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38594-2022</t>
        </is>
      </c>
      <c r="B5667" s="1" t="n">
        <v>44813</v>
      </c>
      <c r="C5667" s="1" t="n">
        <v>45357</v>
      </c>
      <c r="D5667" t="inlineStr">
        <is>
          <t>GÄVLEBORGS LÄN</t>
        </is>
      </c>
      <c r="E5667" t="inlineStr">
        <is>
          <t>LJUSDAL</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38598-2022</t>
        </is>
      </c>
      <c r="B5668" s="1" t="n">
        <v>44813</v>
      </c>
      <c r="C5668" s="1" t="n">
        <v>45357</v>
      </c>
      <c r="D5668" t="inlineStr">
        <is>
          <t>GÄVLEBORGS LÄN</t>
        </is>
      </c>
      <c r="E5668" t="inlineStr">
        <is>
          <t>LJUSDAL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38603-2022</t>
        </is>
      </c>
      <c r="B5669" s="1" t="n">
        <v>44813</v>
      </c>
      <c r="C5669" s="1" t="n">
        <v>45357</v>
      </c>
      <c r="D5669" t="inlineStr">
        <is>
          <t>GÄVLEBORGS LÄN</t>
        </is>
      </c>
      <c r="E5669" t="inlineStr">
        <is>
          <t>NORDANSTIG</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38609-2022</t>
        </is>
      </c>
      <c r="B5670" s="1" t="n">
        <v>44813</v>
      </c>
      <c r="C5670" s="1" t="n">
        <v>45357</v>
      </c>
      <c r="D5670" t="inlineStr">
        <is>
          <t>GÄVLEBORGS LÄN</t>
        </is>
      </c>
      <c r="E5670" t="inlineStr">
        <is>
          <t>SANDVIKEN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38596-2022</t>
        </is>
      </c>
      <c r="B5671" s="1" t="n">
        <v>44813</v>
      </c>
      <c r="C5671" s="1" t="n">
        <v>45357</v>
      </c>
      <c r="D5671" t="inlineStr">
        <is>
          <t>GÄVLEBORGS LÄN</t>
        </is>
      </c>
      <c r="E5671" t="inlineStr">
        <is>
          <t>LJUSDAL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38601-2022</t>
        </is>
      </c>
      <c r="B5672" s="1" t="n">
        <v>44813</v>
      </c>
      <c r="C5672" s="1" t="n">
        <v>45357</v>
      </c>
      <c r="D5672" t="inlineStr">
        <is>
          <t>GÄVLEBORGS LÄN</t>
        </is>
      </c>
      <c r="E5672" t="inlineStr">
        <is>
          <t>NORDANSTIG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38806-2022</t>
        </is>
      </c>
      <c r="B5673" s="1" t="n">
        <v>44816</v>
      </c>
      <c r="C5673" s="1" t="n">
        <v>45357</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38815-2022</t>
        </is>
      </c>
      <c r="B5674" s="1" t="n">
        <v>44816</v>
      </c>
      <c r="C5674" s="1" t="n">
        <v>45357</v>
      </c>
      <c r="D5674" t="inlineStr">
        <is>
          <t>GÄVLEBORGS LÄN</t>
        </is>
      </c>
      <c r="E5674" t="inlineStr">
        <is>
          <t>HOFORS</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38867-2022</t>
        </is>
      </c>
      <c r="B5675" s="1" t="n">
        <v>44816</v>
      </c>
      <c r="C5675" s="1" t="n">
        <v>45357</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v>
      </c>
      <c r="C5676" s="1" t="n">
        <v>45357</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38895-2022</t>
        </is>
      </c>
      <c r="B5677" s="1" t="n">
        <v>44816</v>
      </c>
      <c r="C5677" s="1" t="n">
        <v>45357</v>
      </c>
      <c r="D5677" t="inlineStr">
        <is>
          <t>GÄVLEBORGS LÄN</t>
        </is>
      </c>
      <c r="E5677" t="inlineStr">
        <is>
          <t>NORDANSTIG</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38910-2022</t>
        </is>
      </c>
      <c r="B5678" s="1" t="n">
        <v>44816</v>
      </c>
      <c r="C5678" s="1" t="n">
        <v>45357</v>
      </c>
      <c r="D5678" t="inlineStr">
        <is>
          <t>GÄVLEBORGS LÄN</t>
        </is>
      </c>
      <c r="E5678" t="inlineStr">
        <is>
          <t>OCKELBO</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38800-2022</t>
        </is>
      </c>
      <c r="B5679" s="1" t="n">
        <v>44816</v>
      </c>
      <c r="C5679" s="1" t="n">
        <v>45357</v>
      </c>
      <c r="D5679" t="inlineStr">
        <is>
          <t>GÄVLEBORGS LÄN</t>
        </is>
      </c>
      <c r="E5679" t="inlineStr">
        <is>
          <t>NORDANSTIG</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38744-2022</t>
        </is>
      </c>
      <c r="B5680" s="1" t="n">
        <v>44816</v>
      </c>
      <c r="C5680" s="1" t="n">
        <v>45357</v>
      </c>
      <c r="D5680" t="inlineStr">
        <is>
          <t>GÄVLEBORGS LÄN</t>
        </is>
      </c>
      <c r="E5680" t="inlineStr">
        <is>
          <t>HUDIKSVALL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38859-2022</t>
        </is>
      </c>
      <c r="B5681" s="1" t="n">
        <v>44816</v>
      </c>
      <c r="C5681" s="1" t="n">
        <v>45357</v>
      </c>
      <c r="D5681" t="inlineStr">
        <is>
          <t>GÄVLEBORGS LÄN</t>
        </is>
      </c>
      <c r="E5681" t="inlineStr">
        <is>
          <t>NORDANSTIG</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38824-2022</t>
        </is>
      </c>
      <c r="B5682" s="1" t="n">
        <v>44816</v>
      </c>
      <c r="C5682" s="1" t="n">
        <v>45357</v>
      </c>
      <c r="D5682" t="inlineStr">
        <is>
          <t>GÄVLEBORGS LÄN</t>
        </is>
      </c>
      <c r="E5682" t="inlineStr">
        <is>
          <t>LJUSDAL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38868-2022</t>
        </is>
      </c>
      <c r="B5683" s="1" t="n">
        <v>44816</v>
      </c>
      <c r="C5683" s="1" t="n">
        <v>45357</v>
      </c>
      <c r="D5683" t="inlineStr">
        <is>
          <t>GÄVLEBORGS LÄN</t>
        </is>
      </c>
      <c r="E5683" t="inlineStr">
        <is>
          <t>NORDANSTIG</t>
        </is>
      </c>
      <c r="F5683" t="inlineStr">
        <is>
          <t>Holmen skog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38878-2022</t>
        </is>
      </c>
      <c r="B5684" s="1" t="n">
        <v>44816</v>
      </c>
      <c r="C5684" s="1" t="n">
        <v>45357</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v>
      </c>
      <c r="C5685" s="1" t="n">
        <v>45357</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38972-2022</t>
        </is>
      </c>
      <c r="B5686" s="1" t="n">
        <v>44816</v>
      </c>
      <c r="C5686" s="1" t="n">
        <v>45357</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39037-2022</t>
        </is>
      </c>
      <c r="B5687" s="1" t="n">
        <v>44817</v>
      </c>
      <c r="C5687" s="1" t="n">
        <v>45357</v>
      </c>
      <c r="D5687" t="inlineStr">
        <is>
          <t>GÄVLEBORGS LÄN</t>
        </is>
      </c>
      <c r="E5687" t="inlineStr">
        <is>
          <t>SÖDERHAMN</t>
        </is>
      </c>
      <c r="F5687" t="inlineStr">
        <is>
          <t>Bergvik skog väst AB</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39114-2022</t>
        </is>
      </c>
      <c r="B5688" s="1" t="n">
        <v>44817</v>
      </c>
      <c r="C5688" s="1" t="n">
        <v>45357</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39126-2022</t>
        </is>
      </c>
      <c r="B5689" s="1" t="n">
        <v>44817</v>
      </c>
      <c r="C5689" s="1" t="n">
        <v>45357</v>
      </c>
      <c r="D5689" t="inlineStr">
        <is>
          <t>GÄVLEBORGS LÄN</t>
        </is>
      </c>
      <c r="E5689" t="inlineStr">
        <is>
          <t>LJUSDAL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39208-2022</t>
        </is>
      </c>
      <c r="B5690" s="1" t="n">
        <v>44817</v>
      </c>
      <c r="C5690" s="1" t="n">
        <v>45357</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39241-2022</t>
        </is>
      </c>
      <c r="B5691" s="1" t="n">
        <v>44817</v>
      </c>
      <c r="C5691" s="1" t="n">
        <v>45357</v>
      </c>
      <c r="D5691" t="inlineStr">
        <is>
          <t>GÄVLEBORGS LÄN</t>
        </is>
      </c>
      <c r="E5691" t="inlineStr">
        <is>
          <t>SANDVIKEN</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39301-2022</t>
        </is>
      </c>
      <c r="B5692" s="1" t="n">
        <v>44817</v>
      </c>
      <c r="C5692" s="1" t="n">
        <v>45357</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39041-2022</t>
        </is>
      </c>
      <c r="B5693" s="1" t="n">
        <v>44817</v>
      </c>
      <c r="C5693" s="1" t="n">
        <v>45357</v>
      </c>
      <c r="D5693" t="inlineStr">
        <is>
          <t>GÄVLEBORGS LÄN</t>
        </is>
      </c>
      <c r="E5693" t="inlineStr">
        <is>
          <t>HUDIKSVALL</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39062-2022</t>
        </is>
      </c>
      <c r="B5694" s="1" t="n">
        <v>44817</v>
      </c>
      <c r="C5694" s="1" t="n">
        <v>45357</v>
      </c>
      <c r="D5694" t="inlineStr">
        <is>
          <t>GÄVLEBORGS LÄN</t>
        </is>
      </c>
      <c r="E5694" t="inlineStr">
        <is>
          <t>LJUSDAL</t>
        </is>
      </c>
      <c r="F5694" t="inlineStr">
        <is>
          <t>Bergvik skog väst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39170-2022</t>
        </is>
      </c>
      <c r="B5695" s="1" t="n">
        <v>44817</v>
      </c>
      <c r="C5695" s="1" t="n">
        <v>45357</v>
      </c>
      <c r="D5695" t="inlineStr">
        <is>
          <t>GÄVLEBORGS LÄN</t>
        </is>
      </c>
      <c r="E5695" t="inlineStr">
        <is>
          <t>SANDVIKEN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39325-2022</t>
        </is>
      </c>
      <c r="B5696" s="1" t="n">
        <v>44817</v>
      </c>
      <c r="C5696" s="1" t="n">
        <v>45357</v>
      </c>
      <c r="D5696" t="inlineStr">
        <is>
          <t>GÄVLEBORGS LÄN</t>
        </is>
      </c>
      <c r="E5696" t="inlineStr">
        <is>
          <t>OCKELBO</t>
        </is>
      </c>
      <c r="F5696" t="inlineStr">
        <is>
          <t>Bergvik skog väst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39064-2022</t>
        </is>
      </c>
      <c r="B5697" s="1" t="n">
        <v>44817</v>
      </c>
      <c r="C5697" s="1" t="n">
        <v>45357</v>
      </c>
      <c r="D5697" t="inlineStr">
        <is>
          <t>GÄVLEBORGS LÄN</t>
        </is>
      </c>
      <c r="E5697" t="inlineStr">
        <is>
          <t>LJUSDAL</t>
        </is>
      </c>
      <c r="F5697" t="inlineStr">
        <is>
          <t>Bergvik skog väst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39093-2022</t>
        </is>
      </c>
      <c r="B5698" s="1" t="n">
        <v>44817</v>
      </c>
      <c r="C5698" s="1" t="n">
        <v>45357</v>
      </c>
      <c r="D5698" t="inlineStr">
        <is>
          <t>GÄVLEBORGS LÄN</t>
        </is>
      </c>
      <c r="E5698" t="inlineStr">
        <is>
          <t>SÖDERHAMN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39107-2022</t>
        </is>
      </c>
      <c r="B5699" s="1" t="n">
        <v>44817</v>
      </c>
      <c r="C5699" s="1" t="n">
        <v>45357</v>
      </c>
      <c r="D5699" t="inlineStr">
        <is>
          <t>GÄVLEBORGS LÄN</t>
        </is>
      </c>
      <c r="E5699" t="inlineStr">
        <is>
          <t>GÄVLE</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39258-2022</t>
        </is>
      </c>
      <c r="B5700" s="1" t="n">
        <v>44817</v>
      </c>
      <c r="C5700" s="1" t="n">
        <v>45357</v>
      </c>
      <c r="D5700" t="inlineStr">
        <is>
          <t>GÄVLEBORGS LÄN</t>
        </is>
      </c>
      <c r="E5700" t="inlineStr">
        <is>
          <t>HUDIKSVALL</t>
        </is>
      </c>
      <c r="F5700" t="inlineStr">
        <is>
          <t>Holmen skog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39267-2022</t>
        </is>
      </c>
      <c r="B5701" s="1" t="n">
        <v>44817</v>
      </c>
      <c r="C5701" s="1" t="n">
        <v>45357</v>
      </c>
      <c r="D5701" t="inlineStr">
        <is>
          <t>GÄVLEBORGS LÄN</t>
        </is>
      </c>
      <c r="E5701" t="inlineStr">
        <is>
          <t>HUDIKSVALL</t>
        </is>
      </c>
      <c r="F5701" t="inlineStr">
        <is>
          <t>Holmen skog AB</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39141-2022</t>
        </is>
      </c>
      <c r="B5702" s="1" t="n">
        <v>44817</v>
      </c>
      <c r="C5702" s="1" t="n">
        <v>45357</v>
      </c>
      <c r="D5702" t="inlineStr">
        <is>
          <t>GÄVLEBORGS LÄN</t>
        </is>
      </c>
      <c r="E5702" t="inlineStr">
        <is>
          <t>LJUSDAL</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39228-2022</t>
        </is>
      </c>
      <c r="B5703" s="1" t="n">
        <v>44817</v>
      </c>
      <c r="C5703" s="1" t="n">
        <v>45357</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39443-2022</t>
        </is>
      </c>
      <c r="B5704" s="1" t="n">
        <v>44818</v>
      </c>
      <c r="C5704" s="1" t="n">
        <v>45357</v>
      </c>
      <c r="D5704" t="inlineStr">
        <is>
          <t>GÄVLEBORGS LÄN</t>
        </is>
      </c>
      <c r="E5704" t="inlineStr">
        <is>
          <t>HUDIKSVALL</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39509-2022</t>
        </is>
      </c>
      <c r="B5705" s="1" t="n">
        <v>44818</v>
      </c>
      <c r="C5705" s="1" t="n">
        <v>45357</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39517-2022</t>
        </is>
      </c>
      <c r="B5706" s="1" t="n">
        <v>44818</v>
      </c>
      <c r="C5706" s="1" t="n">
        <v>45357</v>
      </c>
      <c r="D5706" t="inlineStr">
        <is>
          <t>GÄVLEBORGS LÄN</t>
        </is>
      </c>
      <c r="E5706" t="inlineStr">
        <is>
          <t>NORDANSTIG</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39528-2022</t>
        </is>
      </c>
      <c r="B5707" s="1" t="n">
        <v>44818</v>
      </c>
      <c r="C5707" s="1" t="n">
        <v>45357</v>
      </c>
      <c r="D5707" t="inlineStr">
        <is>
          <t>GÄVLEBORGS LÄN</t>
        </is>
      </c>
      <c r="E5707" t="inlineStr">
        <is>
          <t>BOLLNÄS</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39557-2022</t>
        </is>
      </c>
      <c r="B5708" s="1" t="n">
        <v>44818</v>
      </c>
      <c r="C5708" s="1" t="n">
        <v>45357</v>
      </c>
      <c r="D5708" t="inlineStr">
        <is>
          <t>GÄVLEBORGS LÄN</t>
        </is>
      </c>
      <c r="E5708" t="inlineStr">
        <is>
          <t>HUDIKSVALL</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39450-2022</t>
        </is>
      </c>
      <c r="B5709" s="1" t="n">
        <v>44818</v>
      </c>
      <c r="C5709" s="1" t="n">
        <v>45357</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39566-2022</t>
        </is>
      </c>
      <c r="B5710" s="1" t="n">
        <v>44818</v>
      </c>
      <c r="C5710" s="1" t="n">
        <v>45357</v>
      </c>
      <c r="D5710" t="inlineStr">
        <is>
          <t>GÄVLEBORGS LÄN</t>
        </is>
      </c>
      <c r="E5710" t="inlineStr">
        <is>
          <t>SANDVIKEN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39424-2022</t>
        </is>
      </c>
      <c r="B5711" s="1" t="n">
        <v>44818</v>
      </c>
      <c r="C5711" s="1" t="n">
        <v>45357</v>
      </c>
      <c r="D5711" t="inlineStr">
        <is>
          <t>GÄVLEBORGS LÄN</t>
        </is>
      </c>
      <c r="E5711" t="inlineStr">
        <is>
          <t>LJUSDAL</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39510-2022</t>
        </is>
      </c>
      <c r="B5712" s="1" t="n">
        <v>44818</v>
      </c>
      <c r="C5712" s="1" t="n">
        <v>45357</v>
      </c>
      <c r="D5712" t="inlineStr">
        <is>
          <t>GÄVLEBORGS LÄN</t>
        </is>
      </c>
      <c r="E5712" t="inlineStr">
        <is>
          <t>HUDIKSVALL</t>
        </is>
      </c>
      <c r="F5712" t="inlineStr">
        <is>
          <t>Holmen skog AB</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39532-2022</t>
        </is>
      </c>
      <c r="B5713" s="1" t="n">
        <v>44818</v>
      </c>
      <c r="C5713" s="1" t="n">
        <v>45357</v>
      </c>
      <c r="D5713" t="inlineStr">
        <is>
          <t>GÄVLEBORGS LÄN</t>
        </is>
      </c>
      <c r="E5713" t="inlineStr">
        <is>
          <t>OVANÅKER</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39669-2022</t>
        </is>
      </c>
      <c r="B5714" s="1" t="n">
        <v>44818</v>
      </c>
      <c r="C5714" s="1" t="n">
        <v>45357</v>
      </c>
      <c r="D5714" t="inlineStr">
        <is>
          <t>GÄVLEBORGS LÄN</t>
        </is>
      </c>
      <c r="E5714" t="inlineStr">
        <is>
          <t>HUDIKSVALL</t>
        </is>
      </c>
      <c r="F5714" t="inlineStr">
        <is>
          <t>Holmen skog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39644-2022</t>
        </is>
      </c>
      <c r="B5715" s="1" t="n">
        <v>44818</v>
      </c>
      <c r="C5715" s="1" t="n">
        <v>45357</v>
      </c>
      <c r="D5715" t="inlineStr">
        <is>
          <t>GÄVLEBORGS LÄN</t>
        </is>
      </c>
      <c r="E5715" t="inlineStr">
        <is>
          <t>LJUSDAL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39777-2022</t>
        </is>
      </c>
      <c r="B5716" s="1" t="n">
        <v>44819</v>
      </c>
      <c r="C5716" s="1" t="n">
        <v>45357</v>
      </c>
      <c r="D5716" t="inlineStr">
        <is>
          <t>GÄVLEBORGS LÄN</t>
        </is>
      </c>
      <c r="E5716" t="inlineStr">
        <is>
          <t>OVANÅKER</t>
        </is>
      </c>
      <c r="F5716" t="inlineStr">
        <is>
          <t>Bergvik skog väst AB</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39832-2022</t>
        </is>
      </c>
      <c r="B5717" s="1" t="n">
        <v>44819</v>
      </c>
      <c r="C5717" s="1" t="n">
        <v>45357</v>
      </c>
      <c r="D5717" t="inlineStr">
        <is>
          <t>GÄVLEBORGS LÄN</t>
        </is>
      </c>
      <c r="E5717" t="inlineStr">
        <is>
          <t>LJUSDAL</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39723-2022</t>
        </is>
      </c>
      <c r="B5718" s="1" t="n">
        <v>44819</v>
      </c>
      <c r="C5718" s="1" t="n">
        <v>45357</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39848-2022</t>
        </is>
      </c>
      <c r="B5719" s="1" t="n">
        <v>44819</v>
      </c>
      <c r="C5719" s="1" t="n">
        <v>45357</v>
      </c>
      <c r="D5719" t="inlineStr">
        <is>
          <t>GÄVLEBORGS LÄN</t>
        </is>
      </c>
      <c r="E5719" t="inlineStr">
        <is>
          <t>LJUSDAL</t>
        </is>
      </c>
      <c r="F5719" t="inlineStr">
        <is>
          <t>Allmännings- och besparingsskogar</t>
        </is>
      </c>
      <c r="G5719" t="n">
        <v>33.9</v>
      </c>
      <c r="H5719" t="n">
        <v>0</v>
      </c>
      <c r="I5719" t="n">
        <v>0</v>
      </c>
      <c r="J5719" t="n">
        <v>0</v>
      </c>
      <c r="K5719" t="n">
        <v>0</v>
      </c>
      <c r="L5719" t="n">
        <v>0</v>
      </c>
      <c r="M5719" t="n">
        <v>0</v>
      </c>
      <c r="N5719" t="n">
        <v>0</v>
      </c>
      <c r="O5719" t="n">
        <v>0</v>
      </c>
      <c r="P5719" t="n">
        <v>0</v>
      </c>
      <c r="Q5719" t="n">
        <v>0</v>
      </c>
      <c r="R5719" s="2" t="inlineStr"/>
    </row>
    <row r="5720" ht="15" customHeight="1">
      <c r="A5720" t="inlineStr">
        <is>
          <t>A 40131-2022</t>
        </is>
      </c>
      <c r="B5720" s="1" t="n">
        <v>44820</v>
      </c>
      <c r="C5720" s="1" t="n">
        <v>45357</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40053-2022</t>
        </is>
      </c>
      <c r="B5721" s="1" t="n">
        <v>44820</v>
      </c>
      <c r="C5721" s="1" t="n">
        <v>45357</v>
      </c>
      <c r="D5721" t="inlineStr">
        <is>
          <t>GÄVLEBORGS LÄN</t>
        </is>
      </c>
      <c r="E5721" t="inlineStr">
        <is>
          <t>OCKELBO</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40134-2022</t>
        </is>
      </c>
      <c r="B5722" s="1" t="n">
        <v>44820</v>
      </c>
      <c r="C5722" s="1" t="n">
        <v>45357</v>
      </c>
      <c r="D5722" t="inlineStr">
        <is>
          <t>GÄVLEBORGS LÄN</t>
        </is>
      </c>
      <c r="E5722" t="inlineStr">
        <is>
          <t>OCKELBO</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40138-2022</t>
        </is>
      </c>
      <c r="B5723" s="1" t="n">
        <v>44820</v>
      </c>
      <c r="C5723" s="1" t="n">
        <v>45357</v>
      </c>
      <c r="D5723" t="inlineStr">
        <is>
          <t>GÄVLEBORGS LÄN</t>
        </is>
      </c>
      <c r="E5723" t="inlineStr">
        <is>
          <t>OCKELBO</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40143-2022</t>
        </is>
      </c>
      <c r="B5724" s="1" t="n">
        <v>44820</v>
      </c>
      <c r="C5724" s="1" t="n">
        <v>45357</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40140-2022</t>
        </is>
      </c>
      <c r="B5725" s="1" t="n">
        <v>44820</v>
      </c>
      <c r="C5725" s="1" t="n">
        <v>45357</v>
      </c>
      <c r="D5725" t="inlineStr">
        <is>
          <t>GÄVLEBORGS LÄN</t>
        </is>
      </c>
      <c r="E5725" t="inlineStr">
        <is>
          <t>OCKELBO</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40060-2022</t>
        </is>
      </c>
      <c r="B5726" s="1" t="n">
        <v>44820</v>
      </c>
      <c r="C5726" s="1" t="n">
        <v>45357</v>
      </c>
      <c r="D5726" t="inlineStr">
        <is>
          <t>GÄVLEBORGS LÄN</t>
        </is>
      </c>
      <c r="E5726" t="inlineStr">
        <is>
          <t>OCKELBO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40130-2022</t>
        </is>
      </c>
      <c r="B5727" s="1" t="n">
        <v>44820</v>
      </c>
      <c r="C5727" s="1" t="n">
        <v>45357</v>
      </c>
      <c r="D5727" t="inlineStr">
        <is>
          <t>GÄVLEBORGS LÄN</t>
        </is>
      </c>
      <c r="E5727" t="inlineStr">
        <is>
          <t>OCKELBO</t>
        </is>
      </c>
      <c r="F5727" t="inlineStr">
        <is>
          <t>Bergvik skog väst AB</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40148-2022</t>
        </is>
      </c>
      <c r="B5728" s="1" t="n">
        <v>44820</v>
      </c>
      <c r="C5728" s="1" t="n">
        <v>45357</v>
      </c>
      <c r="D5728" t="inlineStr">
        <is>
          <t>GÄVLEBORGS LÄN</t>
        </is>
      </c>
      <c r="E5728" t="inlineStr">
        <is>
          <t>SÖDERHAMN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40110-2022</t>
        </is>
      </c>
      <c r="B5729" s="1" t="n">
        <v>44820</v>
      </c>
      <c r="C5729" s="1" t="n">
        <v>45357</v>
      </c>
      <c r="D5729" t="inlineStr">
        <is>
          <t>GÄVLEBORGS LÄN</t>
        </is>
      </c>
      <c r="E5729" t="inlineStr">
        <is>
          <t>NORDANSTIG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40127-2022</t>
        </is>
      </c>
      <c r="B5730" s="1" t="n">
        <v>44820</v>
      </c>
      <c r="C5730" s="1" t="n">
        <v>45357</v>
      </c>
      <c r="D5730" t="inlineStr">
        <is>
          <t>GÄVLEBORGS LÄN</t>
        </is>
      </c>
      <c r="E5730" t="inlineStr">
        <is>
          <t>GÄVLE</t>
        </is>
      </c>
      <c r="F5730" t="inlineStr">
        <is>
          <t>Övriga statliga verk och myndigheter</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40162-2022</t>
        </is>
      </c>
      <c r="B5731" s="1" t="n">
        <v>44820</v>
      </c>
      <c r="C5731" s="1" t="n">
        <v>45357</v>
      </c>
      <c r="D5731" t="inlineStr">
        <is>
          <t>GÄVLEBORGS LÄN</t>
        </is>
      </c>
      <c r="E5731" t="inlineStr">
        <is>
          <t>BOLLNÄS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40937-2022</t>
        </is>
      </c>
      <c r="B5732" s="1" t="n">
        <v>44820</v>
      </c>
      <c r="C5732" s="1" t="n">
        <v>45357</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40343-2022</t>
        </is>
      </c>
      <c r="B5733" s="1" t="n">
        <v>44823</v>
      </c>
      <c r="C5733" s="1" t="n">
        <v>45357</v>
      </c>
      <c r="D5733" t="inlineStr">
        <is>
          <t>GÄVLEBORGS LÄN</t>
        </is>
      </c>
      <c r="E5733" t="inlineStr">
        <is>
          <t>NORDANSTIG</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40403-2022</t>
        </is>
      </c>
      <c r="B5734" s="1" t="n">
        <v>44823</v>
      </c>
      <c r="C5734" s="1" t="n">
        <v>45357</v>
      </c>
      <c r="D5734" t="inlineStr">
        <is>
          <t>GÄVLEBORGS LÄN</t>
        </is>
      </c>
      <c r="E5734" t="inlineStr">
        <is>
          <t>OVANÅKER</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40376-2022</t>
        </is>
      </c>
      <c r="B5735" s="1" t="n">
        <v>44823</v>
      </c>
      <c r="C5735" s="1" t="n">
        <v>45357</v>
      </c>
      <c r="D5735" t="inlineStr">
        <is>
          <t>GÄVLEBORGS LÄN</t>
        </is>
      </c>
      <c r="E5735" t="inlineStr">
        <is>
          <t>BOLLNÄS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40400-2022</t>
        </is>
      </c>
      <c r="B5736" s="1" t="n">
        <v>44823</v>
      </c>
      <c r="C5736" s="1" t="n">
        <v>45357</v>
      </c>
      <c r="D5736" t="inlineStr">
        <is>
          <t>GÄVLEBORGS LÄN</t>
        </is>
      </c>
      <c r="E5736" t="inlineStr">
        <is>
          <t>OVANÅKER</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40438-2022</t>
        </is>
      </c>
      <c r="B5737" s="1" t="n">
        <v>44823</v>
      </c>
      <c r="C5737" s="1" t="n">
        <v>45357</v>
      </c>
      <c r="D5737" t="inlineStr">
        <is>
          <t>GÄVLEBORGS LÄN</t>
        </is>
      </c>
      <c r="E5737" t="inlineStr">
        <is>
          <t>NORDANSTIG</t>
        </is>
      </c>
      <c r="F5737" t="inlineStr">
        <is>
          <t>Holmen skog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40462-2022</t>
        </is>
      </c>
      <c r="B5738" s="1" t="n">
        <v>44823</v>
      </c>
      <c r="C5738" s="1" t="n">
        <v>45357</v>
      </c>
      <c r="D5738" t="inlineStr">
        <is>
          <t>GÄVLEBORGS LÄN</t>
        </is>
      </c>
      <c r="E5738" t="inlineStr">
        <is>
          <t>SÖDERHAMN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40494-2022</t>
        </is>
      </c>
      <c r="B5739" s="1" t="n">
        <v>44823</v>
      </c>
      <c r="C5739" s="1" t="n">
        <v>45357</v>
      </c>
      <c r="D5739" t="inlineStr">
        <is>
          <t>GÄVLEBORGS LÄN</t>
        </is>
      </c>
      <c r="E5739" t="inlineStr">
        <is>
          <t>GÄVLE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40559-2022</t>
        </is>
      </c>
      <c r="B5740" s="1" t="n">
        <v>44823</v>
      </c>
      <c r="C5740" s="1" t="n">
        <v>45357</v>
      </c>
      <c r="D5740" t="inlineStr">
        <is>
          <t>GÄVLEBORGS LÄN</t>
        </is>
      </c>
      <c r="E5740" t="inlineStr">
        <is>
          <t>NORDANSTIG</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40593-2022</t>
        </is>
      </c>
      <c r="B5741" s="1" t="n">
        <v>44823</v>
      </c>
      <c r="C5741" s="1" t="n">
        <v>45357</v>
      </c>
      <c r="D5741" t="inlineStr">
        <is>
          <t>GÄVLEBORGS LÄN</t>
        </is>
      </c>
      <c r="E5741" t="inlineStr">
        <is>
          <t>HUDIKSVALL</t>
        </is>
      </c>
      <c r="F5741" t="inlineStr">
        <is>
          <t>Holmen skog AB</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40342-2022</t>
        </is>
      </c>
      <c r="B5742" s="1" t="n">
        <v>44823</v>
      </c>
      <c r="C5742" s="1" t="n">
        <v>45357</v>
      </c>
      <c r="D5742" t="inlineStr">
        <is>
          <t>GÄVLEBORGS LÄN</t>
        </is>
      </c>
      <c r="E5742" t="inlineStr">
        <is>
          <t>NORDANSTIG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40388-2022</t>
        </is>
      </c>
      <c r="B5743" s="1" t="n">
        <v>44823</v>
      </c>
      <c r="C5743" s="1" t="n">
        <v>45357</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40498-2022</t>
        </is>
      </c>
      <c r="B5744" s="1" t="n">
        <v>44823</v>
      </c>
      <c r="C5744" s="1" t="n">
        <v>45357</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40515-2022</t>
        </is>
      </c>
      <c r="B5745" s="1" t="n">
        <v>44823</v>
      </c>
      <c r="C5745" s="1" t="n">
        <v>45357</v>
      </c>
      <c r="D5745" t="inlineStr">
        <is>
          <t>GÄVLEBORGS LÄN</t>
        </is>
      </c>
      <c r="E5745" t="inlineStr">
        <is>
          <t>HOFORS</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40575-2022</t>
        </is>
      </c>
      <c r="B5746" s="1" t="n">
        <v>44823</v>
      </c>
      <c r="C5746" s="1" t="n">
        <v>45357</v>
      </c>
      <c r="D5746" t="inlineStr">
        <is>
          <t>GÄVLEBORGS LÄN</t>
        </is>
      </c>
      <c r="E5746" t="inlineStr">
        <is>
          <t>SÖDERHAMN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40468-2022</t>
        </is>
      </c>
      <c r="B5747" s="1" t="n">
        <v>44823</v>
      </c>
      <c r="C5747" s="1" t="n">
        <v>45357</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40507-2022</t>
        </is>
      </c>
      <c r="B5748" s="1" t="n">
        <v>44823</v>
      </c>
      <c r="C5748" s="1" t="n">
        <v>45357</v>
      </c>
      <c r="D5748" t="inlineStr">
        <is>
          <t>GÄVLEBORGS LÄN</t>
        </is>
      </c>
      <c r="E5748" t="inlineStr">
        <is>
          <t>OVANÅKER</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40517-2022</t>
        </is>
      </c>
      <c r="B5749" s="1" t="n">
        <v>44823</v>
      </c>
      <c r="C5749" s="1" t="n">
        <v>45357</v>
      </c>
      <c r="D5749" t="inlineStr">
        <is>
          <t>GÄVLEBORGS LÄN</t>
        </is>
      </c>
      <c r="E5749" t="inlineStr">
        <is>
          <t>HOFORS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40577-2022</t>
        </is>
      </c>
      <c r="B5750" s="1" t="n">
        <v>44823</v>
      </c>
      <c r="C5750" s="1" t="n">
        <v>45357</v>
      </c>
      <c r="D5750" t="inlineStr">
        <is>
          <t>GÄVLEBORGS LÄN</t>
        </is>
      </c>
      <c r="E5750" t="inlineStr">
        <is>
          <t>SÖDERHAMN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40554-2022</t>
        </is>
      </c>
      <c r="B5751" s="1" t="n">
        <v>44823</v>
      </c>
      <c r="C5751" s="1" t="n">
        <v>45357</v>
      </c>
      <c r="D5751" t="inlineStr">
        <is>
          <t>GÄVLEBORGS LÄN</t>
        </is>
      </c>
      <c r="E5751" t="inlineStr">
        <is>
          <t>LJUSDAL</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40766-2022</t>
        </is>
      </c>
      <c r="B5752" s="1" t="n">
        <v>44824</v>
      </c>
      <c r="C5752" s="1" t="n">
        <v>45357</v>
      </c>
      <c r="D5752" t="inlineStr">
        <is>
          <t>GÄVLEBORGS LÄN</t>
        </is>
      </c>
      <c r="E5752" t="inlineStr">
        <is>
          <t>LJUSDAL</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40729-2022</t>
        </is>
      </c>
      <c r="B5753" s="1" t="n">
        <v>44824</v>
      </c>
      <c r="C5753" s="1" t="n">
        <v>45357</v>
      </c>
      <c r="D5753" t="inlineStr">
        <is>
          <t>GÄVLEBORGS LÄN</t>
        </is>
      </c>
      <c r="E5753" t="inlineStr">
        <is>
          <t>LJUSDAL</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40743-2022</t>
        </is>
      </c>
      <c r="B5754" s="1" t="n">
        <v>44824</v>
      </c>
      <c r="C5754" s="1" t="n">
        <v>45357</v>
      </c>
      <c r="D5754" t="inlineStr">
        <is>
          <t>GÄVLEBORGS LÄN</t>
        </is>
      </c>
      <c r="E5754" t="inlineStr">
        <is>
          <t>OVANÅKER</t>
        </is>
      </c>
      <c r="F5754" t="inlineStr">
        <is>
          <t>Bergvik skog väst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40798-2022</t>
        </is>
      </c>
      <c r="B5755" s="1" t="n">
        <v>44824</v>
      </c>
      <c r="C5755" s="1" t="n">
        <v>45357</v>
      </c>
      <c r="D5755" t="inlineStr">
        <is>
          <t>GÄVLEBORGS LÄN</t>
        </is>
      </c>
      <c r="E5755" t="inlineStr">
        <is>
          <t>NORDANSTIG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40811-2022</t>
        </is>
      </c>
      <c r="B5756" s="1" t="n">
        <v>44824</v>
      </c>
      <c r="C5756" s="1" t="n">
        <v>45357</v>
      </c>
      <c r="D5756" t="inlineStr">
        <is>
          <t>GÄVLEBORGS LÄN</t>
        </is>
      </c>
      <c r="E5756" t="inlineStr">
        <is>
          <t>SÖDERHAMN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41041-2022</t>
        </is>
      </c>
      <c r="B5757" s="1" t="n">
        <v>44824</v>
      </c>
      <c r="C5757" s="1" t="n">
        <v>45357</v>
      </c>
      <c r="D5757" t="inlineStr">
        <is>
          <t>GÄVLEBORGS LÄN</t>
        </is>
      </c>
      <c r="E5757" t="inlineStr">
        <is>
          <t>GÄVLE</t>
        </is>
      </c>
      <c r="F5757" t="inlineStr">
        <is>
          <t>Bergvik skog väst AB</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40787-2022</t>
        </is>
      </c>
      <c r="B5758" s="1" t="n">
        <v>44824</v>
      </c>
      <c r="C5758" s="1" t="n">
        <v>45357</v>
      </c>
      <c r="D5758" t="inlineStr">
        <is>
          <t>GÄVLEBORGS LÄN</t>
        </is>
      </c>
      <c r="E5758" t="inlineStr">
        <is>
          <t>LJUSDAL</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41037-2022</t>
        </is>
      </c>
      <c r="B5759" s="1" t="n">
        <v>44824</v>
      </c>
      <c r="C5759" s="1" t="n">
        <v>45357</v>
      </c>
      <c r="D5759" t="inlineStr">
        <is>
          <t>GÄVLEBORGS LÄN</t>
        </is>
      </c>
      <c r="E5759" t="inlineStr">
        <is>
          <t>SÖDERHAMN</t>
        </is>
      </c>
      <c r="F5759" t="inlineStr">
        <is>
          <t>Kommuner</t>
        </is>
      </c>
      <c r="G5759" t="n">
        <v>21.6</v>
      </c>
      <c r="H5759" t="n">
        <v>0</v>
      </c>
      <c r="I5759" t="n">
        <v>0</v>
      </c>
      <c r="J5759" t="n">
        <v>0</v>
      </c>
      <c r="K5759" t="n">
        <v>0</v>
      </c>
      <c r="L5759" t="n">
        <v>0</v>
      </c>
      <c r="M5759" t="n">
        <v>0</v>
      </c>
      <c r="N5759" t="n">
        <v>0</v>
      </c>
      <c r="O5759" t="n">
        <v>0</v>
      </c>
      <c r="P5759" t="n">
        <v>0</v>
      </c>
      <c r="Q5759" t="n">
        <v>0</v>
      </c>
      <c r="R5759" s="2" t="inlineStr"/>
    </row>
    <row r="5760" ht="15" customHeight="1">
      <c r="A5760" t="inlineStr">
        <is>
          <t>A 40868-2022</t>
        </is>
      </c>
      <c r="B5760" s="1" t="n">
        <v>44825</v>
      </c>
      <c r="C5760" s="1" t="n">
        <v>45357</v>
      </c>
      <c r="D5760" t="inlineStr">
        <is>
          <t>GÄVLEBORGS LÄN</t>
        </is>
      </c>
      <c r="E5760" t="inlineStr">
        <is>
          <t>NORDANSTIG</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40876-2022</t>
        </is>
      </c>
      <c r="B5761" s="1" t="n">
        <v>44825</v>
      </c>
      <c r="C5761" s="1" t="n">
        <v>45357</v>
      </c>
      <c r="D5761" t="inlineStr">
        <is>
          <t>GÄVLEBORGS LÄN</t>
        </is>
      </c>
      <c r="E5761" t="inlineStr">
        <is>
          <t>HUDIKSVALL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40913-2022</t>
        </is>
      </c>
      <c r="B5762" s="1" t="n">
        <v>44825</v>
      </c>
      <c r="C5762" s="1" t="n">
        <v>45357</v>
      </c>
      <c r="D5762" t="inlineStr">
        <is>
          <t>GÄVLEBORGS LÄN</t>
        </is>
      </c>
      <c r="E5762" t="inlineStr">
        <is>
          <t>NORDANSTIG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40909-2022</t>
        </is>
      </c>
      <c r="B5763" s="1" t="n">
        <v>44825</v>
      </c>
      <c r="C5763" s="1" t="n">
        <v>45357</v>
      </c>
      <c r="D5763" t="inlineStr">
        <is>
          <t>GÄVLEBORGS LÄN</t>
        </is>
      </c>
      <c r="E5763" t="inlineStr">
        <is>
          <t>HUDIKSVALL</t>
        </is>
      </c>
      <c r="F5763" t="inlineStr">
        <is>
          <t>Holmen skog AB</t>
        </is>
      </c>
      <c r="G5763" t="n">
        <v>15.2</v>
      </c>
      <c r="H5763" t="n">
        <v>0</v>
      </c>
      <c r="I5763" t="n">
        <v>0</v>
      </c>
      <c r="J5763" t="n">
        <v>0</v>
      </c>
      <c r="K5763" t="n">
        <v>0</v>
      </c>
      <c r="L5763" t="n">
        <v>0</v>
      </c>
      <c r="M5763" t="n">
        <v>0</v>
      </c>
      <c r="N5763" t="n">
        <v>0</v>
      </c>
      <c r="O5763" t="n">
        <v>0</v>
      </c>
      <c r="P5763" t="n">
        <v>0</v>
      </c>
      <c r="Q5763" t="n">
        <v>0</v>
      </c>
      <c r="R5763" s="2" t="inlineStr"/>
    </row>
    <row r="5764" ht="15" customHeight="1">
      <c r="A5764" t="inlineStr">
        <is>
          <t>A 40861-2022</t>
        </is>
      </c>
      <c r="B5764" s="1" t="n">
        <v>44825</v>
      </c>
      <c r="C5764" s="1" t="n">
        <v>45357</v>
      </c>
      <c r="D5764" t="inlineStr">
        <is>
          <t>GÄVLEBORGS LÄN</t>
        </is>
      </c>
      <c r="E5764" t="inlineStr">
        <is>
          <t>HUDIKSVALL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41115-2022</t>
        </is>
      </c>
      <c r="B5765" s="1" t="n">
        <v>44825</v>
      </c>
      <c r="C5765" s="1" t="n">
        <v>45357</v>
      </c>
      <c r="D5765" t="inlineStr">
        <is>
          <t>GÄVLEBORGS LÄN</t>
        </is>
      </c>
      <c r="E5765" t="inlineStr">
        <is>
          <t>HUDIKSVALL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41161-2022</t>
        </is>
      </c>
      <c r="B5766" s="1" t="n">
        <v>44825</v>
      </c>
      <c r="C5766" s="1" t="n">
        <v>45357</v>
      </c>
      <c r="D5766" t="inlineStr">
        <is>
          <t>GÄVLEBORGS LÄN</t>
        </is>
      </c>
      <c r="E5766" t="inlineStr">
        <is>
          <t>NORDANSTIG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41231-2022</t>
        </is>
      </c>
      <c r="B5767" s="1" t="n">
        <v>44825</v>
      </c>
      <c r="C5767" s="1" t="n">
        <v>45357</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41221-2022</t>
        </is>
      </c>
      <c r="B5768" s="1" t="n">
        <v>44826</v>
      </c>
      <c r="C5768" s="1" t="n">
        <v>45357</v>
      </c>
      <c r="D5768" t="inlineStr">
        <is>
          <t>GÄVLEBORGS LÄN</t>
        </is>
      </c>
      <c r="E5768" t="inlineStr">
        <is>
          <t>SÖDERHAMN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41246-2022</t>
        </is>
      </c>
      <c r="B5769" s="1" t="n">
        <v>44826</v>
      </c>
      <c r="C5769" s="1" t="n">
        <v>45357</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41285-2022</t>
        </is>
      </c>
      <c r="B5770" s="1" t="n">
        <v>44826</v>
      </c>
      <c r="C5770" s="1" t="n">
        <v>45357</v>
      </c>
      <c r="D5770" t="inlineStr">
        <is>
          <t>GÄVLEBORGS LÄN</t>
        </is>
      </c>
      <c r="E5770" t="inlineStr">
        <is>
          <t>LJUSDAL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41345-2022</t>
        </is>
      </c>
      <c r="B5771" s="1" t="n">
        <v>44826</v>
      </c>
      <c r="C5771" s="1" t="n">
        <v>45357</v>
      </c>
      <c r="D5771" t="inlineStr">
        <is>
          <t>GÄVLEBORGS LÄN</t>
        </is>
      </c>
      <c r="E5771" t="inlineStr">
        <is>
          <t>NORDANSTIG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41454-2022</t>
        </is>
      </c>
      <c r="B5772" s="1" t="n">
        <v>44826</v>
      </c>
      <c r="C5772" s="1" t="n">
        <v>45357</v>
      </c>
      <c r="D5772" t="inlineStr">
        <is>
          <t>GÄVLEBORGS LÄN</t>
        </is>
      </c>
      <c r="E5772" t="inlineStr">
        <is>
          <t>BOLLNÄS</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41356-2022</t>
        </is>
      </c>
      <c r="B5773" s="1" t="n">
        <v>44826</v>
      </c>
      <c r="C5773" s="1" t="n">
        <v>45357</v>
      </c>
      <c r="D5773" t="inlineStr">
        <is>
          <t>GÄVLEBORGS LÄN</t>
        </is>
      </c>
      <c r="E5773" t="inlineStr">
        <is>
          <t>NORDANSTIG</t>
        </is>
      </c>
      <c r="F5773" t="inlineStr">
        <is>
          <t>Holmen skog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41453-2022</t>
        </is>
      </c>
      <c r="B5774" s="1" t="n">
        <v>44826</v>
      </c>
      <c r="C5774" s="1" t="n">
        <v>45357</v>
      </c>
      <c r="D5774" t="inlineStr">
        <is>
          <t>GÄVLEBORGS LÄN</t>
        </is>
      </c>
      <c r="E5774" t="inlineStr">
        <is>
          <t>BOLLNÄS</t>
        </is>
      </c>
      <c r="F5774" t="inlineStr">
        <is>
          <t>Bergvik skog väst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41461-2022</t>
        </is>
      </c>
      <c r="B5775" s="1" t="n">
        <v>44827</v>
      </c>
      <c r="C5775" s="1" t="n">
        <v>45357</v>
      </c>
      <c r="D5775" t="inlineStr">
        <is>
          <t>GÄVLEBORGS LÄN</t>
        </is>
      </c>
      <c r="E5775" t="inlineStr">
        <is>
          <t>LJUSDAL</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41658-2022</t>
        </is>
      </c>
      <c r="B5776" s="1" t="n">
        <v>44827</v>
      </c>
      <c r="C5776" s="1" t="n">
        <v>45357</v>
      </c>
      <c r="D5776" t="inlineStr">
        <is>
          <t>GÄVLEBORGS LÄN</t>
        </is>
      </c>
      <c r="E5776" t="inlineStr">
        <is>
          <t>OVANÅKER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41698-2022</t>
        </is>
      </c>
      <c r="B5777" s="1" t="n">
        <v>44827</v>
      </c>
      <c r="C5777" s="1" t="n">
        <v>45357</v>
      </c>
      <c r="D5777" t="inlineStr">
        <is>
          <t>GÄVLEBORGS LÄN</t>
        </is>
      </c>
      <c r="E5777" t="inlineStr">
        <is>
          <t>LJUSDAL</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41718-2022</t>
        </is>
      </c>
      <c r="B5778" s="1" t="n">
        <v>44827</v>
      </c>
      <c r="C5778" s="1" t="n">
        <v>45357</v>
      </c>
      <c r="D5778" t="inlineStr">
        <is>
          <t>GÄVLEBORGS LÄN</t>
        </is>
      </c>
      <c r="E5778" t="inlineStr">
        <is>
          <t>LJUSDAL</t>
        </is>
      </c>
      <c r="F5778" t="inlineStr">
        <is>
          <t>Bergvik skog väst AB</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41559-2022</t>
        </is>
      </c>
      <c r="B5779" s="1" t="n">
        <v>44827</v>
      </c>
      <c r="C5779" s="1" t="n">
        <v>45357</v>
      </c>
      <c r="D5779" t="inlineStr">
        <is>
          <t>GÄVLEBORGS LÄN</t>
        </is>
      </c>
      <c r="E5779" t="inlineStr">
        <is>
          <t>GÄVLE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41831-2022</t>
        </is>
      </c>
      <c r="B5780" s="1" t="n">
        <v>44827</v>
      </c>
      <c r="C5780" s="1" t="n">
        <v>45357</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41525-2022</t>
        </is>
      </c>
      <c r="B5781" s="1" t="n">
        <v>44827</v>
      </c>
      <c r="C5781" s="1" t="n">
        <v>45357</v>
      </c>
      <c r="D5781" t="inlineStr">
        <is>
          <t>GÄVLEBORGS LÄN</t>
        </is>
      </c>
      <c r="E5781" t="inlineStr">
        <is>
          <t>LJUSDAL</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41848-2022</t>
        </is>
      </c>
      <c r="B5782" s="1" t="n">
        <v>44828</v>
      </c>
      <c r="C5782" s="1" t="n">
        <v>45357</v>
      </c>
      <c r="D5782" t="inlineStr">
        <is>
          <t>GÄVLEBORGS LÄN</t>
        </is>
      </c>
      <c r="E5782" t="inlineStr">
        <is>
          <t>LJUSDAL</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41861-2022</t>
        </is>
      </c>
      <c r="B5783" s="1" t="n">
        <v>44829</v>
      </c>
      <c r="C5783" s="1" t="n">
        <v>45357</v>
      </c>
      <c r="D5783" t="inlineStr">
        <is>
          <t>GÄVLEBORGS LÄN</t>
        </is>
      </c>
      <c r="E5783" t="inlineStr">
        <is>
          <t>SANDVIKEN</t>
        </is>
      </c>
      <c r="F5783" t="inlineStr">
        <is>
          <t>Sveaskog</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41862-2022</t>
        </is>
      </c>
      <c r="B5784" s="1" t="n">
        <v>44829</v>
      </c>
      <c r="C5784" s="1" t="n">
        <v>45357</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41863-2022</t>
        </is>
      </c>
      <c r="B5785" s="1" t="n">
        <v>44829</v>
      </c>
      <c r="C5785" s="1" t="n">
        <v>45357</v>
      </c>
      <c r="D5785" t="inlineStr">
        <is>
          <t>GÄVLEBORGS LÄN</t>
        </is>
      </c>
      <c r="E5785" t="inlineStr">
        <is>
          <t>SANDVIKEN</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41962-2022</t>
        </is>
      </c>
      <c r="B5786" s="1" t="n">
        <v>44830</v>
      </c>
      <c r="C5786" s="1" t="n">
        <v>45357</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42118-2022</t>
        </is>
      </c>
      <c r="B5787" s="1" t="n">
        <v>44830</v>
      </c>
      <c r="C5787" s="1" t="n">
        <v>45357</v>
      </c>
      <c r="D5787" t="inlineStr">
        <is>
          <t>GÄVLEBORGS LÄN</t>
        </is>
      </c>
      <c r="E5787" t="inlineStr">
        <is>
          <t>NORDANSTIG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41960-2022</t>
        </is>
      </c>
      <c r="B5788" s="1" t="n">
        <v>44830</v>
      </c>
      <c r="C5788" s="1" t="n">
        <v>45357</v>
      </c>
      <c r="D5788" t="inlineStr">
        <is>
          <t>GÄVLEBORGS LÄN</t>
        </is>
      </c>
      <c r="E5788" t="inlineStr">
        <is>
          <t>BOLLNÄS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42129-2022</t>
        </is>
      </c>
      <c r="B5789" s="1" t="n">
        <v>44830</v>
      </c>
      <c r="C5789" s="1" t="n">
        <v>45357</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42154-2022</t>
        </is>
      </c>
      <c r="B5790" s="1" t="n">
        <v>44830</v>
      </c>
      <c r="C5790" s="1" t="n">
        <v>45357</v>
      </c>
      <c r="D5790" t="inlineStr">
        <is>
          <t>GÄVLEBORGS LÄN</t>
        </is>
      </c>
      <c r="E5790" t="inlineStr">
        <is>
          <t>NORDANSTIG</t>
        </is>
      </c>
      <c r="F5790" t="inlineStr">
        <is>
          <t>Holmen skog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42211-2022</t>
        </is>
      </c>
      <c r="B5791" s="1" t="n">
        <v>44830</v>
      </c>
      <c r="C5791" s="1" t="n">
        <v>45357</v>
      </c>
      <c r="D5791" t="inlineStr">
        <is>
          <t>GÄVLEBORGS LÄN</t>
        </is>
      </c>
      <c r="E5791" t="inlineStr">
        <is>
          <t>OVANÅKER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42192-2022</t>
        </is>
      </c>
      <c r="B5792" s="1" t="n">
        <v>44830</v>
      </c>
      <c r="C5792" s="1" t="n">
        <v>45357</v>
      </c>
      <c r="D5792" t="inlineStr">
        <is>
          <t>GÄVLEBORGS LÄN</t>
        </is>
      </c>
      <c r="E5792" t="inlineStr">
        <is>
          <t>GÄVLE</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42330-2022</t>
        </is>
      </c>
      <c r="B5793" s="1" t="n">
        <v>44831</v>
      </c>
      <c r="C5793" s="1" t="n">
        <v>45357</v>
      </c>
      <c r="D5793" t="inlineStr">
        <is>
          <t>GÄVLEBORGS LÄN</t>
        </is>
      </c>
      <c r="E5793" t="inlineStr">
        <is>
          <t>LJUSDAL</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c r="U5793">
        <f>HYPERLINK("https://klasma.github.io/Logging_2161/knärot/A 42330-2022 karta knärot.png", "A 42330-2022")</f>
        <v/>
      </c>
      <c r="V5793">
        <f>HYPERLINK("https://klasma.github.io/Logging_2161/klagomål/A 42330-2022 FSC-klagomål.docx", "A 42330-2022")</f>
        <v/>
      </c>
      <c r="W5793">
        <f>HYPERLINK("https://klasma.github.io/Logging_2161/klagomålsmail/A 42330-2022 FSC-klagomål mail.docx", "A 42330-2022")</f>
        <v/>
      </c>
      <c r="X5793">
        <f>HYPERLINK("https://klasma.github.io/Logging_2161/tillsyn/A 42330-2022 tillsynsbegäran.docx", "A 42330-2022")</f>
        <v/>
      </c>
      <c r="Y5793">
        <f>HYPERLINK("https://klasma.github.io/Logging_2161/tillsynsmail/A 42330-2022 tillsynsbegäran mail.docx", "A 42330-2022")</f>
        <v/>
      </c>
    </row>
    <row r="5794" ht="15" customHeight="1">
      <c r="A5794" t="inlineStr">
        <is>
          <t>A 42353-2022</t>
        </is>
      </c>
      <c r="B5794" s="1" t="n">
        <v>44831</v>
      </c>
      <c r="C5794" s="1" t="n">
        <v>45357</v>
      </c>
      <c r="D5794" t="inlineStr">
        <is>
          <t>GÄVLEBORGS LÄN</t>
        </is>
      </c>
      <c r="E5794" t="inlineStr">
        <is>
          <t>HUDIKSVALL</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42404-2022</t>
        </is>
      </c>
      <c r="B5795" s="1" t="n">
        <v>44831</v>
      </c>
      <c r="C5795" s="1" t="n">
        <v>45357</v>
      </c>
      <c r="D5795" t="inlineStr">
        <is>
          <t>GÄVLEBORGS LÄN</t>
        </is>
      </c>
      <c r="E5795" t="inlineStr">
        <is>
          <t>NORDANSTIG</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42469-2022</t>
        </is>
      </c>
      <c r="B5796" s="1" t="n">
        <v>44831</v>
      </c>
      <c r="C5796" s="1" t="n">
        <v>45357</v>
      </c>
      <c r="D5796" t="inlineStr">
        <is>
          <t>GÄVLEBORGS LÄN</t>
        </is>
      </c>
      <c r="E5796" t="inlineStr">
        <is>
          <t>NORDANSTIG</t>
        </is>
      </c>
      <c r="F5796" t="inlineStr">
        <is>
          <t>Holmen skog AB</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42507-2022</t>
        </is>
      </c>
      <c r="B5797" s="1" t="n">
        <v>44831</v>
      </c>
      <c r="C5797" s="1" t="n">
        <v>45357</v>
      </c>
      <c r="D5797" t="inlineStr">
        <is>
          <t>GÄVLEBORGS LÄN</t>
        </is>
      </c>
      <c r="E5797" t="inlineStr">
        <is>
          <t>HUDIKSVALL</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42326-2022</t>
        </is>
      </c>
      <c r="B5798" s="1" t="n">
        <v>44831</v>
      </c>
      <c r="C5798" s="1" t="n">
        <v>45357</v>
      </c>
      <c r="D5798" t="inlineStr">
        <is>
          <t>GÄVLEBORGS LÄN</t>
        </is>
      </c>
      <c r="E5798" t="inlineStr">
        <is>
          <t>LJUSDAL</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42347-2022</t>
        </is>
      </c>
      <c r="B5799" s="1" t="n">
        <v>44831</v>
      </c>
      <c r="C5799" s="1" t="n">
        <v>45357</v>
      </c>
      <c r="D5799" t="inlineStr">
        <is>
          <t>GÄVLEBORGS LÄN</t>
        </is>
      </c>
      <c r="E5799" t="inlineStr">
        <is>
          <t>LJUSDAL</t>
        </is>
      </c>
      <c r="F5799" t="inlineStr">
        <is>
          <t>Bergvik skog väst AB</t>
        </is>
      </c>
      <c r="G5799" t="n">
        <v>14.1</v>
      </c>
      <c r="H5799" t="n">
        <v>0</v>
      </c>
      <c r="I5799" t="n">
        <v>0</v>
      </c>
      <c r="J5799" t="n">
        <v>0</v>
      </c>
      <c r="K5799" t="n">
        <v>0</v>
      </c>
      <c r="L5799" t="n">
        <v>0</v>
      </c>
      <c r="M5799" t="n">
        <v>0</v>
      </c>
      <c r="N5799" t="n">
        <v>0</v>
      </c>
      <c r="O5799" t="n">
        <v>0</v>
      </c>
      <c r="P5799" t="n">
        <v>0</v>
      </c>
      <c r="Q5799" t="n">
        <v>0</v>
      </c>
      <c r="R5799" s="2" t="inlineStr"/>
      <c r="U5799">
        <f>HYPERLINK("https://klasma.github.io/Logging_2161/knärot/A 42347-2022 karta knärot.png", "A 42347-2022")</f>
        <v/>
      </c>
      <c r="V5799">
        <f>HYPERLINK("https://klasma.github.io/Logging_2161/klagomål/A 42347-2022 FSC-klagomål.docx", "A 42347-2022")</f>
        <v/>
      </c>
      <c r="W5799">
        <f>HYPERLINK("https://klasma.github.io/Logging_2161/klagomålsmail/A 42347-2022 FSC-klagomål mail.docx", "A 42347-2022")</f>
        <v/>
      </c>
      <c r="X5799">
        <f>HYPERLINK("https://klasma.github.io/Logging_2161/tillsyn/A 42347-2022 tillsynsbegäran.docx", "A 42347-2022")</f>
        <v/>
      </c>
      <c r="Y5799">
        <f>HYPERLINK("https://klasma.github.io/Logging_2161/tillsynsmail/A 42347-2022 tillsynsbegäran mail.docx", "A 42347-2022")</f>
        <v/>
      </c>
    </row>
    <row r="5800" ht="15" customHeight="1">
      <c r="A5800" t="inlineStr">
        <is>
          <t>A 42392-2022</t>
        </is>
      </c>
      <c r="B5800" s="1" t="n">
        <v>44831</v>
      </c>
      <c r="C5800" s="1" t="n">
        <v>45357</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42350-2022</t>
        </is>
      </c>
      <c r="B5801" s="1" t="n">
        <v>44831</v>
      </c>
      <c r="C5801" s="1" t="n">
        <v>45357</v>
      </c>
      <c r="D5801" t="inlineStr">
        <is>
          <t>GÄVLEBORGS LÄN</t>
        </is>
      </c>
      <c r="E5801" t="inlineStr">
        <is>
          <t>BOLLNÄS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42325-2022</t>
        </is>
      </c>
      <c r="B5802" s="1" t="n">
        <v>44831</v>
      </c>
      <c r="C5802" s="1" t="n">
        <v>45357</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42406-2022</t>
        </is>
      </c>
      <c r="B5803" s="1" t="n">
        <v>44831</v>
      </c>
      <c r="C5803" s="1" t="n">
        <v>45357</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42629-2022</t>
        </is>
      </c>
      <c r="B5804" s="1" t="n">
        <v>44832</v>
      </c>
      <c r="C5804" s="1" t="n">
        <v>45357</v>
      </c>
      <c r="D5804" t="inlineStr">
        <is>
          <t>GÄVLEBORGS LÄN</t>
        </is>
      </c>
      <c r="E5804" t="inlineStr">
        <is>
          <t>NORDANSTIG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42513-2022</t>
        </is>
      </c>
      <c r="B5805" s="1" t="n">
        <v>44831</v>
      </c>
      <c r="C5805" s="1" t="n">
        <v>45357</v>
      </c>
      <c r="D5805" t="inlineStr">
        <is>
          <t>GÄVLEBORGS LÄN</t>
        </is>
      </c>
      <c r="E5805" t="inlineStr">
        <is>
          <t>BOLLNÄS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42519-2022</t>
        </is>
      </c>
      <c r="B5806" s="1" t="n">
        <v>44831</v>
      </c>
      <c r="C5806" s="1" t="n">
        <v>45357</v>
      </c>
      <c r="D5806" t="inlineStr">
        <is>
          <t>GÄVLEBORGS LÄN</t>
        </is>
      </c>
      <c r="E5806" t="inlineStr">
        <is>
          <t>BOLLNÄS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42630-2022</t>
        </is>
      </c>
      <c r="B5807" s="1" t="n">
        <v>44832</v>
      </c>
      <c r="C5807" s="1" t="n">
        <v>45357</v>
      </c>
      <c r="D5807" t="inlineStr">
        <is>
          <t>GÄVLEBORGS LÄN</t>
        </is>
      </c>
      <c r="E5807" t="inlineStr">
        <is>
          <t>NORDANSTIG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42683-2022</t>
        </is>
      </c>
      <c r="B5808" s="1" t="n">
        <v>44832</v>
      </c>
      <c r="C5808" s="1" t="n">
        <v>45357</v>
      </c>
      <c r="D5808" t="inlineStr">
        <is>
          <t>GÄVLEBORGS LÄN</t>
        </is>
      </c>
      <c r="E5808" t="inlineStr">
        <is>
          <t>HUDIKSVALL</t>
        </is>
      </c>
      <c r="F5808" t="inlineStr">
        <is>
          <t>Holmen skog AB</t>
        </is>
      </c>
      <c r="G5808" t="n">
        <v>23.4</v>
      </c>
      <c r="H5808" t="n">
        <v>0</v>
      </c>
      <c r="I5808" t="n">
        <v>0</v>
      </c>
      <c r="J5808" t="n">
        <v>0</v>
      </c>
      <c r="K5808" t="n">
        <v>0</v>
      </c>
      <c r="L5808" t="n">
        <v>0</v>
      </c>
      <c r="M5808" t="n">
        <v>0</v>
      </c>
      <c r="N5808" t="n">
        <v>0</v>
      </c>
      <c r="O5808" t="n">
        <v>0</v>
      </c>
      <c r="P5808" t="n">
        <v>0</v>
      </c>
      <c r="Q5808" t="n">
        <v>0</v>
      </c>
      <c r="R5808" s="2" t="inlineStr"/>
    </row>
    <row r="5809" ht="15" customHeight="1">
      <c r="A5809" t="inlineStr">
        <is>
          <t>A 42826-2022</t>
        </is>
      </c>
      <c r="B5809" s="1" t="n">
        <v>44832</v>
      </c>
      <c r="C5809" s="1" t="n">
        <v>45357</v>
      </c>
      <c r="D5809" t="inlineStr">
        <is>
          <t>GÄVLEBORGS LÄN</t>
        </is>
      </c>
      <c r="E5809" t="inlineStr">
        <is>
          <t>LJUSDAL</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42685-2022</t>
        </is>
      </c>
      <c r="B5810" s="1" t="n">
        <v>44832</v>
      </c>
      <c r="C5810" s="1" t="n">
        <v>45357</v>
      </c>
      <c r="D5810" t="inlineStr">
        <is>
          <t>GÄVLEBORGS LÄN</t>
        </is>
      </c>
      <c r="E5810" t="inlineStr">
        <is>
          <t>OVANÅKER</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42780-2022</t>
        </is>
      </c>
      <c r="B5811" s="1" t="n">
        <v>44832</v>
      </c>
      <c r="C5811" s="1" t="n">
        <v>45357</v>
      </c>
      <c r="D5811" t="inlineStr">
        <is>
          <t>GÄVLEBORGS LÄN</t>
        </is>
      </c>
      <c r="E5811" t="inlineStr">
        <is>
          <t>NORDANSTIG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42839-2022</t>
        </is>
      </c>
      <c r="B5812" s="1" t="n">
        <v>44832</v>
      </c>
      <c r="C5812" s="1" t="n">
        <v>45357</v>
      </c>
      <c r="D5812" t="inlineStr">
        <is>
          <t>GÄVLEBORGS LÄN</t>
        </is>
      </c>
      <c r="E5812" t="inlineStr">
        <is>
          <t>LJUSDAL</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42915-2022</t>
        </is>
      </c>
      <c r="B5813" s="1" t="n">
        <v>44833</v>
      </c>
      <c r="C5813" s="1" t="n">
        <v>45357</v>
      </c>
      <c r="D5813" t="inlineStr">
        <is>
          <t>GÄVLEBORGS LÄN</t>
        </is>
      </c>
      <c r="E5813" t="inlineStr">
        <is>
          <t>LJUSDAL</t>
        </is>
      </c>
      <c r="F5813" t="inlineStr">
        <is>
          <t>Bergvik skog väst AB</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42961-2022</t>
        </is>
      </c>
      <c r="B5814" s="1" t="n">
        <v>44833</v>
      </c>
      <c r="C5814" s="1" t="n">
        <v>45357</v>
      </c>
      <c r="D5814" t="inlineStr">
        <is>
          <t>GÄVLEBORGS LÄN</t>
        </is>
      </c>
      <c r="E5814" t="inlineStr">
        <is>
          <t>LJUSDAL</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42972-2022</t>
        </is>
      </c>
      <c r="B5815" s="1" t="n">
        <v>44833</v>
      </c>
      <c r="C5815" s="1" t="n">
        <v>45357</v>
      </c>
      <c r="D5815" t="inlineStr">
        <is>
          <t>GÄVLEBORGS LÄN</t>
        </is>
      </c>
      <c r="E5815" t="inlineStr">
        <is>
          <t>LJUSDAL</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43016-2022</t>
        </is>
      </c>
      <c r="B5816" s="1" t="n">
        <v>44833</v>
      </c>
      <c r="C5816" s="1" t="n">
        <v>45357</v>
      </c>
      <c r="D5816" t="inlineStr">
        <is>
          <t>GÄVLEBORGS LÄN</t>
        </is>
      </c>
      <c r="E5816" t="inlineStr">
        <is>
          <t>LJUSDAL</t>
        </is>
      </c>
      <c r="F5816" t="inlineStr">
        <is>
          <t>Naturvårdsverket</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43024-2022</t>
        </is>
      </c>
      <c r="B5817" s="1" t="n">
        <v>44833</v>
      </c>
      <c r="C5817" s="1" t="n">
        <v>45357</v>
      </c>
      <c r="D5817" t="inlineStr">
        <is>
          <t>GÄVLEBORGS LÄN</t>
        </is>
      </c>
      <c r="E5817" t="inlineStr">
        <is>
          <t>LJUSDAL</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42947-2022</t>
        </is>
      </c>
      <c r="B5818" s="1" t="n">
        <v>44833</v>
      </c>
      <c r="C5818" s="1" t="n">
        <v>45357</v>
      </c>
      <c r="D5818" t="inlineStr">
        <is>
          <t>GÄVLEBORGS LÄN</t>
        </is>
      </c>
      <c r="E5818" t="inlineStr">
        <is>
          <t>NORDANSTIG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42956-2022</t>
        </is>
      </c>
      <c r="B5819" s="1" t="n">
        <v>44833</v>
      </c>
      <c r="C5819" s="1" t="n">
        <v>45357</v>
      </c>
      <c r="D5819" t="inlineStr">
        <is>
          <t>GÄVLEBORGS LÄN</t>
        </is>
      </c>
      <c r="E5819" t="inlineStr">
        <is>
          <t>LJUSDAL</t>
        </is>
      </c>
      <c r="F5819" t="inlineStr">
        <is>
          <t>Bergvik skog väst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43010-2022</t>
        </is>
      </c>
      <c r="B5820" s="1" t="n">
        <v>44833</v>
      </c>
      <c r="C5820" s="1" t="n">
        <v>45357</v>
      </c>
      <c r="D5820" t="inlineStr">
        <is>
          <t>GÄVLEBORGS LÄN</t>
        </is>
      </c>
      <c r="E5820" t="inlineStr">
        <is>
          <t>HUDIKSVALL</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42918-2022</t>
        </is>
      </c>
      <c r="B5821" s="1" t="n">
        <v>44833</v>
      </c>
      <c r="C5821" s="1" t="n">
        <v>45357</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42964-2022</t>
        </is>
      </c>
      <c r="B5822" s="1" t="n">
        <v>44833</v>
      </c>
      <c r="C5822" s="1" t="n">
        <v>45357</v>
      </c>
      <c r="D5822" t="inlineStr">
        <is>
          <t>GÄVLEBORGS LÄN</t>
        </is>
      </c>
      <c r="E5822" t="inlineStr">
        <is>
          <t>LJUSDAL</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42959-2022</t>
        </is>
      </c>
      <c r="B5823" s="1" t="n">
        <v>44833</v>
      </c>
      <c r="C5823" s="1" t="n">
        <v>45357</v>
      </c>
      <c r="D5823" t="inlineStr">
        <is>
          <t>GÄVLEBORGS LÄN</t>
        </is>
      </c>
      <c r="E5823" t="inlineStr">
        <is>
          <t>LJUSDAL</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42981-2022</t>
        </is>
      </c>
      <c r="B5824" s="1" t="n">
        <v>44833</v>
      </c>
      <c r="C5824" s="1" t="n">
        <v>45357</v>
      </c>
      <c r="D5824" t="inlineStr">
        <is>
          <t>GÄVLEBORGS LÄN</t>
        </is>
      </c>
      <c r="E5824" t="inlineStr">
        <is>
          <t>HUDIKSVALL</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43023-2022</t>
        </is>
      </c>
      <c r="B5825" s="1" t="n">
        <v>44833</v>
      </c>
      <c r="C5825" s="1" t="n">
        <v>45357</v>
      </c>
      <c r="D5825" t="inlineStr">
        <is>
          <t>GÄVLEBORGS LÄN</t>
        </is>
      </c>
      <c r="E5825" t="inlineStr">
        <is>
          <t>LJUSDAL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43077-2022</t>
        </is>
      </c>
      <c r="B5826" s="1" t="n">
        <v>44833</v>
      </c>
      <c r="C5826" s="1" t="n">
        <v>45357</v>
      </c>
      <c r="D5826" t="inlineStr">
        <is>
          <t>GÄVLEBORGS LÄN</t>
        </is>
      </c>
      <c r="E5826" t="inlineStr">
        <is>
          <t>LJUSDAL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43060-2022</t>
        </is>
      </c>
      <c r="B5827" s="1" t="n">
        <v>44833</v>
      </c>
      <c r="C5827" s="1" t="n">
        <v>45357</v>
      </c>
      <c r="D5827" t="inlineStr">
        <is>
          <t>GÄVLEBORGS LÄN</t>
        </is>
      </c>
      <c r="E5827" t="inlineStr">
        <is>
          <t>LJUSDAL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43090-2022</t>
        </is>
      </c>
      <c r="B5828" s="1" t="n">
        <v>44833</v>
      </c>
      <c r="C5828" s="1" t="n">
        <v>45357</v>
      </c>
      <c r="D5828" t="inlineStr">
        <is>
          <t>GÄVLEBORGS LÄN</t>
        </is>
      </c>
      <c r="E5828" t="inlineStr">
        <is>
          <t>LJUSDAL</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43423-2022</t>
        </is>
      </c>
      <c r="B5829" s="1" t="n">
        <v>44835</v>
      </c>
      <c r="C5829" s="1" t="n">
        <v>45357</v>
      </c>
      <c r="D5829" t="inlineStr">
        <is>
          <t>GÄVLEBORGS LÄN</t>
        </is>
      </c>
      <c r="E5829" t="inlineStr">
        <is>
          <t>LJUSDAL</t>
        </is>
      </c>
      <c r="F5829" t="inlineStr">
        <is>
          <t>SCA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43425-2022</t>
        </is>
      </c>
      <c r="B5830" s="1" t="n">
        <v>44834</v>
      </c>
      <c r="C5830" s="1" t="n">
        <v>45357</v>
      </c>
      <c r="D5830" t="inlineStr">
        <is>
          <t>GÄVLEBORGS LÄN</t>
        </is>
      </c>
      <c r="E5830" t="inlineStr">
        <is>
          <t>LJUSDAL</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43505-2022</t>
        </is>
      </c>
      <c r="B5831" s="1" t="n">
        <v>44837</v>
      </c>
      <c r="C5831" s="1" t="n">
        <v>45357</v>
      </c>
      <c r="D5831" t="inlineStr">
        <is>
          <t>GÄVLEBORGS LÄN</t>
        </is>
      </c>
      <c r="E5831" t="inlineStr">
        <is>
          <t>LJUSDAL</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43490-2022</t>
        </is>
      </c>
      <c r="B5832" s="1" t="n">
        <v>44837</v>
      </c>
      <c r="C5832" s="1" t="n">
        <v>45357</v>
      </c>
      <c r="D5832" t="inlineStr">
        <is>
          <t>GÄVLEBORGS LÄN</t>
        </is>
      </c>
      <c r="E5832" t="inlineStr">
        <is>
          <t>SÖDERHAMN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43523-2022</t>
        </is>
      </c>
      <c r="B5833" s="1" t="n">
        <v>44837</v>
      </c>
      <c r="C5833" s="1" t="n">
        <v>45357</v>
      </c>
      <c r="D5833" t="inlineStr">
        <is>
          <t>GÄVLEBORGS LÄN</t>
        </is>
      </c>
      <c r="E5833" t="inlineStr">
        <is>
          <t>LJUSDAL</t>
        </is>
      </c>
      <c r="G5833" t="n">
        <v>22.4</v>
      </c>
      <c r="H5833" t="n">
        <v>0</v>
      </c>
      <c r="I5833" t="n">
        <v>0</v>
      </c>
      <c r="J5833" t="n">
        <v>0</v>
      </c>
      <c r="K5833" t="n">
        <v>0</v>
      </c>
      <c r="L5833" t="n">
        <v>0</v>
      </c>
      <c r="M5833" t="n">
        <v>0</v>
      </c>
      <c r="N5833" t="n">
        <v>0</v>
      </c>
      <c r="O5833" t="n">
        <v>0</v>
      </c>
      <c r="P5833" t="n">
        <v>0</v>
      </c>
      <c r="Q5833" t="n">
        <v>0</v>
      </c>
      <c r="R5833" s="2" t="inlineStr"/>
    </row>
    <row r="5834" ht="15" customHeight="1">
      <c r="A5834" t="inlineStr">
        <is>
          <t>A 43537-2022</t>
        </is>
      </c>
      <c r="B5834" s="1" t="n">
        <v>44837</v>
      </c>
      <c r="C5834" s="1" t="n">
        <v>45357</v>
      </c>
      <c r="D5834" t="inlineStr">
        <is>
          <t>GÄVLEBORGS LÄN</t>
        </is>
      </c>
      <c r="E5834" t="inlineStr">
        <is>
          <t>LJUSDAL</t>
        </is>
      </c>
      <c r="F5834" t="inlineStr">
        <is>
          <t>Naturvårdsverket</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43610-2022</t>
        </is>
      </c>
      <c r="B5835" s="1" t="n">
        <v>44837</v>
      </c>
      <c r="C5835" s="1" t="n">
        <v>45357</v>
      </c>
      <c r="D5835" t="inlineStr">
        <is>
          <t>GÄVLEBORGS LÄN</t>
        </is>
      </c>
      <c r="E5835" t="inlineStr">
        <is>
          <t>HOFORS</t>
        </is>
      </c>
      <c r="F5835" t="inlineStr">
        <is>
          <t>Sveaskog</t>
        </is>
      </c>
      <c r="G5835" t="n">
        <v>17.6</v>
      </c>
      <c r="H5835" t="n">
        <v>0</v>
      </c>
      <c r="I5835" t="n">
        <v>0</v>
      </c>
      <c r="J5835" t="n">
        <v>0</v>
      </c>
      <c r="K5835" t="n">
        <v>0</v>
      </c>
      <c r="L5835" t="n">
        <v>0</v>
      </c>
      <c r="M5835" t="n">
        <v>0</v>
      </c>
      <c r="N5835" t="n">
        <v>0</v>
      </c>
      <c r="O5835" t="n">
        <v>0</v>
      </c>
      <c r="P5835" t="n">
        <v>0</v>
      </c>
      <c r="Q5835" t="n">
        <v>0</v>
      </c>
      <c r="R5835" s="2" t="inlineStr"/>
    </row>
    <row r="5836" ht="15" customHeight="1">
      <c r="A5836" t="inlineStr">
        <is>
          <t>A 43659-2022</t>
        </is>
      </c>
      <c r="B5836" s="1" t="n">
        <v>44837</v>
      </c>
      <c r="C5836" s="1" t="n">
        <v>45357</v>
      </c>
      <c r="D5836" t="inlineStr">
        <is>
          <t>GÄVLEBORGS LÄN</t>
        </is>
      </c>
      <c r="E5836" t="inlineStr">
        <is>
          <t>OCKELBO</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43698-2022</t>
        </is>
      </c>
      <c r="B5837" s="1" t="n">
        <v>44837</v>
      </c>
      <c r="C5837" s="1" t="n">
        <v>45357</v>
      </c>
      <c r="D5837" t="inlineStr">
        <is>
          <t>GÄVLEBORGS LÄN</t>
        </is>
      </c>
      <c r="E5837" t="inlineStr">
        <is>
          <t>SÖDERHAMN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43631-2022</t>
        </is>
      </c>
      <c r="B5838" s="1" t="n">
        <v>44837</v>
      </c>
      <c r="C5838" s="1" t="n">
        <v>45357</v>
      </c>
      <c r="D5838" t="inlineStr">
        <is>
          <t>GÄVLEBORGS LÄN</t>
        </is>
      </c>
      <c r="E5838" t="inlineStr">
        <is>
          <t>HOFORS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43603-2022</t>
        </is>
      </c>
      <c r="B5839" s="1" t="n">
        <v>44837</v>
      </c>
      <c r="C5839" s="1" t="n">
        <v>45357</v>
      </c>
      <c r="D5839" t="inlineStr">
        <is>
          <t>GÄVLEBORGS LÄN</t>
        </is>
      </c>
      <c r="E5839" t="inlineStr">
        <is>
          <t>HOFORS</t>
        </is>
      </c>
      <c r="F5839" t="inlineStr">
        <is>
          <t>Sveaskog</t>
        </is>
      </c>
      <c r="G5839" t="n">
        <v>11.9</v>
      </c>
      <c r="H5839" t="n">
        <v>0</v>
      </c>
      <c r="I5839" t="n">
        <v>0</v>
      </c>
      <c r="J5839" t="n">
        <v>0</v>
      </c>
      <c r="K5839" t="n">
        <v>0</v>
      </c>
      <c r="L5839" t="n">
        <v>0</v>
      </c>
      <c r="M5839" t="n">
        <v>0</v>
      </c>
      <c r="N5839" t="n">
        <v>0</v>
      </c>
      <c r="O5839" t="n">
        <v>0</v>
      </c>
      <c r="P5839" t="n">
        <v>0</v>
      </c>
      <c r="Q5839" t="n">
        <v>0</v>
      </c>
      <c r="R5839" s="2" t="inlineStr"/>
    </row>
    <row r="5840" ht="15" customHeight="1">
      <c r="A5840" t="inlineStr">
        <is>
          <t>A 43670-2022</t>
        </is>
      </c>
      <c r="B5840" s="1" t="n">
        <v>44837</v>
      </c>
      <c r="C5840" s="1" t="n">
        <v>45357</v>
      </c>
      <c r="D5840" t="inlineStr">
        <is>
          <t>GÄVLEBORGS LÄN</t>
        </is>
      </c>
      <c r="E5840" t="inlineStr">
        <is>
          <t>SÖDERHAMN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43578-2022</t>
        </is>
      </c>
      <c r="B5841" s="1" t="n">
        <v>44837</v>
      </c>
      <c r="C5841" s="1" t="n">
        <v>45357</v>
      </c>
      <c r="D5841" t="inlineStr">
        <is>
          <t>GÄVLEBORGS LÄN</t>
        </is>
      </c>
      <c r="E5841" t="inlineStr">
        <is>
          <t>HUDIKSVALL</t>
        </is>
      </c>
      <c r="F5841" t="inlineStr">
        <is>
          <t>Holmen skog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43723-2022</t>
        </is>
      </c>
      <c r="B5842" s="1" t="n">
        <v>44837</v>
      </c>
      <c r="C5842" s="1" t="n">
        <v>45357</v>
      </c>
      <c r="D5842" t="inlineStr">
        <is>
          <t>GÄVLEBORGS LÄN</t>
        </is>
      </c>
      <c r="E5842" t="inlineStr">
        <is>
          <t>SÖDERHAMN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43875-2022</t>
        </is>
      </c>
      <c r="B5843" s="1" t="n">
        <v>44837</v>
      </c>
      <c r="C5843" s="1" t="n">
        <v>45357</v>
      </c>
      <c r="D5843" t="inlineStr">
        <is>
          <t>GÄVLEBORGS LÄN</t>
        </is>
      </c>
      <c r="E5843" t="inlineStr">
        <is>
          <t>SÖDERHAMN</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43799-2022</t>
        </is>
      </c>
      <c r="B5844" s="1" t="n">
        <v>44838</v>
      </c>
      <c r="C5844" s="1" t="n">
        <v>45357</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43936-2022</t>
        </is>
      </c>
      <c r="B5845" s="1" t="n">
        <v>44838</v>
      </c>
      <c r="C5845" s="1" t="n">
        <v>45357</v>
      </c>
      <c r="D5845" t="inlineStr">
        <is>
          <t>GÄVLEBORGS LÄN</t>
        </is>
      </c>
      <c r="E5845" t="inlineStr">
        <is>
          <t>SÖDERHAMN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43800-2022</t>
        </is>
      </c>
      <c r="B5846" s="1" t="n">
        <v>44838</v>
      </c>
      <c r="C5846" s="1" t="n">
        <v>45357</v>
      </c>
      <c r="D5846" t="inlineStr">
        <is>
          <t>GÄVLEBORGS LÄN</t>
        </is>
      </c>
      <c r="E5846" t="inlineStr">
        <is>
          <t>OCKELBO</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43853-2022</t>
        </is>
      </c>
      <c r="B5847" s="1" t="n">
        <v>44838</v>
      </c>
      <c r="C5847" s="1" t="n">
        <v>45357</v>
      </c>
      <c r="D5847" t="inlineStr">
        <is>
          <t>GÄVLEBORGS LÄN</t>
        </is>
      </c>
      <c r="E5847" t="inlineStr">
        <is>
          <t>NORDANSTIG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43803-2022</t>
        </is>
      </c>
      <c r="B5848" s="1" t="n">
        <v>44838</v>
      </c>
      <c r="C5848" s="1" t="n">
        <v>45357</v>
      </c>
      <c r="D5848" t="inlineStr">
        <is>
          <t>GÄVLEBORGS LÄN</t>
        </is>
      </c>
      <c r="E5848" t="inlineStr">
        <is>
          <t>HUDIKSVALL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43802-2022</t>
        </is>
      </c>
      <c r="B5849" s="1" t="n">
        <v>44838</v>
      </c>
      <c r="C5849" s="1" t="n">
        <v>45357</v>
      </c>
      <c r="D5849" t="inlineStr">
        <is>
          <t>GÄVLEBORGS LÄN</t>
        </is>
      </c>
      <c r="E5849" t="inlineStr">
        <is>
          <t>OCKELBO</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44027-2022</t>
        </is>
      </c>
      <c r="B5850" s="1" t="n">
        <v>44839</v>
      </c>
      <c r="C5850" s="1" t="n">
        <v>45357</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44032-2022</t>
        </is>
      </c>
      <c r="B5851" s="1" t="n">
        <v>44838</v>
      </c>
      <c r="C5851" s="1" t="n">
        <v>45357</v>
      </c>
      <c r="D5851" t="inlineStr">
        <is>
          <t>GÄVLEBORGS LÄN</t>
        </is>
      </c>
      <c r="E5851" t="inlineStr">
        <is>
          <t>LJUSDAL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44048-2022</t>
        </is>
      </c>
      <c r="B5852" s="1" t="n">
        <v>44839</v>
      </c>
      <c r="C5852" s="1" t="n">
        <v>45357</v>
      </c>
      <c r="D5852" t="inlineStr">
        <is>
          <t>GÄVLEBORGS LÄN</t>
        </is>
      </c>
      <c r="E5852" t="inlineStr">
        <is>
          <t>LJUSDAL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44028-2022</t>
        </is>
      </c>
      <c r="B5853" s="1" t="n">
        <v>44838</v>
      </c>
      <c r="C5853" s="1" t="n">
        <v>45357</v>
      </c>
      <c r="D5853" t="inlineStr">
        <is>
          <t>GÄVLEBORGS LÄN</t>
        </is>
      </c>
      <c r="E5853" t="inlineStr">
        <is>
          <t>LJUSDAL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44041-2022</t>
        </is>
      </c>
      <c r="B5854" s="1" t="n">
        <v>44839</v>
      </c>
      <c r="C5854" s="1" t="n">
        <v>45357</v>
      </c>
      <c r="D5854" t="inlineStr">
        <is>
          <t>GÄVLEBORGS LÄN</t>
        </is>
      </c>
      <c r="E5854" t="inlineStr">
        <is>
          <t>LJUSDAL</t>
        </is>
      </c>
      <c r="F5854" t="inlineStr">
        <is>
          <t>Naturvårdsverket</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44058-2022</t>
        </is>
      </c>
      <c r="B5855" s="1" t="n">
        <v>44839</v>
      </c>
      <c r="C5855" s="1" t="n">
        <v>45357</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44090-2022</t>
        </is>
      </c>
      <c r="B5856" s="1" t="n">
        <v>44839</v>
      </c>
      <c r="C5856" s="1" t="n">
        <v>45357</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44168-2022</t>
        </is>
      </c>
      <c r="B5857" s="1" t="n">
        <v>44839</v>
      </c>
      <c r="C5857" s="1" t="n">
        <v>45357</v>
      </c>
      <c r="D5857" t="inlineStr">
        <is>
          <t>GÄVLEBORGS LÄN</t>
        </is>
      </c>
      <c r="E5857" t="inlineStr">
        <is>
          <t>HUDIKSVALL</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44092-2022</t>
        </is>
      </c>
      <c r="B5858" s="1" t="n">
        <v>44839</v>
      </c>
      <c r="C5858" s="1" t="n">
        <v>45357</v>
      </c>
      <c r="D5858" t="inlineStr">
        <is>
          <t>GÄVLEBORGS LÄN</t>
        </is>
      </c>
      <c r="E5858" t="inlineStr">
        <is>
          <t>OVANÅKER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44120-2022</t>
        </is>
      </c>
      <c r="B5859" s="1" t="n">
        <v>44839</v>
      </c>
      <c r="C5859" s="1" t="n">
        <v>45357</v>
      </c>
      <c r="D5859" t="inlineStr">
        <is>
          <t>GÄVLEBORGS LÄN</t>
        </is>
      </c>
      <c r="E5859" t="inlineStr">
        <is>
          <t>BOLLNÄS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44151-2022</t>
        </is>
      </c>
      <c r="B5860" s="1" t="n">
        <v>44839</v>
      </c>
      <c r="C5860" s="1" t="n">
        <v>45357</v>
      </c>
      <c r="D5860" t="inlineStr">
        <is>
          <t>GÄVLEBORGS LÄN</t>
        </is>
      </c>
      <c r="E5860" t="inlineStr">
        <is>
          <t>BOLLNÄS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44177-2022</t>
        </is>
      </c>
      <c r="B5861" s="1" t="n">
        <v>44839</v>
      </c>
      <c r="C5861" s="1" t="n">
        <v>45357</v>
      </c>
      <c r="D5861" t="inlineStr">
        <is>
          <t>GÄVLEBORGS LÄN</t>
        </is>
      </c>
      <c r="E5861" t="inlineStr">
        <is>
          <t>BOLLNÄS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44181-2022</t>
        </is>
      </c>
      <c r="B5862" s="1" t="n">
        <v>44839</v>
      </c>
      <c r="C5862" s="1" t="n">
        <v>45357</v>
      </c>
      <c r="D5862" t="inlineStr">
        <is>
          <t>GÄVLEBORGS LÄN</t>
        </is>
      </c>
      <c r="E5862" t="inlineStr">
        <is>
          <t>HUDIKSVALL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44426-2022</t>
        </is>
      </c>
      <c r="B5863" s="1" t="n">
        <v>44840</v>
      </c>
      <c r="C5863" s="1" t="n">
        <v>45357</v>
      </c>
      <c r="D5863" t="inlineStr">
        <is>
          <t>GÄVLEBORGS LÄN</t>
        </is>
      </c>
      <c r="E5863" t="inlineStr">
        <is>
          <t>HUDIKSVALL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44310-2022</t>
        </is>
      </c>
      <c r="B5864" s="1" t="n">
        <v>44839</v>
      </c>
      <c r="C5864" s="1" t="n">
        <v>45357</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44425-2022</t>
        </is>
      </c>
      <c r="B5865" s="1" t="n">
        <v>44840</v>
      </c>
      <c r="C5865" s="1" t="n">
        <v>45357</v>
      </c>
      <c r="D5865" t="inlineStr">
        <is>
          <t>GÄVLEBORGS LÄN</t>
        </is>
      </c>
      <c r="E5865" t="inlineStr">
        <is>
          <t>HUDIKSVALL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44178-2022</t>
        </is>
      </c>
      <c r="B5866" s="1" t="n">
        <v>44839</v>
      </c>
      <c r="C5866" s="1" t="n">
        <v>45357</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44281-2022</t>
        </is>
      </c>
      <c r="B5867" s="1" t="n">
        <v>44839</v>
      </c>
      <c r="C5867" s="1" t="n">
        <v>45357</v>
      </c>
      <c r="D5867" t="inlineStr">
        <is>
          <t>GÄVLEBORGS LÄN</t>
        </is>
      </c>
      <c r="E5867" t="inlineStr">
        <is>
          <t>OCKELBO</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44287-2022</t>
        </is>
      </c>
      <c r="B5868" s="1" t="n">
        <v>44839</v>
      </c>
      <c r="C5868" s="1" t="n">
        <v>45357</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44427-2022</t>
        </is>
      </c>
      <c r="B5869" s="1" t="n">
        <v>44840</v>
      </c>
      <c r="C5869" s="1" t="n">
        <v>45357</v>
      </c>
      <c r="D5869" t="inlineStr">
        <is>
          <t>GÄVLEBORGS LÄN</t>
        </is>
      </c>
      <c r="E5869" t="inlineStr">
        <is>
          <t>HUDIKSVALL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44655-2022</t>
        </is>
      </c>
      <c r="B5870" s="1" t="n">
        <v>44840</v>
      </c>
      <c r="C5870" s="1" t="n">
        <v>45357</v>
      </c>
      <c r="D5870" t="inlineStr">
        <is>
          <t>GÄVLEBORGS LÄN</t>
        </is>
      </c>
      <c r="E5870" t="inlineStr">
        <is>
          <t>BOLLNÄS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44594-2022</t>
        </is>
      </c>
      <c r="B5871" s="1" t="n">
        <v>44840</v>
      </c>
      <c r="C5871" s="1" t="n">
        <v>45357</v>
      </c>
      <c r="D5871" t="inlineStr">
        <is>
          <t>GÄVLEBORGS LÄN</t>
        </is>
      </c>
      <c r="E5871" t="inlineStr">
        <is>
          <t>OVANÅKER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44658-2022</t>
        </is>
      </c>
      <c r="B5872" s="1" t="n">
        <v>44840</v>
      </c>
      <c r="C5872" s="1" t="n">
        <v>45357</v>
      </c>
      <c r="D5872" t="inlineStr">
        <is>
          <t>GÄVLEBORGS LÄN</t>
        </is>
      </c>
      <c r="E5872" t="inlineStr">
        <is>
          <t>LJUSDAL</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44680-2022</t>
        </is>
      </c>
      <c r="B5873" s="1" t="n">
        <v>44840</v>
      </c>
      <c r="C5873" s="1" t="n">
        <v>45357</v>
      </c>
      <c r="D5873" t="inlineStr">
        <is>
          <t>GÄVLEBORGS LÄN</t>
        </is>
      </c>
      <c r="E5873" t="inlineStr">
        <is>
          <t>LJUSDAL</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44765-2022</t>
        </is>
      </c>
      <c r="B5874" s="1" t="n">
        <v>44841</v>
      </c>
      <c r="C5874" s="1" t="n">
        <v>45357</v>
      </c>
      <c r="D5874" t="inlineStr">
        <is>
          <t>GÄVLEBORGS LÄN</t>
        </is>
      </c>
      <c r="E5874" t="inlineStr">
        <is>
          <t>NORDANSTIG</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44636-2022</t>
        </is>
      </c>
      <c r="B5875" s="1" t="n">
        <v>44840</v>
      </c>
      <c r="C5875" s="1" t="n">
        <v>45357</v>
      </c>
      <c r="D5875" t="inlineStr">
        <is>
          <t>GÄVLEBORGS LÄN</t>
        </is>
      </c>
      <c r="E5875" t="inlineStr">
        <is>
          <t>LJUSDAL</t>
        </is>
      </c>
      <c r="F5875" t="inlineStr">
        <is>
          <t>Bergvik skog väst AB</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44715-2022</t>
        </is>
      </c>
      <c r="B5876" s="1" t="n">
        <v>44840</v>
      </c>
      <c r="C5876" s="1" t="n">
        <v>45357</v>
      </c>
      <c r="D5876" t="inlineStr">
        <is>
          <t>GÄVLEBORGS LÄN</t>
        </is>
      </c>
      <c r="E5876" t="inlineStr">
        <is>
          <t>BOLLNÄS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45223-2022</t>
        </is>
      </c>
      <c r="B5877" s="1" t="n">
        <v>44840</v>
      </c>
      <c r="C5877" s="1" t="n">
        <v>45357</v>
      </c>
      <c r="D5877" t="inlineStr">
        <is>
          <t>GÄVLEBORGS LÄN</t>
        </is>
      </c>
      <c r="E5877" t="inlineStr">
        <is>
          <t>GÄVLE</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45280-2022</t>
        </is>
      </c>
      <c r="B5878" s="1" t="n">
        <v>44840</v>
      </c>
      <c r="C5878" s="1" t="n">
        <v>45357</v>
      </c>
      <c r="D5878" t="inlineStr">
        <is>
          <t>GÄVLEBORGS LÄN</t>
        </is>
      </c>
      <c r="E5878" t="inlineStr">
        <is>
          <t>GÄVLE</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44794-2022</t>
        </is>
      </c>
      <c r="B5879" s="1" t="n">
        <v>44841</v>
      </c>
      <c r="C5879" s="1" t="n">
        <v>45357</v>
      </c>
      <c r="D5879" t="inlineStr">
        <is>
          <t>GÄVLEBORGS LÄN</t>
        </is>
      </c>
      <c r="E5879" t="inlineStr">
        <is>
          <t>OVANÅKER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44807-2022</t>
        </is>
      </c>
      <c r="B5880" s="1" t="n">
        <v>44841</v>
      </c>
      <c r="C5880" s="1" t="n">
        <v>45357</v>
      </c>
      <c r="D5880" t="inlineStr">
        <is>
          <t>GÄVLEBORGS LÄN</t>
        </is>
      </c>
      <c r="E5880" t="inlineStr">
        <is>
          <t>NORDANSTIG</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44776-2022</t>
        </is>
      </c>
      <c r="B5881" s="1" t="n">
        <v>44841</v>
      </c>
      <c r="C5881" s="1" t="n">
        <v>45357</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44938-2022</t>
        </is>
      </c>
      <c r="B5882" s="1" t="n">
        <v>44841</v>
      </c>
      <c r="C5882" s="1" t="n">
        <v>45357</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44929-2022</t>
        </is>
      </c>
      <c r="B5883" s="1" t="n">
        <v>44841</v>
      </c>
      <c r="C5883" s="1" t="n">
        <v>45357</v>
      </c>
      <c r="D5883" t="inlineStr">
        <is>
          <t>GÄVLEBORGS LÄN</t>
        </is>
      </c>
      <c r="E5883" t="inlineStr">
        <is>
          <t>OCKELBO</t>
        </is>
      </c>
      <c r="F5883" t="inlineStr">
        <is>
          <t>Bergvik skog väst AB</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45054-2022</t>
        </is>
      </c>
      <c r="B5884" s="1" t="n">
        <v>44841</v>
      </c>
      <c r="C5884" s="1" t="n">
        <v>45357</v>
      </c>
      <c r="D5884" t="inlineStr">
        <is>
          <t>GÄVLEBORGS LÄN</t>
        </is>
      </c>
      <c r="E5884" t="inlineStr">
        <is>
          <t>LJUSDAL</t>
        </is>
      </c>
      <c r="F5884" t="inlineStr">
        <is>
          <t>Sveaskog</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44922-2022</t>
        </is>
      </c>
      <c r="B5885" s="1" t="n">
        <v>44841</v>
      </c>
      <c r="C5885" s="1" t="n">
        <v>45357</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45494-2022</t>
        </is>
      </c>
      <c r="B5886" s="1" t="n">
        <v>44841</v>
      </c>
      <c r="C5886" s="1" t="n">
        <v>45357</v>
      </c>
      <c r="D5886" t="inlineStr">
        <is>
          <t>GÄVLEBORGS LÄN</t>
        </is>
      </c>
      <c r="E5886" t="inlineStr">
        <is>
          <t>SÖDERHAMN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45102-2022</t>
        </is>
      </c>
      <c r="B5887" s="1" t="n">
        <v>44843</v>
      </c>
      <c r="C5887" s="1" t="n">
        <v>45357</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45116-2022</t>
        </is>
      </c>
      <c r="B5888" s="1" t="n">
        <v>44844</v>
      </c>
      <c r="C5888" s="1" t="n">
        <v>45357</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45310-2022</t>
        </is>
      </c>
      <c r="B5889" s="1" t="n">
        <v>44844</v>
      </c>
      <c r="C5889" s="1" t="n">
        <v>45357</v>
      </c>
      <c r="D5889" t="inlineStr">
        <is>
          <t>GÄVLEBORGS LÄN</t>
        </is>
      </c>
      <c r="E5889" t="inlineStr">
        <is>
          <t>NORDANSTIG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45414-2022</t>
        </is>
      </c>
      <c r="B5890" s="1" t="n">
        <v>44844</v>
      </c>
      <c r="C5890" s="1" t="n">
        <v>45357</v>
      </c>
      <c r="D5890" t="inlineStr">
        <is>
          <t>GÄVLEBORGS LÄN</t>
        </is>
      </c>
      <c r="E5890" t="inlineStr">
        <is>
          <t>LJUSDAL</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45353-2022</t>
        </is>
      </c>
      <c r="B5891" s="1" t="n">
        <v>44844</v>
      </c>
      <c r="C5891" s="1" t="n">
        <v>45357</v>
      </c>
      <c r="D5891" t="inlineStr">
        <is>
          <t>GÄVLEBORGS LÄN</t>
        </is>
      </c>
      <c r="E5891" t="inlineStr">
        <is>
          <t>OCKELBO</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45456-2022</t>
        </is>
      </c>
      <c r="B5892" s="1" t="n">
        <v>44845</v>
      </c>
      <c r="C5892" s="1" t="n">
        <v>45357</v>
      </c>
      <c r="D5892" t="inlineStr">
        <is>
          <t>GÄVLEBORGS LÄN</t>
        </is>
      </c>
      <c r="E5892" t="inlineStr">
        <is>
          <t>OVANÅKER</t>
        </is>
      </c>
      <c r="F5892" t="inlineStr">
        <is>
          <t>Kyrkan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45519-2022</t>
        </is>
      </c>
      <c r="B5893" s="1" t="n">
        <v>44845</v>
      </c>
      <c r="C5893" s="1" t="n">
        <v>45357</v>
      </c>
      <c r="D5893" t="inlineStr">
        <is>
          <t>GÄVLEBORGS LÄN</t>
        </is>
      </c>
      <c r="E5893" t="inlineStr">
        <is>
          <t>OCKELBO</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45528-2022</t>
        </is>
      </c>
      <c r="B5894" s="1" t="n">
        <v>44845</v>
      </c>
      <c r="C5894" s="1" t="n">
        <v>45357</v>
      </c>
      <c r="D5894" t="inlineStr">
        <is>
          <t>GÄVLEBORGS LÄN</t>
        </is>
      </c>
      <c r="E5894" t="inlineStr">
        <is>
          <t>OVANÅKER</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45483-2022</t>
        </is>
      </c>
      <c r="B5895" s="1" t="n">
        <v>44845</v>
      </c>
      <c r="C5895" s="1" t="n">
        <v>45357</v>
      </c>
      <c r="D5895" t="inlineStr">
        <is>
          <t>GÄVLEBORGS LÄN</t>
        </is>
      </c>
      <c r="E5895" t="inlineStr">
        <is>
          <t>OCKELBO</t>
        </is>
      </c>
      <c r="G5895" t="n">
        <v>34.2</v>
      </c>
      <c r="H5895" t="n">
        <v>0</v>
      </c>
      <c r="I5895" t="n">
        <v>0</v>
      </c>
      <c r="J5895" t="n">
        <v>0</v>
      </c>
      <c r="K5895" t="n">
        <v>0</v>
      </c>
      <c r="L5895" t="n">
        <v>0</v>
      </c>
      <c r="M5895" t="n">
        <v>0</v>
      </c>
      <c r="N5895" t="n">
        <v>0</v>
      </c>
      <c r="O5895" t="n">
        <v>0</v>
      </c>
      <c r="P5895" t="n">
        <v>0</v>
      </c>
      <c r="Q5895" t="n">
        <v>0</v>
      </c>
      <c r="R5895" s="2" t="inlineStr"/>
    </row>
    <row r="5896" ht="15" customHeight="1">
      <c r="A5896" t="inlineStr">
        <is>
          <t>A 45590-2022</t>
        </is>
      </c>
      <c r="B5896" s="1" t="n">
        <v>44845</v>
      </c>
      <c r="C5896" s="1" t="n">
        <v>45357</v>
      </c>
      <c r="D5896" t="inlineStr">
        <is>
          <t>GÄVLEBORGS LÄN</t>
        </is>
      </c>
      <c r="E5896" t="inlineStr">
        <is>
          <t>BOLLNÄS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45562-2022</t>
        </is>
      </c>
      <c r="B5897" s="1" t="n">
        <v>44845</v>
      </c>
      <c r="C5897" s="1" t="n">
        <v>45357</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45486-2022</t>
        </is>
      </c>
      <c r="B5898" s="1" t="n">
        <v>44845</v>
      </c>
      <c r="C5898" s="1" t="n">
        <v>45357</v>
      </c>
      <c r="D5898" t="inlineStr">
        <is>
          <t>GÄVLEBORGS LÄN</t>
        </is>
      </c>
      <c r="E5898" t="inlineStr">
        <is>
          <t>OVANÅKER</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45499-2022</t>
        </is>
      </c>
      <c r="B5899" s="1" t="n">
        <v>44845</v>
      </c>
      <c r="C5899" s="1" t="n">
        <v>45357</v>
      </c>
      <c r="D5899" t="inlineStr">
        <is>
          <t>GÄVLEBORGS LÄN</t>
        </is>
      </c>
      <c r="E5899" t="inlineStr">
        <is>
          <t>OCKELBO</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45592-2022</t>
        </is>
      </c>
      <c r="B5900" s="1" t="n">
        <v>44845</v>
      </c>
      <c r="C5900" s="1" t="n">
        <v>45357</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45626-2022</t>
        </is>
      </c>
      <c r="B5901" s="1" t="n">
        <v>44845</v>
      </c>
      <c r="C5901" s="1" t="n">
        <v>45357</v>
      </c>
      <c r="D5901" t="inlineStr">
        <is>
          <t>GÄVLEBORGS LÄN</t>
        </is>
      </c>
      <c r="E5901" t="inlineStr">
        <is>
          <t>GÄVLE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45686-2022</t>
        </is>
      </c>
      <c r="B5902" s="1" t="n">
        <v>44846</v>
      </c>
      <c r="C5902" s="1" t="n">
        <v>45357</v>
      </c>
      <c r="D5902" t="inlineStr">
        <is>
          <t>GÄVLEBORGS LÄN</t>
        </is>
      </c>
      <c r="E5902" t="inlineStr">
        <is>
          <t>GÄVLE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45924-2022</t>
        </is>
      </c>
      <c r="B5903" s="1" t="n">
        <v>44845</v>
      </c>
      <c r="C5903" s="1" t="n">
        <v>45357</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45628-2022</t>
        </is>
      </c>
      <c r="B5904" s="1" t="n">
        <v>44845</v>
      </c>
      <c r="C5904" s="1" t="n">
        <v>45357</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45655-2022</t>
        </is>
      </c>
      <c r="B5905" s="1" t="n">
        <v>44845</v>
      </c>
      <c r="C5905" s="1" t="n">
        <v>45357</v>
      </c>
      <c r="D5905" t="inlineStr">
        <is>
          <t>GÄVLEBORGS LÄN</t>
        </is>
      </c>
      <c r="E5905" t="inlineStr">
        <is>
          <t>BOLLNÄS</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45752-2022</t>
        </is>
      </c>
      <c r="B5906" s="1" t="n">
        <v>44846</v>
      </c>
      <c r="C5906" s="1" t="n">
        <v>45357</v>
      </c>
      <c r="D5906" t="inlineStr">
        <is>
          <t>GÄVLEBORGS LÄN</t>
        </is>
      </c>
      <c r="E5906" t="inlineStr">
        <is>
          <t>BOLLNÄS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45747-2022</t>
        </is>
      </c>
      <c r="B5907" s="1" t="n">
        <v>44846</v>
      </c>
      <c r="C5907" s="1" t="n">
        <v>45357</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45784-2022</t>
        </is>
      </c>
      <c r="B5908" s="1" t="n">
        <v>44846</v>
      </c>
      <c r="C5908" s="1" t="n">
        <v>45357</v>
      </c>
      <c r="D5908" t="inlineStr">
        <is>
          <t>GÄVLEBORGS LÄN</t>
        </is>
      </c>
      <c r="E5908" t="inlineStr">
        <is>
          <t>HUDIKSVALL</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45778-2022</t>
        </is>
      </c>
      <c r="B5909" s="1" t="n">
        <v>44846</v>
      </c>
      <c r="C5909" s="1" t="n">
        <v>45357</v>
      </c>
      <c r="D5909" t="inlineStr">
        <is>
          <t>GÄVLEBORGS LÄN</t>
        </is>
      </c>
      <c r="E5909" t="inlineStr">
        <is>
          <t>OVANÅKER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45819-2022</t>
        </is>
      </c>
      <c r="B5910" s="1" t="n">
        <v>44846</v>
      </c>
      <c r="C5910" s="1" t="n">
        <v>45357</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45807-2022</t>
        </is>
      </c>
      <c r="B5911" s="1" t="n">
        <v>44846</v>
      </c>
      <c r="C5911" s="1" t="n">
        <v>45357</v>
      </c>
      <c r="D5911" t="inlineStr">
        <is>
          <t>GÄVLEBORGS LÄN</t>
        </is>
      </c>
      <c r="E5911" t="inlineStr">
        <is>
          <t>SÖDERHAMN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45822-2022</t>
        </is>
      </c>
      <c r="B5912" s="1" t="n">
        <v>44846</v>
      </c>
      <c r="C5912" s="1" t="n">
        <v>45357</v>
      </c>
      <c r="D5912" t="inlineStr">
        <is>
          <t>GÄVLEBORGS LÄN</t>
        </is>
      </c>
      <c r="E5912" t="inlineStr">
        <is>
          <t>SÖDERHAMN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45949-2022</t>
        </is>
      </c>
      <c r="B5913" s="1" t="n">
        <v>44846</v>
      </c>
      <c r="C5913" s="1" t="n">
        <v>45357</v>
      </c>
      <c r="D5913" t="inlineStr">
        <is>
          <t>GÄVLEBORGS LÄN</t>
        </is>
      </c>
      <c r="E5913" t="inlineStr">
        <is>
          <t>OVANÅKER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46009-2022</t>
        </is>
      </c>
      <c r="B5914" s="1" t="n">
        <v>44846</v>
      </c>
      <c r="C5914" s="1" t="n">
        <v>45357</v>
      </c>
      <c r="D5914" t="inlineStr">
        <is>
          <t>GÄVLEBORGS LÄN</t>
        </is>
      </c>
      <c r="E5914" t="inlineStr">
        <is>
          <t>BOLLNÄS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45872-2022</t>
        </is>
      </c>
      <c r="B5915" s="1" t="n">
        <v>44846</v>
      </c>
      <c r="C5915" s="1" t="n">
        <v>45357</v>
      </c>
      <c r="D5915" t="inlineStr">
        <is>
          <t>GÄVLEBORGS LÄN</t>
        </is>
      </c>
      <c r="E5915" t="inlineStr">
        <is>
          <t>GÄVLE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45917-2022</t>
        </is>
      </c>
      <c r="B5916" s="1" t="n">
        <v>44846</v>
      </c>
      <c r="C5916" s="1" t="n">
        <v>45357</v>
      </c>
      <c r="D5916" t="inlineStr">
        <is>
          <t>GÄVLEBORGS LÄN</t>
        </is>
      </c>
      <c r="E5916" t="inlineStr">
        <is>
          <t>SANDVIKEN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45920-2022</t>
        </is>
      </c>
      <c r="B5917" s="1" t="n">
        <v>44846</v>
      </c>
      <c r="C5917" s="1" t="n">
        <v>45357</v>
      </c>
      <c r="D5917" t="inlineStr">
        <is>
          <t>GÄVLEBORGS LÄN</t>
        </is>
      </c>
      <c r="E5917" t="inlineStr">
        <is>
          <t>SANDVIKEN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45947-2022</t>
        </is>
      </c>
      <c r="B5918" s="1" t="n">
        <v>44846</v>
      </c>
      <c r="C5918" s="1" t="n">
        <v>45357</v>
      </c>
      <c r="D5918" t="inlineStr">
        <is>
          <t>GÄVLEBORGS LÄN</t>
        </is>
      </c>
      <c r="E5918" t="inlineStr">
        <is>
          <t>OVANÅKER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46007-2022</t>
        </is>
      </c>
      <c r="B5919" s="1" t="n">
        <v>44846</v>
      </c>
      <c r="C5919" s="1" t="n">
        <v>45357</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46063-2022</t>
        </is>
      </c>
      <c r="B5920" s="1" t="n">
        <v>44847</v>
      </c>
      <c r="C5920" s="1" t="n">
        <v>45357</v>
      </c>
      <c r="D5920" t="inlineStr">
        <is>
          <t>GÄVLEBORGS LÄN</t>
        </is>
      </c>
      <c r="E5920" t="inlineStr">
        <is>
          <t>HUDIKSVALL</t>
        </is>
      </c>
      <c r="F5920" t="inlineStr">
        <is>
          <t>Naturvårdsverket</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46112-2022</t>
        </is>
      </c>
      <c r="B5921" s="1" t="n">
        <v>44847</v>
      </c>
      <c r="C5921" s="1" t="n">
        <v>45357</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46157-2022</t>
        </is>
      </c>
      <c r="B5922" s="1" t="n">
        <v>44847</v>
      </c>
      <c r="C5922" s="1" t="n">
        <v>45357</v>
      </c>
      <c r="D5922" t="inlineStr">
        <is>
          <t>GÄVLEBORGS LÄN</t>
        </is>
      </c>
      <c r="E5922" t="inlineStr">
        <is>
          <t>LJUSDAL</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46221-2022</t>
        </is>
      </c>
      <c r="B5923" s="1" t="n">
        <v>44847</v>
      </c>
      <c r="C5923" s="1" t="n">
        <v>45357</v>
      </c>
      <c r="D5923" t="inlineStr">
        <is>
          <t>GÄVLEBORGS LÄN</t>
        </is>
      </c>
      <c r="E5923" t="inlineStr">
        <is>
          <t>LJUSDAL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46109-2022</t>
        </is>
      </c>
      <c r="B5924" s="1" t="n">
        <v>44847</v>
      </c>
      <c r="C5924" s="1" t="n">
        <v>45357</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46177-2022</t>
        </is>
      </c>
      <c r="B5925" s="1" t="n">
        <v>44847</v>
      </c>
      <c r="C5925" s="1" t="n">
        <v>45357</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46248-2022</t>
        </is>
      </c>
      <c r="B5926" s="1" t="n">
        <v>44847</v>
      </c>
      <c r="C5926" s="1" t="n">
        <v>45357</v>
      </c>
      <c r="D5926" t="inlineStr">
        <is>
          <t>GÄVLEBORGS LÄN</t>
        </is>
      </c>
      <c r="E5926" t="inlineStr">
        <is>
          <t>HUDIKSVALL</t>
        </is>
      </c>
      <c r="F5926" t="inlineStr">
        <is>
          <t>Holmen skog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46198-2022</t>
        </is>
      </c>
      <c r="B5927" s="1" t="n">
        <v>44847</v>
      </c>
      <c r="C5927" s="1" t="n">
        <v>45357</v>
      </c>
      <c r="D5927" t="inlineStr">
        <is>
          <t>GÄVLEBORGS LÄN</t>
        </is>
      </c>
      <c r="E5927" t="inlineStr">
        <is>
          <t>LJUSDAL</t>
        </is>
      </c>
      <c r="F5927" t="inlineStr">
        <is>
          <t>Bergvik skog väst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46289-2022</t>
        </is>
      </c>
      <c r="B5928" s="1" t="n">
        <v>44847</v>
      </c>
      <c r="C5928" s="1" t="n">
        <v>45357</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46302-2022</t>
        </is>
      </c>
      <c r="B5929" s="1" t="n">
        <v>44847</v>
      </c>
      <c r="C5929" s="1" t="n">
        <v>45357</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46064-2022</t>
        </is>
      </c>
      <c r="B5930" s="1" t="n">
        <v>44847</v>
      </c>
      <c r="C5930" s="1" t="n">
        <v>45357</v>
      </c>
      <c r="D5930" t="inlineStr">
        <is>
          <t>GÄVLEBORGS LÄN</t>
        </is>
      </c>
      <c r="E5930" t="inlineStr">
        <is>
          <t>HUDIKSVALL</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46193-2022</t>
        </is>
      </c>
      <c r="B5931" s="1" t="n">
        <v>44847</v>
      </c>
      <c r="C5931" s="1" t="n">
        <v>45357</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46256-2022</t>
        </is>
      </c>
      <c r="B5932" s="1" t="n">
        <v>44847</v>
      </c>
      <c r="C5932" s="1" t="n">
        <v>45357</v>
      </c>
      <c r="D5932" t="inlineStr">
        <is>
          <t>GÄVLEBORGS LÄN</t>
        </is>
      </c>
      <c r="E5932" t="inlineStr">
        <is>
          <t>LJUSDAL</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46464-2022</t>
        </is>
      </c>
      <c r="B5933" s="1" t="n">
        <v>44848</v>
      </c>
      <c r="C5933" s="1" t="n">
        <v>45357</v>
      </c>
      <c r="D5933" t="inlineStr">
        <is>
          <t>GÄVLEBORGS LÄN</t>
        </is>
      </c>
      <c r="E5933" t="inlineStr">
        <is>
          <t>HUDIKSVALL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46469-2022</t>
        </is>
      </c>
      <c r="B5934" s="1" t="n">
        <v>44848</v>
      </c>
      <c r="C5934" s="1" t="n">
        <v>45357</v>
      </c>
      <c r="D5934" t="inlineStr">
        <is>
          <t>GÄVLEBORGS LÄN</t>
        </is>
      </c>
      <c r="E5934" t="inlineStr">
        <is>
          <t>HUDIKSVALL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46377-2022</t>
        </is>
      </c>
      <c r="B5935" s="1" t="n">
        <v>44848</v>
      </c>
      <c r="C5935" s="1" t="n">
        <v>45357</v>
      </c>
      <c r="D5935" t="inlineStr">
        <is>
          <t>GÄVLEBORGS LÄN</t>
        </is>
      </c>
      <c r="E5935" t="inlineStr">
        <is>
          <t>OVANÅKER</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46466-2022</t>
        </is>
      </c>
      <c r="B5936" s="1" t="n">
        <v>44848</v>
      </c>
      <c r="C5936" s="1" t="n">
        <v>45357</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46382-2022</t>
        </is>
      </c>
      <c r="B5937" s="1" t="n">
        <v>44848</v>
      </c>
      <c r="C5937" s="1" t="n">
        <v>45357</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46465-2022</t>
        </is>
      </c>
      <c r="B5938" s="1" t="n">
        <v>44848</v>
      </c>
      <c r="C5938" s="1" t="n">
        <v>45357</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46378-2022</t>
        </is>
      </c>
      <c r="B5939" s="1" t="n">
        <v>44848</v>
      </c>
      <c r="C5939" s="1" t="n">
        <v>45357</v>
      </c>
      <c r="D5939" t="inlineStr">
        <is>
          <t>GÄVLEBORGS LÄN</t>
        </is>
      </c>
      <c r="E5939" t="inlineStr">
        <is>
          <t>SANDVIKEN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46404-2022</t>
        </is>
      </c>
      <c r="B5940" s="1" t="n">
        <v>44848</v>
      </c>
      <c r="C5940" s="1" t="n">
        <v>45357</v>
      </c>
      <c r="D5940" t="inlineStr">
        <is>
          <t>GÄVLEBORGS LÄN</t>
        </is>
      </c>
      <c r="E5940" t="inlineStr">
        <is>
          <t>LJUSDAL</t>
        </is>
      </c>
      <c r="F5940" t="inlineStr">
        <is>
          <t>Bergvik skog väst AB</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46467-2022</t>
        </is>
      </c>
      <c r="B5941" s="1" t="n">
        <v>44848</v>
      </c>
      <c r="C5941" s="1" t="n">
        <v>45357</v>
      </c>
      <c r="D5941" t="inlineStr">
        <is>
          <t>GÄVLEBORGS LÄN</t>
        </is>
      </c>
      <c r="E5941" t="inlineStr">
        <is>
          <t>HUDIKSVALL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46572-2022</t>
        </is>
      </c>
      <c r="B5942" s="1" t="n">
        <v>44848</v>
      </c>
      <c r="C5942" s="1" t="n">
        <v>45357</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46588-2022</t>
        </is>
      </c>
      <c r="B5943" s="1" t="n">
        <v>44848</v>
      </c>
      <c r="C5943" s="1" t="n">
        <v>45357</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46592-2022</t>
        </is>
      </c>
      <c r="B5944" s="1" t="n">
        <v>44848</v>
      </c>
      <c r="C5944" s="1" t="n">
        <v>45357</v>
      </c>
      <c r="D5944" t="inlineStr">
        <is>
          <t>GÄVLEBORGS LÄN</t>
        </is>
      </c>
      <c r="E5944" t="inlineStr">
        <is>
          <t>NORDANSTIG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46701-2022</t>
        </is>
      </c>
      <c r="B5945" s="1" t="n">
        <v>44851</v>
      </c>
      <c r="C5945" s="1" t="n">
        <v>45357</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46709-2022</t>
        </is>
      </c>
      <c r="B5946" s="1" t="n">
        <v>44851</v>
      </c>
      <c r="C5946" s="1" t="n">
        <v>45357</v>
      </c>
      <c r="D5946" t="inlineStr">
        <is>
          <t>GÄVLEBORGS LÄN</t>
        </is>
      </c>
      <c r="E5946" t="inlineStr">
        <is>
          <t>OVANÅKER</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46727-2022</t>
        </is>
      </c>
      <c r="B5947" s="1" t="n">
        <v>44851</v>
      </c>
      <c r="C5947" s="1" t="n">
        <v>45357</v>
      </c>
      <c r="D5947" t="inlineStr">
        <is>
          <t>GÄVLEBORGS LÄN</t>
        </is>
      </c>
      <c r="E5947" t="inlineStr">
        <is>
          <t>HUDIKSVALL</t>
        </is>
      </c>
      <c r="F5947" t="inlineStr">
        <is>
          <t>Holmen skog AB</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46828-2022</t>
        </is>
      </c>
      <c r="B5948" s="1" t="n">
        <v>44851</v>
      </c>
      <c r="C5948" s="1" t="n">
        <v>45357</v>
      </c>
      <c r="D5948" t="inlineStr">
        <is>
          <t>GÄVLEBORGS LÄN</t>
        </is>
      </c>
      <c r="E5948" t="inlineStr">
        <is>
          <t>NORDANSTIG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46754-2022</t>
        </is>
      </c>
      <c r="B5949" s="1" t="n">
        <v>44851</v>
      </c>
      <c r="C5949" s="1" t="n">
        <v>45357</v>
      </c>
      <c r="D5949" t="inlineStr">
        <is>
          <t>GÄVLEBORGS LÄN</t>
        </is>
      </c>
      <c r="E5949" t="inlineStr">
        <is>
          <t>HUDIKSVALL</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46934-2022</t>
        </is>
      </c>
      <c r="B5950" s="1" t="n">
        <v>44851</v>
      </c>
      <c r="C5950" s="1" t="n">
        <v>45357</v>
      </c>
      <c r="D5950" t="inlineStr">
        <is>
          <t>GÄVLEBORGS LÄN</t>
        </is>
      </c>
      <c r="E5950" t="inlineStr">
        <is>
          <t>NORDANSTIG</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46960-2022</t>
        </is>
      </c>
      <c r="B5951" s="1" t="n">
        <v>44852</v>
      </c>
      <c r="C5951" s="1" t="n">
        <v>45357</v>
      </c>
      <c r="D5951" t="inlineStr">
        <is>
          <t>GÄVLEBORGS LÄN</t>
        </is>
      </c>
      <c r="E5951" t="inlineStr">
        <is>
          <t>OVANÅKER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46965-2022</t>
        </is>
      </c>
      <c r="B5952" s="1" t="n">
        <v>44852</v>
      </c>
      <c r="C5952" s="1" t="n">
        <v>45357</v>
      </c>
      <c r="D5952" t="inlineStr">
        <is>
          <t>GÄVLEBORGS LÄN</t>
        </is>
      </c>
      <c r="E5952" t="inlineStr">
        <is>
          <t>BOLLNÄS</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46963-2022</t>
        </is>
      </c>
      <c r="B5953" s="1" t="n">
        <v>44852</v>
      </c>
      <c r="C5953" s="1" t="n">
        <v>45357</v>
      </c>
      <c r="D5953" t="inlineStr">
        <is>
          <t>GÄVLEBORGS LÄN</t>
        </is>
      </c>
      <c r="E5953" t="inlineStr">
        <is>
          <t>BOLLNÄS</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46823-2022</t>
        </is>
      </c>
      <c r="B5954" s="1" t="n">
        <v>44851</v>
      </c>
      <c r="C5954" s="1" t="n">
        <v>45357</v>
      </c>
      <c r="D5954" t="inlineStr">
        <is>
          <t>GÄVLEBORGS LÄN</t>
        </is>
      </c>
      <c r="E5954" t="inlineStr">
        <is>
          <t>OVANÅKER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46931-2022</t>
        </is>
      </c>
      <c r="B5955" s="1" t="n">
        <v>44851</v>
      </c>
      <c r="C5955" s="1" t="n">
        <v>45357</v>
      </c>
      <c r="D5955" t="inlineStr">
        <is>
          <t>GÄVLEBORGS LÄN</t>
        </is>
      </c>
      <c r="E5955" t="inlineStr">
        <is>
          <t>NORDANSTIG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46935-2022</t>
        </is>
      </c>
      <c r="B5956" s="1" t="n">
        <v>44851</v>
      </c>
      <c r="C5956" s="1" t="n">
        <v>45357</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46961-2022</t>
        </is>
      </c>
      <c r="B5957" s="1" t="n">
        <v>44852</v>
      </c>
      <c r="C5957" s="1" t="n">
        <v>45357</v>
      </c>
      <c r="D5957" t="inlineStr">
        <is>
          <t>GÄVLEBORGS LÄN</t>
        </is>
      </c>
      <c r="E5957" t="inlineStr">
        <is>
          <t>BOLLNÄS</t>
        </is>
      </c>
      <c r="F5957" t="inlineStr">
        <is>
          <t>Bergvik skog väst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46995-2022</t>
        </is>
      </c>
      <c r="B5958" s="1" t="n">
        <v>44852</v>
      </c>
      <c r="C5958" s="1" t="n">
        <v>45357</v>
      </c>
      <c r="D5958" t="inlineStr">
        <is>
          <t>GÄVLEBORGS LÄN</t>
        </is>
      </c>
      <c r="E5958" t="inlineStr">
        <is>
          <t>BOLLNÄS</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47380-2022</t>
        </is>
      </c>
      <c r="B5959" s="1" t="n">
        <v>44853</v>
      </c>
      <c r="C5959" s="1" t="n">
        <v>45357</v>
      </c>
      <c r="D5959" t="inlineStr">
        <is>
          <t>GÄVLEBORGS LÄN</t>
        </is>
      </c>
      <c r="E5959" t="inlineStr">
        <is>
          <t>OVANÅKER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47480-2022</t>
        </is>
      </c>
      <c r="B5960" s="1" t="n">
        <v>44853</v>
      </c>
      <c r="C5960" s="1" t="n">
        <v>45357</v>
      </c>
      <c r="D5960" t="inlineStr">
        <is>
          <t>GÄVLEBORGS LÄN</t>
        </is>
      </c>
      <c r="E5960" t="inlineStr">
        <is>
          <t>OVANÅKER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47502-2022</t>
        </is>
      </c>
      <c r="B5961" s="1" t="n">
        <v>44853</v>
      </c>
      <c r="C5961" s="1" t="n">
        <v>45357</v>
      </c>
      <c r="D5961" t="inlineStr">
        <is>
          <t>GÄVLEBORGS LÄN</t>
        </is>
      </c>
      <c r="E5961" t="inlineStr">
        <is>
          <t>LJUSDAL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47454-2022</t>
        </is>
      </c>
      <c r="B5962" s="1" t="n">
        <v>44853</v>
      </c>
      <c r="C5962" s="1" t="n">
        <v>45357</v>
      </c>
      <c r="D5962" t="inlineStr">
        <is>
          <t>GÄVLEBORGS LÄN</t>
        </is>
      </c>
      <c r="E5962" t="inlineStr">
        <is>
          <t>GÄVLE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47590-2022</t>
        </is>
      </c>
      <c r="B5963" s="1" t="n">
        <v>44854</v>
      </c>
      <c r="C5963" s="1" t="n">
        <v>45357</v>
      </c>
      <c r="D5963" t="inlineStr">
        <is>
          <t>GÄVLEBORGS LÄN</t>
        </is>
      </c>
      <c r="E5963" t="inlineStr">
        <is>
          <t>NORDANSTIG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47458-2022</t>
        </is>
      </c>
      <c r="B5964" s="1" t="n">
        <v>44853</v>
      </c>
      <c r="C5964" s="1" t="n">
        <v>45357</v>
      </c>
      <c r="D5964" t="inlineStr">
        <is>
          <t>GÄVLEBORGS LÄN</t>
        </is>
      </c>
      <c r="E5964" t="inlineStr">
        <is>
          <t>GÄVLE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47589-2022</t>
        </is>
      </c>
      <c r="B5965" s="1" t="n">
        <v>44854</v>
      </c>
      <c r="C5965" s="1" t="n">
        <v>45357</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47723-2022</t>
        </is>
      </c>
      <c r="B5966" s="1" t="n">
        <v>44854</v>
      </c>
      <c r="C5966" s="1" t="n">
        <v>45357</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47683-2022</t>
        </is>
      </c>
      <c r="B5967" s="1" t="n">
        <v>44854</v>
      </c>
      <c r="C5967" s="1" t="n">
        <v>45357</v>
      </c>
      <c r="D5967" t="inlineStr">
        <is>
          <t>GÄVLEBORGS LÄN</t>
        </is>
      </c>
      <c r="E5967" t="inlineStr">
        <is>
          <t>HUDIKSVALL</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47710-2022</t>
        </is>
      </c>
      <c r="B5968" s="1" t="n">
        <v>44854</v>
      </c>
      <c r="C5968" s="1" t="n">
        <v>45357</v>
      </c>
      <c r="D5968" t="inlineStr">
        <is>
          <t>GÄVLEBORGS LÄN</t>
        </is>
      </c>
      <c r="E5968" t="inlineStr">
        <is>
          <t>SANDVIKEN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47718-2022</t>
        </is>
      </c>
      <c r="B5969" s="1" t="n">
        <v>44854</v>
      </c>
      <c r="C5969" s="1" t="n">
        <v>45357</v>
      </c>
      <c r="D5969" t="inlineStr">
        <is>
          <t>GÄVLEBORGS LÄN</t>
        </is>
      </c>
      <c r="E5969" t="inlineStr">
        <is>
          <t>SANDVIKEN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47711-2022</t>
        </is>
      </c>
      <c r="B5970" s="1" t="n">
        <v>44854</v>
      </c>
      <c r="C5970" s="1" t="n">
        <v>45357</v>
      </c>
      <c r="D5970" t="inlineStr">
        <is>
          <t>GÄVLEBORGS LÄN</t>
        </is>
      </c>
      <c r="E5970" t="inlineStr">
        <is>
          <t>SANDVIKEN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47720-2022</t>
        </is>
      </c>
      <c r="B5971" s="1" t="n">
        <v>44854</v>
      </c>
      <c r="C5971" s="1" t="n">
        <v>45357</v>
      </c>
      <c r="D5971" t="inlineStr">
        <is>
          <t>GÄVLEBORGS LÄN</t>
        </is>
      </c>
      <c r="E5971" t="inlineStr">
        <is>
          <t>SANDVIKEN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48007-2022</t>
        </is>
      </c>
      <c r="B5972" s="1" t="n">
        <v>44855</v>
      </c>
      <c r="C5972" s="1" t="n">
        <v>45357</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47917-2022</t>
        </is>
      </c>
      <c r="B5973" s="1" t="n">
        <v>44855</v>
      </c>
      <c r="C5973" s="1" t="n">
        <v>45357</v>
      </c>
      <c r="D5973" t="inlineStr">
        <is>
          <t>GÄVLEBORGS LÄN</t>
        </is>
      </c>
      <c r="E5973" t="inlineStr">
        <is>
          <t>OVANÅKER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47855-2022</t>
        </is>
      </c>
      <c r="B5974" s="1" t="n">
        <v>44855</v>
      </c>
      <c r="C5974" s="1" t="n">
        <v>45357</v>
      </c>
      <c r="D5974" t="inlineStr">
        <is>
          <t>GÄVLEBORGS LÄN</t>
        </is>
      </c>
      <c r="E5974" t="inlineStr">
        <is>
          <t>LJUSDAL</t>
        </is>
      </c>
      <c r="F5974" t="inlineStr">
        <is>
          <t>Sveaskog</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47889-2022</t>
        </is>
      </c>
      <c r="B5975" s="1" t="n">
        <v>44855</v>
      </c>
      <c r="C5975" s="1" t="n">
        <v>45357</v>
      </c>
      <c r="D5975" t="inlineStr">
        <is>
          <t>GÄVLEBORGS LÄN</t>
        </is>
      </c>
      <c r="E5975" t="inlineStr">
        <is>
          <t>SANDVIKEN</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47853-2022</t>
        </is>
      </c>
      <c r="B5976" s="1" t="n">
        <v>44855</v>
      </c>
      <c r="C5976" s="1" t="n">
        <v>45357</v>
      </c>
      <c r="D5976" t="inlineStr">
        <is>
          <t>GÄVLEBORGS LÄN</t>
        </is>
      </c>
      <c r="E5976" t="inlineStr">
        <is>
          <t>LJUSDAL</t>
        </is>
      </c>
      <c r="F5976" t="inlineStr">
        <is>
          <t>Sveaskog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49059-2022</t>
        </is>
      </c>
      <c r="B5977" s="1" t="n">
        <v>44855</v>
      </c>
      <c r="C5977" s="1" t="n">
        <v>45357</v>
      </c>
      <c r="D5977" t="inlineStr">
        <is>
          <t>GÄVLEBORGS LÄN</t>
        </is>
      </c>
      <c r="E5977" t="inlineStr">
        <is>
          <t>SANDVIKEN</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48080-2022</t>
        </is>
      </c>
      <c r="B5978" s="1" t="n">
        <v>44855</v>
      </c>
      <c r="C5978" s="1" t="n">
        <v>45357</v>
      </c>
      <c r="D5978" t="inlineStr">
        <is>
          <t>GÄVLEBORGS LÄN</t>
        </is>
      </c>
      <c r="E5978" t="inlineStr">
        <is>
          <t>NORDANSTIG</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48102-2022</t>
        </is>
      </c>
      <c r="B5979" s="1" t="n">
        <v>44856</v>
      </c>
      <c r="C5979" s="1" t="n">
        <v>45357</v>
      </c>
      <c r="D5979" t="inlineStr">
        <is>
          <t>GÄVLEBORGS LÄN</t>
        </is>
      </c>
      <c r="E5979" t="inlineStr">
        <is>
          <t>SÖDERHAMN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48103-2022</t>
        </is>
      </c>
      <c r="B5980" s="1" t="n">
        <v>44856</v>
      </c>
      <c r="C5980" s="1" t="n">
        <v>45357</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48110-2022</t>
        </is>
      </c>
      <c r="B5981" s="1" t="n">
        <v>44857</v>
      </c>
      <c r="C5981" s="1" t="n">
        <v>45357</v>
      </c>
      <c r="D5981" t="inlineStr">
        <is>
          <t>GÄVLEBORGS LÄN</t>
        </is>
      </c>
      <c r="E5981" t="inlineStr">
        <is>
          <t>BOLLNÄS</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48111-2022</t>
        </is>
      </c>
      <c r="B5982" s="1" t="n">
        <v>44857</v>
      </c>
      <c r="C5982" s="1" t="n">
        <v>45357</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48214-2022</t>
        </is>
      </c>
      <c r="B5983" s="1" t="n">
        <v>44858</v>
      </c>
      <c r="C5983" s="1" t="n">
        <v>45357</v>
      </c>
      <c r="D5983" t="inlineStr">
        <is>
          <t>GÄVLEBORGS LÄN</t>
        </is>
      </c>
      <c r="E5983" t="inlineStr">
        <is>
          <t>OCKELBO</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48332-2022</t>
        </is>
      </c>
      <c r="B5984" s="1" t="n">
        <v>44858</v>
      </c>
      <c r="C5984" s="1" t="n">
        <v>45357</v>
      </c>
      <c r="D5984" t="inlineStr">
        <is>
          <t>GÄVLEBORGS LÄN</t>
        </is>
      </c>
      <c r="E5984" t="inlineStr">
        <is>
          <t>LJUSDAL</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48371-2022</t>
        </is>
      </c>
      <c r="B5985" s="1" t="n">
        <v>44858</v>
      </c>
      <c r="C5985" s="1" t="n">
        <v>45357</v>
      </c>
      <c r="D5985" t="inlineStr">
        <is>
          <t>GÄVLEBORGS LÄN</t>
        </is>
      </c>
      <c r="E5985" t="inlineStr">
        <is>
          <t>BOLLNÄS</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48381-2022</t>
        </is>
      </c>
      <c r="B5986" s="1" t="n">
        <v>44858</v>
      </c>
      <c r="C5986" s="1" t="n">
        <v>45357</v>
      </c>
      <c r="D5986" t="inlineStr">
        <is>
          <t>GÄVLEBORGS LÄN</t>
        </is>
      </c>
      <c r="E5986" t="inlineStr">
        <is>
          <t>OCKELBO</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48399-2022</t>
        </is>
      </c>
      <c r="B5987" s="1" t="n">
        <v>44858</v>
      </c>
      <c r="C5987" s="1" t="n">
        <v>45357</v>
      </c>
      <c r="D5987" t="inlineStr">
        <is>
          <t>GÄVLEBORGS LÄN</t>
        </is>
      </c>
      <c r="E5987" t="inlineStr">
        <is>
          <t>OCKELBO</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48157-2022</t>
        </is>
      </c>
      <c r="B5988" s="1" t="n">
        <v>44858</v>
      </c>
      <c r="C5988" s="1" t="n">
        <v>45357</v>
      </c>
      <c r="D5988" t="inlineStr">
        <is>
          <t>GÄVLEBORGS LÄN</t>
        </is>
      </c>
      <c r="E5988" t="inlineStr">
        <is>
          <t>OCKELBO</t>
        </is>
      </c>
      <c r="F5988" t="inlineStr">
        <is>
          <t>Bergvik skog väst AB</t>
        </is>
      </c>
      <c r="G5988" t="n">
        <v>19.5</v>
      </c>
      <c r="H5988" t="n">
        <v>0</v>
      </c>
      <c r="I5988" t="n">
        <v>0</v>
      </c>
      <c r="J5988" t="n">
        <v>0</v>
      </c>
      <c r="K5988" t="n">
        <v>0</v>
      </c>
      <c r="L5988" t="n">
        <v>0</v>
      </c>
      <c r="M5988" t="n">
        <v>0</v>
      </c>
      <c r="N5988" t="n">
        <v>0</v>
      </c>
      <c r="O5988" t="n">
        <v>0</v>
      </c>
      <c r="P5988" t="n">
        <v>0</v>
      </c>
      <c r="Q5988" t="n">
        <v>0</v>
      </c>
      <c r="R5988" s="2" t="inlineStr"/>
    </row>
    <row r="5989" ht="15" customHeight="1">
      <c r="A5989" t="inlineStr">
        <is>
          <t>A 48201-2022</t>
        </is>
      </c>
      <c r="B5989" s="1" t="n">
        <v>44858</v>
      </c>
      <c r="C5989" s="1" t="n">
        <v>45357</v>
      </c>
      <c r="D5989" t="inlineStr">
        <is>
          <t>GÄVLEBORGS LÄN</t>
        </is>
      </c>
      <c r="E5989" t="inlineStr">
        <is>
          <t>OCKELBO</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48370-2022</t>
        </is>
      </c>
      <c r="B5990" s="1" t="n">
        <v>44858</v>
      </c>
      <c r="C5990" s="1" t="n">
        <v>45357</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48394-2022</t>
        </is>
      </c>
      <c r="B5991" s="1" t="n">
        <v>44858</v>
      </c>
      <c r="C5991" s="1" t="n">
        <v>45357</v>
      </c>
      <c r="D5991" t="inlineStr">
        <is>
          <t>GÄVLEBORGS LÄN</t>
        </is>
      </c>
      <c r="E5991" t="inlineStr">
        <is>
          <t>OCKELBO</t>
        </is>
      </c>
      <c r="F5991" t="inlineStr">
        <is>
          <t>Bergvik skog väst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48141-2022</t>
        </is>
      </c>
      <c r="B5992" s="1" t="n">
        <v>44858</v>
      </c>
      <c r="C5992" s="1" t="n">
        <v>45357</v>
      </c>
      <c r="D5992" t="inlineStr">
        <is>
          <t>GÄVLEBORGS LÄN</t>
        </is>
      </c>
      <c r="E5992" t="inlineStr">
        <is>
          <t>BOLLNÄS</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48179-2022</t>
        </is>
      </c>
      <c r="B5993" s="1" t="n">
        <v>44858</v>
      </c>
      <c r="C5993" s="1" t="n">
        <v>45357</v>
      </c>
      <c r="D5993" t="inlineStr">
        <is>
          <t>GÄVLEBORGS LÄN</t>
        </is>
      </c>
      <c r="E5993" t="inlineStr">
        <is>
          <t>NORDANSTIG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48199-2022</t>
        </is>
      </c>
      <c r="B5994" s="1" t="n">
        <v>44858</v>
      </c>
      <c r="C5994" s="1" t="n">
        <v>45357</v>
      </c>
      <c r="D5994" t="inlineStr">
        <is>
          <t>GÄVLEBORGS LÄN</t>
        </is>
      </c>
      <c r="E5994" t="inlineStr">
        <is>
          <t>OCKELBO</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48205-2022</t>
        </is>
      </c>
      <c r="B5995" s="1" t="n">
        <v>44858</v>
      </c>
      <c r="C5995" s="1" t="n">
        <v>45357</v>
      </c>
      <c r="D5995" t="inlineStr">
        <is>
          <t>GÄVLEBORGS LÄN</t>
        </is>
      </c>
      <c r="E5995" t="inlineStr">
        <is>
          <t>OCKELBO</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48197-2022</t>
        </is>
      </c>
      <c r="B5996" s="1" t="n">
        <v>44858</v>
      </c>
      <c r="C5996" s="1" t="n">
        <v>45357</v>
      </c>
      <c r="D5996" t="inlineStr">
        <is>
          <t>GÄVLEBORGS LÄN</t>
        </is>
      </c>
      <c r="E5996" t="inlineStr">
        <is>
          <t>OCKELBO</t>
        </is>
      </c>
      <c r="F5996" t="inlineStr">
        <is>
          <t>Bergvik skog väst AB</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48211-2022</t>
        </is>
      </c>
      <c r="B5997" s="1" t="n">
        <v>44858</v>
      </c>
      <c r="C5997" s="1" t="n">
        <v>45357</v>
      </c>
      <c r="D5997" t="inlineStr">
        <is>
          <t>GÄVLEBORGS LÄN</t>
        </is>
      </c>
      <c r="E5997" t="inlineStr">
        <is>
          <t>OCKELBO</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48366-2022</t>
        </is>
      </c>
      <c r="B5998" s="1" t="n">
        <v>44858</v>
      </c>
      <c r="C5998" s="1" t="n">
        <v>45357</v>
      </c>
      <c r="D5998" t="inlineStr">
        <is>
          <t>GÄVLEBORGS LÄN</t>
        </is>
      </c>
      <c r="E5998" t="inlineStr">
        <is>
          <t>OCKELBO</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48330-2022</t>
        </is>
      </c>
      <c r="B5999" s="1" t="n">
        <v>44858</v>
      </c>
      <c r="C5999" s="1" t="n">
        <v>45357</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48369-2022</t>
        </is>
      </c>
      <c r="B6000" s="1" t="n">
        <v>44858</v>
      </c>
      <c r="C6000" s="1" t="n">
        <v>45357</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48463-2022</t>
        </is>
      </c>
      <c r="B6001" s="1" t="n">
        <v>44858</v>
      </c>
      <c r="C6001" s="1" t="n">
        <v>45357</v>
      </c>
      <c r="D6001" t="inlineStr">
        <is>
          <t>GÄVLEBORGS LÄN</t>
        </is>
      </c>
      <c r="E6001" t="inlineStr">
        <is>
          <t>OCKELBO</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48469-2022</t>
        </is>
      </c>
      <c r="B6002" s="1" t="n">
        <v>44858</v>
      </c>
      <c r="C6002" s="1" t="n">
        <v>45357</v>
      </c>
      <c r="D6002" t="inlineStr">
        <is>
          <t>GÄVLEBORGS LÄN</t>
        </is>
      </c>
      <c r="E6002" t="inlineStr">
        <is>
          <t>OCKELBO</t>
        </is>
      </c>
      <c r="F6002" t="inlineStr">
        <is>
          <t>Bergvik skog väst AB</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48764-2022</t>
        </is>
      </c>
      <c r="B6003" s="1" t="n">
        <v>44859</v>
      </c>
      <c r="C6003" s="1" t="n">
        <v>45357</v>
      </c>
      <c r="D6003" t="inlineStr">
        <is>
          <t>GÄVLEBORGS LÄN</t>
        </is>
      </c>
      <c r="E6003" t="inlineStr">
        <is>
          <t>BOLLNÄS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48654-2022</t>
        </is>
      </c>
      <c r="B6004" s="1" t="n">
        <v>44859</v>
      </c>
      <c r="C6004" s="1" t="n">
        <v>45357</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48665-2022</t>
        </is>
      </c>
      <c r="B6005" s="1" t="n">
        <v>44859</v>
      </c>
      <c r="C6005" s="1" t="n">
        <v>45357</v>
      </c>
      <c r="D6005" t="inlineStr">
        <is>
          <t>GÄVLEBORGS LÄN</t>
        </is>
      </c>
      <c r="E6005" t="inlineStr">
        <is>
          <t>HUDIKSVALL</t>
        </is>
      </c>
      <c r="F6005" t="inlineStr">
        <is>
          <t>Holmen skog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48677-2022</t>
        </is>
      </c>
      <c r="B6006" s="1" t="n">
        <v>44859</v>
      </c>
      <c r="C6006" s="1" t="n">
        <v>45357</v>
      </c>
      <c r="D6006" t="inlineStr">
        <is>
          <t>GÄVLEBORGS LÄN</t>
        </is>
      </c>
      <c r="E6006" t="inlineStr">
        <is>
          <t>GÄVLE</t>
        </is>
      </c>
      <c r="F6006" t="inlineStr">
        <is>
          <t>Kyrkan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48666-2022</t>
        </is>
      </c>
      <c r="B6007" s="1" t="n">
        <v>44859</v>
      </c>
      <c r="C6007" s="1" t="n">
        <v>45357</v>
      </c>
      <c r="D6007" t="inlineStr">
        <is>
          <t>GÄVLEBORGS LÄN</t>
        </is>
      </c>
      <c r="E6007" t="inlineStr">
        <is>
          <t>BOLLNÄS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48889-2022</t>
        </is>
      </c>
      <c r="B6008" s="1" t="n">
        <v>44860</v>
      </c>
      <c r="C6008" s="1" t="n">
        <v>45357</v>
      </c>
      <c r="D6008" t="inlineStr">
        <is>
          <t>GÄVLEBORGS LÄN</t>
        </is>
      </c>
      <c r="E6008" t="inlineStr">
        <is>
          <t>HUDIKSVALL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48664-2022</t>
        </is>
      </c>
      <c r="B6009" s="1" t="n">
        <v>44859</v>
      </c>
      <c r="C6009" s="1" t="n">
        <v>45357</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48832-2022</t>
        </is>
      </c>
      <c r="B6010" s="1" t="n">
        <v>44859</v>
      </c>
      <c r="C6010" s="1" t="n">
        <v>45357</v>
      </c>
      <c r="D6010" t="inlineStr">
        <is>
          <t>GÄVLEBORGS LÄN</t>
        </is>
      </c>
      <c r="E6010" t="inlineStr">
        <is>
          <t>NORDANSTIG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48811-2022</t>
        </is>
      </c>
      <c r="B6011" s="1" t="n">
        <v>44859</v>
      </c>
      <c r="C6011" s="1" t="n">
        <v>45357</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49021-2022</t>
        </is>
      </c>
      <c r="B6012" s="1" t="n">
        <v>44860</v>
      </c>
      <c r="C6012" s="1" t="n">
        <v>45357</v>
      </c>
      <c r="D6012" t="inlineStr">
        <is>
          <t>GÄVLEBORGS LÄN</t>
        </is>
      </c>
      <c r="E6012" t="inlineStr">
        <is>
          <t>OVANÅKER</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49172-2022</t>
        </is>
      </c>
      <c r="B6013" s="1" t="n">
        <v>44860</v>
      </c>
      <c r="C6013" s="1" t="n">
        <v>45357</v>
      </c>
      <c r="D6013" t="inlineStr">
        <is>
          <t>GÄVLEBORGS LÄN</t>
        </is>
      </c>
      <c r="E6013" t="inlineStr">
        <is>
          <t>LJUSDAL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49222-2022</t>
        </is>
      </c>
      <c r="B6014" s="1" t="n">
        <v>44861</v>
      </c>
      <c r="C6014" s="1" t="n">
        <v>45357</v>
      </c>
      <c r="D6014" t="inlineStr">
        <is>
          <t>GÄVLEBORGS LÄN</t>
        </is>
      </c>
      <c r="E6014" t="inlineStr">
        <is>
          <t>HUDIKSVALL</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49266-2022</t>
        </is>
      </c>
      <c r="B6015" s="1" t="n">
        <v>44861</v>
      </c>
      <c r="C6015" s="1" t="n">
        <v>45357</v>
      </c>
      <c r="D6015" t="inlineStr">
        <is>
          <t>GÄVLEBORGS LÄN</t>
        </is>
      </c>
      <c r="E6015" t="inlineStr">
        <is>
          <t>SÖDERHAMN</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49493-2022</t>
        </is>
      </c>
      <c r="B6016" s="1" t="n">
        <v>44861</v>
      </c>
      <c r="C6016" s="1" t="n">
        <v>45357</v>
      </c>
      <c r="D6016" t="inlineStr">
        <is>
          <t>GÄVLEBORGS LÄN</t>
        </is>
      </c>
      <c r="E6016" t="inlineStr">
        <is>
          <t>SANDVIKEN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49488-2022</t>
        </is>
      </c>
      <c r="B6017" s="1" t="n">
        <v>44861</v>
      </c>
      <c r="C6017" s="1" t="n">
        <v>45357</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49247-2022</t>
        </is>
      </c>
      <c r="B6018" s="1" t="n">
        <v>44861</v>
      </c>
      <c r="C6018" s="1" t="n">
        <v>45357</v>
      </c>
      <c r="D6018" t="inlineStr">
        <is>
          <t>GÄVLEBORGS LÄN</t>
        </is>
      </c>
      <c r="E6018" t="inlineStr">
        <is>
          <t>SÖDERHAMN</t>
        </is>
      </c>
      <c r="F6018" t="inlineStr">
        <is>
          <t>Kyrkan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49571-2022</t>
        </is>
      </c>
      <c r="B6019" s="1" t="n">
        <v>44862</v>
      </c>
      <c r="C6019" s="1" t="n">
        <v>45357</v>
      </c>
      <c r="D6019" t="inlineStr">
        <is>
          <t>GÄVLEBORGS LÄN</t>
        </is>
      </c>
      <c r="E6019" t="inlineStr">
        <is>
          <t>OCKELBO</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49612-2022</t>
        </is>
      </c>
      <c r="B6020" s="1" t="n">
        <v>44862</v>
      </c>
      <c r="C6020" s="1" t="n">
        <v>45357</v>
      </c>
      <c r="D6020" t="inlineStr">
        <is>
          <t>GÄVLEBORGS LÄN</t>
        </is>
      </c>
      <c r="E6020" t="inlineStr">
        <is>
          <t>NORDANSTIG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49624-2022</t>
        </is>
      </c>
      <c r="B6021" s="1" t="n">
        <v>44862</v>
      </c>
      <c r="C6021" s="1" t="n">
        <v>45357</v>
      </c>
      <c r="D6021" t="inlineStr">
        <is>
          <t>GÄVLEBORGS LÄN</t>
        </is>
      </c>
      <c r="E6021" t="inlineStr">
        <is>
          <t>BOLLNÄS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49607-2022</t>
        </is>
      </c>
      <c r="B6022" s="1" t="n">
        <v>44862</v>
      </c>
      <c r="C6022" s="1" t="n">
        <v>45357</v>
      </c>
      <c r="D6022" t="inlineStr">
        <is>
          <t>GÄVLEBORGS LÄN</t>
        </is>
      </c>
      <c r="E6022" t="inlineStr">
        <is>
          <t>NORDANSTIG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49616-2022</t>
        </is>
      </c>
      <c r="B6023" s="1" t="n">
        <v>44862</v>
      </c>
      <c r="C6023" s="1" t="n">
        <v>45357</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49654-2022</t>
        </is>
      </c>
      <c r="B6024" s="1" t="n">
        <v>44862</v>
      </c>
      <c r="C6024" s="1" t="n">
        <v>45357</v>
      </c>
      <c r="D6024" t="inlineStr">
        <is>
          <t>GÄVLEBORGS LÄN</t>
        </is>
      </c>
      <c r="E6024" t="inlineStr">
        <is>
          <t>OVANÅKER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49771-2022</t>
        </is>
      </c>
      <c r="B6025" s="1" t="n">
        <v>44862</v>
      </c>
      <c r="C6025" s="1" t="n">
        <v>45357</v>
      </c>
      <c r="D6025" t="inlineStr">
        <is>
          <t>GÄVLEBORGS LÄN</t>
        </is>
      </c>
      <c r="E6025" t="inlineStr">
        <is>
          <t>GÄVLE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49671-2022</t>
        </is>
      </c>
      <c r="B6026" s="1" t="n">
        <v>44862</v>
      </c>
      <c r="C6026" s="1" t="n">
        <v>45357</v>
      </c>
      <c r="D6026" t="inlineStr">
        <is>
          <t>GÄVLEBORGS LÄN</t>
        </is>
      </c>
      <c r="E6026" t="inlineStr">
        <is>
          <t>LJUSDAL</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49591-2022</t>
        </is>
      </c>
      <c r="B6027" s="1" t="n">
        <v>44862</v>
      </c>
      <c r="C6027" s="1" t="n">
        <v>45357</v>
      </c>
      <c r="D6027" t="inlineStr">
        <is>
          <t>GÄVLEBORGS LÄN</t>
        </is>
      </c>
      <c r="E6027" t="inlineStr">
        <is>
          <t>BOLLNÄS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49672-2022</t>
        </is>
      </c>
      <c r="B6028" s="1" t="n">
        <v>44862</v>
      </c>
      <c r="C6028" s="1" t="n">
        <v>45357</v>
      </c>
      <c r="D6028" t="inlineStr">
        <is>
          <t>GÄVLEBORGS LÄN</t>
        </is>
      </c>
      <c r="E6028" t="inlineStr">
        <is>
          <t>LJUSDAL</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49716-2022</t>
        </is>
      </c>
      <c r="B6029" s="1" t="n">
        <v>44862</v>
      </c>
      <c r="C6029" s="1" t="n">
        <v>45357</v>
      </c>
      <c r="D6029" t="inlineStr">
        <is>
          <t>GÄVLEBORGS LÄN</t>
        </is>
      </c>
      <c r="E6029" t="inlineStr">
        <is>
          <t>LJUSDAL</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49803-2022</t>
        </is>
      </c>
      <c r="B6030" s="1" t="n">
        <v>44862</v>
      </c>
      <c r="C6030" s="1" t="n">
        <v>45357</v>
      </c>
      <c r="D6030" t="inlineStr">
        <is>
          <t>GÄVLEBORGS LÄN</t>
        </is>
      </c>
      <c r="E6030" t="inlineStr">
        <is>
          <t>LJUSDAL</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49713-2022</t>
        </is>
      </c>
      <c r="B6031" s="1" t="n">
        <v>44862</v>
      </c>
      <c r="C6031" s="1" t="n">
        <v>45357</v>
      </c>
      <c r="D6031" t="inlineStr">
        <is>
          <t>GÄVLEBORGS LÄN</t>
        </is>
      </c>
      <c r="E6031" t="inlineStr">
        <is>
          <t>HUDIKSVALL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49726-2022</t>
        </is>
      </c>
      <c r="B6032" s="1" t="n">
        <v>44862</v>
      </c>
      <c r="C6032" s="1" t="n">
        <v>45357</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49881-2022</t>
        </is>
      </c>
      <c r="B6033" s="1" t="n">
        <v>44864</v>
      </c>
      <c r="C6033" s="1" t="n">
        <v>45357</v>
      </c>
      <c r="D6033" t="inlineStr">
        <is>
          <t>GÄVLEBORGS LÄN</t>
        </is>
      </c>
      <c r="E6033" t="inlineStr">
        <is>
          <t>LJUSDAL</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49926-2022</t>
        </is>
      </c>
      <c r="B6034" s="1" t="n">
        <v>44865</v>
      </c>
      <c r="C6034" s="1" t="n">
        <v>45357</v>
      </c>
      <c r="D6034" t="inlineStr">
        <is>
          <t>GÄVLEBORGS LÄN</t>
        </is>
      </c>
      <c r="E6034" t="inlineStr">
        <is>
          <t>HUDIKSVALL</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50053-2022</t>
        </is>
      </c>
      <c r="B6035" s="1" t="n">
        <v>44865</v>
      </c>
      <c r="C6035" s="1" t="n">
        <v>45357</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50066-2022</t>
        </is>
      </c>
      <c r="B6036" s="1" t="n">
        <v>44865</v>
      </c>
      <c r="C6036" s="1" t="n">
        <v>45357</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50150-2022</t>
        </is>
      </c>
      <c r="B6037" s="1" t="n">
        <v>44865</v>
      </c>
      <c r="C6037" s="1" t="n">
        <v>45357</v>
      </c>
      <c r="D6037" t="inlineStr">
        <is>
          <t>GÄVLEBORGS LÄN</t>
        </is>
      </c>
      <c r="E6037" t="inlineStr">
        <is>
          <t>HUDIKSVALL</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50205-2022</t>
        </is>
      </c>
      <c r="B6038" s="1" t="n">
        <v>44865</v>
      </c>
      <c r="C6038" s="1" t="n">
        <v>45357</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50226-2022</t>
        </is>
      </c>
      <c r="B6039" s="1" t="n">
        <v>44865</v>
      </c>
      <c r="C6039" s="1" t="n">
        <v>45357</v>
      </c>
      <c r="D6039" t="inlineStr">
        <is>
          <t>GÄVLEBORGS LÄN</t>
        </is>
      </c>
      <c r="E6039" t="inlineStr">
        <is>
          <t>HUDIKSVALL</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50235-2022</t>
        </is>
      </c>
      <c r="B6040" s="1" t="n">
        <v>44865</v>
      </c>
      <c r="C6040" s="1" t="n">
        <v>45357</v>
      </c>
      <c r="D6040" t="inlineStr">
        <is>
          <t>GÄVLEBORGS LÄN</t>
        </is>
      </c>
      <c r="E6040" t="inlineStr">
        <is>
          <t>HUDIKSVALL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50271-2022</t>
        </is>
      </c>
      <c r="B6041" s="1" t="n">
        <v>44865</v>
      </c>
      <c r="C6041" s="1" t="n">
        <v>45357</v>
      </c>
      <c r="D6041" t="inlineStr">
        <is>
          <t>GÄVLEBORGS LÄN</t>
        </is>
      </c>
      <c r="E6041" t="inlineStr">
        <is>
          <t>GÄVLE</t>
        </is>
      </c>
      <c r="F6041" t="inlineStr">
        <is>
          <t>Bergvik skog öst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50299-2022</t>
        </is>
      </c>
      <c r="B6042" s="1" t="n">
        <v>44865</v>
      </c>
      <c r="C6042" s="1" t="n">
        <v>45357</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50277-2022</t>
        </is>
      </c>
      <c r="B6043" s="1" t="n">
        <v>44865</v>
      </c>
      <c r="C6043" s="1" t="n">
        <v>45357</v>
      </c>
      <c r="D6043" t="inlineStr">
        <is>
          <t>GÄVLEBORGS LÄN</t>
        </is>
      </c>
      <c r="E6043" t="inlineStr">
        <is>
          <t>SANDVIKEN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50272-2022</t>
        </is>
      </c>
      <c r="B6044" s="1" t="n">
        <v>44865</v>
      </c>
      <c r="C6044" s="1" t="n">
        <v>45357</v>
      </c>
      <c r="D6044" t="inlineStr">
        <is>
          <t>GÄVLEBORGS LÄN</t>
        </is>
      </c>
      <c r="E6044" t="inlineStr">
        <is>
          <t>GÄVLE</t>
        </is>
      </c>
      <c r="F6044" t="inlineStr">
        <is>
          <t>Bergvik skog öst AB</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50345-2022</t>
        </is>
      </c>
      <c r="B6045" s="1" t="n">
        <v>44866</v>
      </c>
      <c r="C6045" s="1" t="n">
        <v>45357</v>
      </c>
      <c r="D6045" t="inlineStr">
        <is>
          <t>GÄVLEBORGS LÄN</t>
        </is>
      </c>
      <c r="E6045" t="inlineStr">
        <is>
          <t>LJUSDAL</t>
        </is>
      </c>
      <c r="F6045" t="inlineStr">
        <is>
          <t>Holmen skog AB</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50369-2022</t>
        </is>
      </c>
      <c r="B6046" s="1" t="n">
        <v>44866</v>
      </c>
      <c r="C6046" s="1" t="n">
        <v>45357</v>
      </c>
      <c r="D6046" t="inlineStr">
        <is>
          <t>GÄVLEBORGS LÄN</t>
        </is>
      </c>
      <c r="E6046" t="inlineStr">
        <is>
          <t>LJUSDAL</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50347-2022</t>
        </is>
      </c>
      <c r="B6047" s="1" t="n">
        <v>44866</v>
      </c>
      <c r="C6047" s="1" t="n">
        <v>45357</v>
      </c>
      <c r="D6047" t="inlineStr">
        <is>
          <t>GÄVLEBORGS LÄN</t>
        </is>
      </c>
      <c r="E6047" t="inlineStr">
        <is>
          <t>LJUSDAL</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50427-2022</t>
        </is>
      </c>
      <c r="B6048" s="1" t="n">
        <v>44866</v>
      </c>
      <c r="C6048" s="1" t="n">
        <v>45357</v>
      </c>
      <c r="D6048" t="inlineStr">
        <is>
          <t>GÄVLEBORGS LÄN</t>
        </is>
      </c>
      <c r="E6048" t="inlineStr">
        <is>
          <t>NORDANSTIG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50351-2022</t>
        </is>
      </c>
      <c r="B6049" s="1" t="n">
        <v>44866</v>
      </c>
      <c r="C6049" s="1" t="n">
        <v>45357</v>
      </c>
      <c r="D6049" t="inlineStr">
        <is>
          <t>GÄVLEBORGS LÄN</t>
        </is>
      </c>
      <c r="E6049" t="inlineStr">
        <is>
          <t>LJUSDAL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50421-2022</t>
        </is>
      </c>
      <c r="B6050" s="1" t="n">
        <v>44866</v>
      </c>
      <c r="C6050" s="1" t="n">
        <v>45357</v>
      </c>
      <c r="D6050" t="inlineStr">
        <is>
          <t>GÄVLEBORGS LÄN</t>
        </is>
      </c>
      <c r="E6050" t="inlineStr">
        <is>
          <t>SANDVIKEN</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50534-2022</t>
        </is>
      </c>
      <c r="B6051" s="1" t="n">
        <v>44866</v>
      </c>
      <c r="C6051" s="1" t="n">
        <v>45357</v>
      </c>
      <c r="D6051" t="inlineStr">
        <is>
          <t>GÄVLEBORGS LÄN</t>
        </is>
      </c>
      <c r="E6051" t="inlineStr">
        <is>
          <t>HUDIKSVALL</t>
        </is>
      </c>
      <c r="F6051" t="inlineStr">
        <is>
          <t>Holmen skog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50553-2022</t>
        </is>
      </c>
      <c r="B6052" s="1" t="n">
        <v>44866</v>
      </c>
      <c r="C6052" s="1" t="n">
        <v>45357</v>
      </c>
      <c r="D6052" t="inlineStr">
        <is>
          <t>GÄVLEBORGS LÄN</t>
        </is>
      </c>
      <c r="E6052" t="inlineStr">
        <is>
          <t>HUDIKSVALL</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50567-2022</t>
        </is>
      </c>
      <c r="B6053" s="1" t="n">
        <v>44866</v>
      </c>
      <c r="C6053" s="1" t="n">
        <v>45357</v>
      </c>
      <c r="D6053" t="inlineStr">
        <is>
          <t>GÄVLEBORGS LÄN</t>
        </is>
      </c>
      <c r="E6053" t="inlineStr">
        <is>
          <t>LJUSDAL</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50574-2022</t>
        </is>
      </c>
      <c r="B6054" s="1" t="n">
        <v>44866</v>
      </c>
      <c r="C6054" s="1" t="n">
        <v>45357</v>
      </c>
      <c r="D6054" t="inlineStr">
        <is>
          <t>GÄVLEBORGS LÄN</t>
        </is>
      </c>
      <c r="E6054" t="inlineStr">
        <is>
          <t>HUDIKSVALL</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50583-2022</t>
        </is>
      </c>
      <c r="B6055" s="1" t="n">
        <v>44866</v>
      </c>
      <c r="C6055" s="1" t="n">
        <v>45357</v>
      </c>
      <c r="D6055" t="inlineStr">
        <is>
          <t>GÄVLEBORGS LÄN</t>
        </is>
      </c>
      <c r="E6055" t="inlineStr">
        <is>
          <t>NORDANSTIG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50579-2022</t>
        </is>
      </c>
      <c r="B6056" s="1" t="n">
        <v>44866</v>
      </c>
      <c r="C6056" s="1" t="n">
        <v>45357</v>
      </c>
      <c r="D6056" t="inlineStr">
        <is>
          <t>GÄVLEBORGS LÄN</t>
        </is>
      </c>
      <c r="E6056" t="inlineStr">
        <is>
          <t>LJUSDAL</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50588-2022</t>
        </is>
      </c>
      <c r="B6057" s="1" t="n">
        <v>44866</v>
      </c>
      <c r="C6057" s="1" t="n">
        <v>45357</v>
      </c>
      <c r="D6057" t="inlineStr">
        <is>
          <t>GÄVLEBORGS LÄN</t>
        </is>
      </c>
      <c r="E6057" t="inlineStr">
        <is>
          <t>HUDIKSVALL</t>
        </is>
      </c>
      <c r="F6057" t="inlineStr">
        <is>
          <t>Holmen skog AB</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50637-2022</t>
        </is>
      </c>
      <c r="B6058" s="1" t="n">
        <v>44866</v>
      </c>
      <c r="C6058" s="1" t="n">
        <v>45357</v>
      </c>
      <c r="D6058" t="inlineStr">
        <is>
          <t>GÄVLEBORGS LÄN</t>
        </is>
      </c>
      <c r="E6058" t="inlineStr">
        <is>
          <t>OVANÅKER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50740-2022</t>
        </is>
      </c>
      <c r="B6059" s="1" t="n">
        <v>44867</v>
      </c>
      <c r="C6059" s="1" t="n">
        <v>45357</v>
      </c>
      <c r="D6059" t="inlineStr">
        <is>
          <t>GÄVLEBORGS LÄN</t>
        </is>
      </c>
      <c r="E6059" t="inlineStr">
        <is>
          <t>LJUSDAL</t>
        </is>
      </c>
      <c r="F6059" t="inlineStr">
        <is>
          <t>Kommuner</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50818-2022</t>
        </is>
      </c>
      <c r="B6060" s="1" t="n">
        <v>44867</v>
      </c>
      <c r="C6060" s="1" t="n">
        <v>45357</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50863-2022</t>
        </is>
      </c>
      <c r="B6061" s="1" t="n">
        <v>44867</v>
      </c>
      <c r="C6061" s="1" t="n">
        <v>45357</v>
      </c>
      <c r="D6061" t="inlineStr">
        <is>
          <t>GÄVLEBORGS LÄN</t>
        </is>
      </c>
      <c r="E6061" t="inlineStr">
        <is>
          <t>LJUSDAL</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50931-2022</t>
        </is>
      </c>
      <c r="B6062" s="1" t="n">
        <v>44867</v>
      </c>
      <c r="C6062" s="1" t="n">
        <v>45357</v>
      </c>
      <c r="D6062" t="inlineStr">
        <is>
          <t>GÄVLEBORGS LÄN</t>
        </is>
      </c>
      <c r="E6062" t="inlineStr">
        <is>
          <t>LJUSDAL</t>
        </is>
      </c>
      <c r="F6062" t="inlineStr">
        <is>
          <t>Sveaskog</t>
        </is>
      </c>
      <c r="G6062" t="n">
        <v>9.699999999999999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50733-2022</t>
        </is>
      </c>
      <c r="B6063" s="1" t="n">
        <v>44867</v>
      </c>
      <c r="C6063" s="1" t="n">
        <v>45357</v>
      </c>
      <c r="D6063" t="inlineStr">
        <is>
          <t>GÄVLEBORGS LÄN</t>
        </is>
      </c>
      <c r="E6063" t="inlineStr">
        <is>
          <t>LJUSDAL</t>
        </is>
      </c>
      <c r="F6063" t="inlineStr">
        <is>
          <t>Kommuner</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50743-2022</t>
        </is>
      </c>
      <c r="B6064" s="1" t="n">
        <v>44867</v>
      </c>
      <c r="C6064" s="1" t="n">
        <v>45357</v>
      </c>
      <c r="D6064" t="inlineStr">
        <is>
          <t>GÄVLEBORGS LÄN</t>
        </is>
      </c>
      <c r="E6064" t="inlineStr">
        <is>
          <t>LJUSDAL</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50877-2022</t>
        </is>
      </c>
      <c r="B6065" s="1" t="n">
        <v>44867</v>
      </c>
      <c r="C6065" s="1" t="n">
        <v>45357</v>
      </c>
      <c r="D6065" t="inlineStr">
        <is>
          <t>GÄVLEBORGS LÄN</t>
        </is>
      </c>
      <c r="E6065" t="inlineStr">
        <is>
          <t>LJUSDAL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50927-2022</t>
        </is>
      </c>
      <c r="B6066" s="1" t="n">
        <v>44867</v>
      </c>
      <c r="C6066" s="1" t="n">
        <v>45357</v>
      </c>
      <c r="D6066" t="inlineStr">
        <is>
          <t>GÄVLEBORGS LÄN</t>
        </is>
      </c>
      <c r="E6066" t="inlineStr">
        <is>
          <t>LJUSDAL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50871-2022</t>
        </is>
      </c>
      <c r="B6067" s="1" t="n">
        <v>44867</v>
      </c>
      <c r="C6067" s="1" t="n">
        <v>45357</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50886-2022</t>
        </is>
      </c>
      <c r="B6068" s="1" t="n">
        <v>44867</v>
      </c>
      <c r="C6068" s="1" t="n">
        <v>45357</v>
      </c>
      <c r="D6068" t="inlineStr">
        <is>
          <t>GÄVLEBORGS LÄN</t>
        </is>
      </c>
      <c r="E6068" t="inlineStr">
        <is>
          <t>LJUSDAL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50937-2022</t>
        </is>
      </c>
      <c r="B6069" s="1" t="n">
        <v>44867</v>
      </c>
      <c r="C6069" s="1" t="n">
        <v>45357</v>
      </c>
      <c r="D6069" t="inlineStr">
        <is>
          <t>GÄVLEBORGS LÄN</t>
        </is>
      </c>
      <c r="E6069" t="inlineStr">
        <is>
          <t>OVANÅKER</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50778-2022</t>
        </is>
      </c>
      <c r="B6070" s="1" t="n">
        <v>44867</v>
      </c>
      <c r="C6070" s="1" t="n">
        <v>45357</v>
      </c>
      <c r="D6070" t="inlineStr">
        <is>
          <t>GÄVLEBORGS LÄN</t>
        </is>
      </c>
      <c r="E6070" t="inlineStr">
        <is>
          <t>GÄVLE</t>
        </is>
      </c>
      <c r="F6070" t="inlineStr">
        <is>
          <t>Bergvik skog öst AB</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50876-2022</t>
        </is>
      </c>
      <c r="B6071" s="1" t="n">
        <v>44867</v>
      </c>
      <c r="C6071" s="1" t="n">
        <v>45357</v>
      </c>
      <c r="D6071" t="inlineStr">
        <is>
          <t>GÄVLEBORGS LÄN</t>
        </is>
      </c>
      <c r="E6071" t="inlineStr">
        <is>
          <t>SÖDERHAMN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51048-2022</t>
        </is>
      </c>
      <c r="B6072" s="1" t="n">
        <v>44868</v>
      </c>
      <c r="C6072" s="1" t="n">
        <v>45357</v>
      </c>
      <c r="D6072" t="inlineStr">
        <is>
          <t>GÄVLEBORGS LÄN</t>
        </is>
      </c>
      <c r="E6072" t="inlineStr">
        <is>
          <t>LJUSDAL</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51092-2022</t>
        </is>
      </c>
      <c r="B6073" s="1" t="n">
        <v>44868</v>
      </c>
      <c r="C6073" s="1" t="n">
        <v>45357</v>
      </c>
      <c r="D6073" t="inlineStr">
        <is>
          <t>GÄVLEBORGS LÄN</t>
        </is>
      </c>
      <c r="E6073" t="inlineStr">
        <is>
          <t>OVANÅKER</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51089-2022</t>
        </is>
      </c>
      <c r="B6074" s="1" t="n">
        <v>44868</v>
      </c>
      <c r="C6074" s="1" t="n">
        <v>45357</v>
      </c>
      <c r="D6074" t="inlineStr">
        <is>
          <t>GÄVLEBORGS LÄN</t>
        </is>
      </c>
      <c r="E6074" t="inlineStr">
        <is>
          <t>LJUSDAL</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51099-2022</t>
        </is>
      </c>
      <c r="B6075" s="1" t="n">
        <v>44868</v>
      </c>
      <c r="C6075" s="1" t="n">
        <v>45357</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51038-2022</t>
        </is>
      </c>
      <c r="B6076" s="1" t="n">
        <v>44868</v>
      </c>
      <c r="C6076" s="1" t="n">
        <v>45357</v>
      </c>
      <c r="D6076" t="inlineStr">
        <is>
          <t>GÄVLEBORGS LÄN</t>
        </is>
      </c>
      <c r="E6076" t="inlineStr">
        <is>
          <t>BOLLNÄS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51044-2022</t>
        </is>
      </c>
      <c r="B6077" s="1" t="n">
        <v>44868</v>
      </c>
      <c r="C6077" s="1" t="n">
        <v>45357</v>
      </c>
      <c r="D6077" t="inlineStr">
        <is>
          <t>GÄVLEBORGS LÄN</t>
        </is>
      </c>
      <c r="E6077" t="inlineStr">
        <is>
          <t>LJUSDAL</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51049-2022</t>
        </is>
      </c>
      <c r="B6078" s="1" t="n">
        <v>44868</v>
      </c>
      <c r="C6078" s="1" t="n">
        <v>45357</v>
      </c>
      <c r="D6078" t="inlineStr">
        <is>
          <t>GÄVLEBORGS LÄN</t>
        </is>
      </c>
      <c r="E6078" t="inlineStr">
        <is>
          <t>LJUSDAL</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51076-2022</t>
        </is>
      </c>
      <c r="B6079" s="1" t="n">
        <v>44868</v>
      </c>
      <c r="C6079" s="1" t="n">
        <v>45357</v>
      </c>
      <c r="D6079" t="inlineStr">
        <is>
          <t>GÄVLEBORGS LÄN</t>
        </is>
      </c>
      <c r="E6079" t="inlineStr">
        <is>
          <t>GÄVLE</t>
        </is>
      </c>
      <c r="F6079" t="inlineStr">
        <is>
          <t>Kyrkan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51115-2022</t>
        </is>
      </c>
      <c r="B6080" s="1" t="n">
        <v>44868</v>
      </c>
      <c r="C6080" s="1" t="n">
        <v>45357</v>
      </c>
      <c r="D6080" t="inlineStr">
        <is>
          <t>GÄVLEBORGS LÄN</t>
        </is>
      </c>
      <c r="E6080" t="inlineStr">
        <is>
          <t>LJUSDAL</t>
        </is>
      </c>
      <c r="F6080" t="inlineStr">
        <is>
          <t>Bergvik skog väst AB</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51123-2022</t>
        </is>
      </c>
      <c r="B6081" s="1" t="n">
        <v>44868</v>
      </c>
      <c r="C6081" s="1" t="n">
        <v>45357</v>
      </c>
      <c r="D6081" t="inlineStr">
        <is>
          <t>GÄVLEBORGS LÄN</t>
        </is>
      </c>
      <c r="E6081" t="inlineStr">
        <is>
          <t>LJUSDAL</t>
        </is>
      </c>
      <c r="F6081" t="inlineStr">
        <is>
          <t>Sveaskog</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51122-2022</t>
        </is>
      </c>
      <c r="B6082" s="1" t="n">
        <v>44868</v>
      </c>
      <c r="C6082" s="1" t="n">
        <v>45357</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51121-2022</t>
        </is>
      </c>
      <c r="B6083" s="1" t="n">
        <v>44868</v>
      </c>
      <c r="C6083" s="1" t="n">
        <v>45357</v>
      </c>
      <c r="D6083" t="inlineStr">
        <is>
          <t>GÄVLEBORGS LÄN</t>
        </is>
      </c>
      <c r="E6083" t="inlineStr">
        <is>
          <t>LJUSDAL</t>
        </is>
      </c>
      <c r="F6083" t="inlineStr">
        <is>
          <t>Sveaskog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51127-2022</t>
        </is>
      </c>
      <c r="B6084" s="1" t="n">
        <v>44868</v>
      </c>
      <c r="C6084" s="1" t="n">
        <v>45357</v>
      </c>
      <c r="D6084" t="inlineStr">
        <is>
          <t>GÄVLEBORGS LÄN</t>
        </is>
      </c>
      <c r="E6084" t="inlineStr">
        <is>
          <t>OVANÅKER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51145-2022</t>
        </is>
      </c>
      <c r="B6085" s="1" t="n">
        <v>44868</v>
      </c>
      <c r="C6085" s="1" t="n">
        <v>45357</v>
      </c>
      <c r="D6085" t="inlineStr">
        <is>
          <t>GÄVLEBORGS LÄN</t>
        </is>
      </c>
      <c r="E6085" t="inlineStr">
        <is>
          <t>LJUSDAL</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51162-2022</t>
        </is>
      </c>
      <c r="B6086" s="1" t="n">
        <v>44868</v>
      </c>
      <c r="C6086" s="1" t="n">
        <v>45357</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51250-2022</t>
        </is>
      </c>
      <c r="B6087" s="1" t="n">
        <v>44868</v>
      </c>
      <c r="C6087" s="1" t="n">
        <v>45357</v>
      </c>
      <c r="D6087" t="inlineStr">
        <is>
          <t>GÄVLEBORGS LÄN</t>
        </is>
      </c>
      <c r="E6087" t="inlineStr">
        <is>
          <t>NORDANSTIG</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51205-2022</t>
        </is>
      </c>
      <c r="B6088" s="1" t="n">
        <v>44868</v>
      </c>
      <c r="C6088" s="1" t="n">
        <v>45357</v>
      </c>
      <c r="D6088" t="inlineStr">
        <is>
          <t>GÄVLEBORGS LÄN</t>
        </is>
      </c>
      <c r="E6088" t="inlineStr">
        <is>
          <t>HOFORS</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51252-2022</t>
        </is>
      </c>
      <c r="B6089" s="1" t="n">
        <v>44868</v>
      </c>
      <c r="C6089" s="1" t="n">
        <v>45357</v>
      </c>
      <c r="D6089" t="inlineStr">
        <is>
          <t>GÄVLEBORGS LÄN</t>
        </is>
      </c>
      <c r="E6089" t="inlineStr">
        <is>
          <t>OVANÅKER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51202-2022</t>
        </is>
      </c>
      <c r="B6090" s="1" t="n">
        <v>44868</v>
      </c>
      <c r="C6090" s="1" t="n">
        <v>45357</v>
      </c>
      <c r="D6090" t="inlineStr">
        <is>
          <t>GÄVLEBORGS LÄN</t>
        </is>
      </c>
      <c r="E6090" t="inlineStr">
        <is>
          <t>HOFORS</t>
        </is>
      </c>
      <c r="F6090" t="inlineStr">
        <is>
          <t>Sveaskog</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51209-2022</t>
        </is>
      </c>
      <c r="B6091" s="1" t="n">
        <v>44868</v>
      </c>
      <c r="C6091" s="1" t="n">
        <v>45357</v>
      </c>
      <c r="D6091" t="inlineStr">
        <is>
          <t>GÄVLEBORGS LÄN</t>
        </is>
      </c>
      <c r="E6091" t="inlineStr">
        <is>
          <t>NORDANSTIG</t>
        </is>
      </c>
      <c r="F6091" t="inlineStr">
        <is>
          <t>Holmen skog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51277-2022</t>
        </is>
      </c>
      <c r="B6092" s="1" t="n">
        <v>44868</v>
      </c>
      <c r="C6092" s="1" t="n">
        <v>45357</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51237-2022</t>
        </is>
      </c>
      <c r="B6093" s="1" t="n">
        <v>44868</v>
      </c>
      <c r="C6093" s="1" t="n">
        <v>45357</v>
      </c>
      <c r="D6093" t="inlineStr">
        <is>
          <t>GÄVLEBORGS LÄN</t>
        </is>
      </c>
      <c r="E6093" t="inlineStr">
        <is>
          <t>OVANÅKER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51276-2022</t>
        </is>
      </c>
      <c r="B6094" s="1" t="n">
        <v>44868</v>
      </c>
      <c r="C6094" s="1" t="n">
        <v>45357</v>
      </c>
      <c r="D6094" t="inlineStr">
        <is>
          <t>GÄVLEBORGS LÄN</t>
        </is>
      </c>
      <c r="E6094" t="inlineStr">
        <is>
          <t>HOFORS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51330-2022</t>
        </is>
      </c>
      <c r="B6095" s="1" t="n">
        <v>44869</v>
      </c>
      <c r="C6095" s="1" t="n">
        <v>45357</v>
      </c>
      <c r="D6095" t="inlineStr">
        <is>
          <t>GÄVLEBORGS LÄN</t>
        </is>
      </c>
      <c r="E6095" t="inlineStr">
        <is>
          <t>LJUSDAL</t>
        </is>
      </c>
      <c r="F6095" t="inlineStr">
        <is>
          <t>Bergvik skog väst AB</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51381-2022</t>
        </is>
      </c>
      <c r="B6096" s="1" t="n">
        <v>44869</v>
      </c>
      <c r="C6096" s="1" t="n">
        <v>45357</v>
      </c>
      <c r="D6096" t="inlineStr">
        <is>
          <t>GÄVLEBORGS LÄN</t>
        </is>
      </c>
      <c r="E6096" t="inlineStr">
        <is>
          <t>GÄVLE</t>
        </is>
      </c>
      <c r="F6096" t="inlineStr">
        <is>
          <t>Bergvik skog öst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51432-2022</t>
        </is>
      </c>
      <c r="B6097" s="1" t="n">
        <v>44869</v>
      </c>
      <c r="C6097" s="1" t="n">
        <v>45357</v>
      </c>
      <c r="D6097" t="inlineStr">
        <is>
          <t>GÄVLEBORGS LÄN</t>
        </is>
      </c>
      <c r="E6097" t="inlineStr">
        <is>
          <t>HUDIKSVALL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51443-2022</t>
        </is>
      </c>
      <c r="B6098" s="1" t="n">
        <v>44869</v>
      </c>
      <c r="C6098" s="1" t="n">
        <v>45357</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51458-2022</t>
        </is>
      </c>
      <c r="B6099" s="1" t="n">
        <v>44869</v>
      </c>
      <c r="C6099" s="1" t="n">
        <v>45357</v>
      </c>
      <c r="D6099" t="inlineStr">
        <is>
          <t>GÄVLEBORGS LÄN</t>
        </is>
      </c>
      <c r="E6099" t="inlineStr">
        <is>
          <t>SÖDERHAMN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52206-2022</t>
        </is>
      </c>
      <c r="B6100" s="1" t="n">
        <v>44869</v>
      </c>
      <c r="C6100" s="1" t="n">
        <v>45357</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51567-2022</t>
        </is>
      </c>
      <c r="B6101" s="1" t="n">
        <v>44870</v>
      </c>
      <c r="C6101" s="1" t="n">
        <v>45357</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51519-2022</t>
        </is>
      </c>
      <c r="B6102" s="1" t="n">
        <v>44869</v>
      </c>
      <c r="C6102" s="1" t="n">
        <v>45357</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51590-2022</t>
        </is>
      </c>
      <c r="B6103" s="1" t="n">
        <v>44871</v>
      </c>
      <c r="C6103" s="1" t="n">
        <v>45357</v>
      </c>
      <c r="D6103" t="inlineStr">
        <is>
          <t>GÄVLEBORGS LÄN</t>
        </is>
      </c>
      <c r="E6103" t="inlineStr">
        <is>
          <t>HUDIKSVALL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51734-2022</t>
        </is>
      </c>
      <c r="B6104" s="1" t="n">
        <v>44872</v>
      </c>
      <c r="C6104" s="1" t="n">
        <v>45357</v>
      </c>
      <c r="D6104" t="inlineStr">
        <is>
          <t>GÄVLEBORGS LÄN</t>
        </is>
      </c>
      <c r="E6104" t="inlineStr">
        <is>
          <t>OVANÅKER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51738-2022</t>
        </is>
      </c>
      <c r="B6105" s="1" t="n">
        <v>44872</v>
      </c>
      <c r="C6105" s="1" t="n">
        <v>45357</v>
      </c>
      <c r="D6105" t="inlineStr">
        <is>
          <t>GÄVLEBORGS LÄN</t>
        </is>
      </c>
      <c r="E6105" t="inlineStr">
        <is>
          <t>LJUSDAL</t>
        </is>
      </c>
      <c r="F6105" t="inlineStr">
        <is>
          <t>Bergvik skog väst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51744-2022</t>
        </is>
      </c>
      <c r="B6106" s="1" t="n">
        <v>44872</v>
      </c>
      <c r="C6106" s="1" t="n">
        <v>45357</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51867-2022</t>
        </is>
      </c>
      <c r="B6107" s="1" t="n">
        <v>44872</v>
      </c>
      <c r="C6107" s="1" t="n">
        <v>45357</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51645-2022</t>
        </is>
      </c>
      <c r="B6108" s="1" t="n">
        <v>44872</v>
      </c>
      <c r="C6108" s="1" t="n">
        <v>45357</v>
      </c>
      <c r="D6108" t="inlineStr">
        <is>
          <t>GÄVLEBORGS LÄN</t>
        </is>
      </c>
      <c r="E6108" t="inlineStr">
        <is>
          <t>BOLLNÄS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51666-2022</t>
        </is>
      </c>
      <c r="B6109" s="1" t="n">
        <v>44872</v>
      </c>
      <c r="C6109" s="1" t="n">
        <v>45357</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51747-2022</t>
        </is>
      </c>
      <c r="B6110" s="1" t="n">
        <v>44872</v>
      </c>
      <c r="C6110" s="1" t="n">
        <v>45357</v>
      </c>
      <c r="D6110" t="inlineStr">
        <is>
          <t>GÄVLEBORGS LÄN</t>
        </is>
      </c>
      <c r="E6110" t="inlineStr">
        <is>
          <t>OCKELBO</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51767-2022</t>
        </is>
      </c>
      <c r="B6111" s="1" t="n">
        <v>44872</v>
      </c>
      <c r="C6111" s="1" t="n">
        <v>45357</v>
      </c>
      <c r="D6111" t="inlineStr">
        <is>
          <t>GÄVLEBORGS LÄN</t>
        </is>
      </c>
      <c r="E6111" t="inlineStr">
        <is>
          <t>NORDANSTIG</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51634-2022</t>
        </is>
      </c>
      <c r="B6112" s="1" t="n">
        <v>44872</v>
      </c>
      <c r="C6112" s="1" t="n">
        <v>45357</v>
      </c>
      <c r="D6112" t="inlineStr">
        <is>
          <t>GÄVLEBORGS LÄN</t>
        </is>
      </c>
      <c r="E6112" t="inlineStr">
        <is>
          <t>LJUSDAL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51700-2022</t>
        </is>
      </c>
      <c r="B6113" s="1" t="n">
        <v>44872</v>
      </c>
      <c r="C6113" s="1" t="n">
        <v>45357</v>
      </c>
      <c r="D6113" t="inlineStr">
        <is>
          <t>GÄVLEBORGS LÄN</t>
        </is>
      </c>
      <c r="E6113" t="inlineStr">
        <is>
          <t>OVANÅKER</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51710-2022</t>
        </is>
      </c>
      <c r="B6114" s="1" t="n">
        <v>44872</v>
      </c>
      <c r="C6114" s="1" t="n">
        <v>45357</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51726-2022</t>
        </is>
      </c>
      <c r="B6115" s="1" t="n">
        <v>44872</v>
      </c>
      <c r="C6115" s="1" t="n">
        <v>45357</v>
      </c>
      <c r="D6115" t="inlineStr">
        <is>
          <t>GÄVLEBORGS LÄN</t>
        </is>
      </c>
      <c r="E6115" t="inlineStr">
        <is>
          <t>LJUSDAL</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51732-2022</t>
        </is>
      </c>
      <c r="B6116" s="1" t="n">
        <v>44872</v>
      </c>
      <c r="C6116" s="1" t="n">
        <v>45357</v>
      </c>
      <c r="D6116" t="inlineStr">
        <is>
          <t>GÄVLEBORGS LÄN</t>
        </is>
      </c>
      <c r="E6116" t="inlineStr">
        <is>
          <t>OVANÅKER</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51737-2022</t>
        </is>
      </c>
      <c r="B6117" s="1" t="n">
        <v>44872</v>
      </c>
      <c r="C6117" s="1" t="n">
        <v>45357</v>
      </c>
      <c r="D6117" t="inlineStr">
        <is>
          <t>GÄVLEBORGS LÄN</t>
        </is>
      </c>
      <c r="E6117" t="inlineStr">
        <is>
          <t>OVANÅKER</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51754-2022</t>
        </is>
      </c>
      <c r="B6118" s="1" t="n">
        <v>44872</v>
      </c>
      <c r="C6118" s="1" t="n">
        <v>45357</v>
      </c>
      <c r="D6118" t="inlineStr">
        <is>
          <t>GÄVLEBORGS LÄN</t>
        </is>
      </c>
      <c r="E6118" t="inlineStr">
        <is>
          <t>LJUSDAL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51783-2022</t>
        </is>
      </c>
      <c r="B6119" s="1" t="n">
        <v>44872</v>
      </c>
      <c r="C6119" s="1" t="n">
        <v>45357</v>
      </c>
      <c r="D6119" t="inlineStr">
        <is>
          <t>GÄVLEBORGS LÄN</t>
        </is>
      </c>
      <c r="E6119" t="inlineStr">
        <is>
          <t>OVANÅKER</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51838-2022</t>
        </is>
      </c>
      <c r="B6120" s="1" t="n">
        <v>44872</v>
      </c>
      <c r="C6120" s="1" t="n">
        <v>45357</v>
      </c>
      <c r="D6120" t="inlineStr">
        <is>
          <t>GÄVLEBORGS LÄN</t>
        </is>
      </c>
      <c r="E6120" t="inlineStr">
        <is>
          <t>LJUSDAL</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51865-2022</t>
        </is>
      </c>
      <c r="B6121" s="1" t="n">
        <v>44872</v>
      </c>
      <c r="C6121" s="1" t="n">
        <v>45357</v>
      </c>
      <c r="D6121" t="inlineStr">
        <is>
          <t>GÄVLEBORGS LÄN</t>
        </is>
      </c>
      <c r="E6121" t="inlineStr">
        <is>
          <t>HUDIKSVALL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51902-2022</t>
        </is>
      </c>
      <c r="B6122" s="1" t="n">
        <v>44872</v>
      </c>
      <c r="C6122" s="1" t="n">
        <v>45357</v>
      </c>
      <c r="D6122" t="inlineStr">
        <is>
          <t>GÄVLEBORGS LÄN</t>
        </is>
      </c>
      <c r="E6122" t="inlineStr">
        <is>
          <t>OVANÅKER</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51841-2022</t>
        </is>
      </c>
      <c r="B6123" s="1" t="n">
        <v>44872</v>
      </c>
      <c r="C6123" s="1" t="n">
        <v>45357</v>
      </c>
      <c r="D6123" t="inlineStr">
        <is>
          <t>GÄVLEBORGS LÄN</t>
        </is>
      </c>
      <c r="E6123" t="inlineStr">
        <is>
          <t>NORDANSTIG</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51853-2022</t>
        </is>
      </c>
      <c r="B6124" s="1" t="n">
        <v>44872</v>
      </c>
      <c r="C6124" s="1" t="n">
        <v>45357</v>
      </c>
      <c r="D6124" t="inlineStr">
        <is>
          <t>GÄVLEBORGS LÄN</t>
        </is>
      </c>
      <c r="E6124" t="inlineStr">
        <is>
          <t>LJUSDAL</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51927-2022</t>
        </is>
      </c>
      <c r="B6125" s="1" t="n">
        <v>44872</v>
      </c>
      <c r="C6125" s="1" t="n">
        <v>45357</v>
      </c>
      <c r="D6125" t="inlineStr">
        <is>
          <t>GÄVLEBORGS LÄN</t>
        </is>
      </c>
      <c r="E6125" t="inlineStr">
        <is>
          <t>OVANÅKER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51937-2022</t>
        </is>
      </c>
      <c r="B6126" s="1" t="n">
        <v>44872</v>
      </c>
      <c r="C6126" s="1" t="n">
        <v>45357</v>
      </c>
      <c r="D6126" t="inlineStr">
        <is>
          <t>GÄVLEBORGS LÄN</t>
        </is>
      </c>
      <c r="E6126" t="inlineStr">
        <is>
          <t>HUDIKSVALL</t>
        </is>
      </c>
      <c r="F6126" t="inlineStr">
        <is>
          <t>Holmen skog AB</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51851-2022</t>
        </is>
      </c>
      <c r="B6127" s="1" t="n">
        <v>44872</v>
      </c>
      <c r="C6127" s="1" t="n">
        <v>45357</v>
      </c>
      <c r="D6127" t="inlineStr">
        <is>
          <t>GÄVLEBORGS LÄN</t>
        </is>
      </c>
      <c r="E6127" t="inlineStr">
        <is>
          <t>HUDIKSVALL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51972-2022</t>
        </is>
      </c>
      <c r="B6128" s="1" t="n">
        <v>44872</v>
      </c>
      <c r="C6128" s="1" t="n">
        <v>45357</v>
      </c>
      <c r="D6128" t="inlineStr">
        <is>
          <t>GÄVLEBORGS LÄN</t>
        </is>
      </c>
      <c r="E6128" t="inlineStr">
        <is>
          <t>OCKELBO</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51922-2022</t>
        </is>
      </c>
      <c r="B6129" s="1" t="n">
        <v>44872</v>
      </c>
      <c r="C6129" s="1" t="n">
        <v>45357</v>
      </c>
      <c r="D6129" t="inlineStr">
        <is>
          <t>GÄVLEBORGS LÄN</t>
        </is>
      </c>
      <c r="E6129" t="inlineStr">
        <is>
          <t>LJUSDAL</t>
        </is>
      </c>
      <c r="F6129" t="inlineStr">
        <is>
          <t>Kommuner</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52120-2022</t>
        </is>
      </c>
      <c r="B6130" s="1" t="n">
        <v>44873</v>
      </c>
      <c r="C6130" s="1" t="n">
        <v>45357</v>
      </c>
      <c r="D6130" t="inlineStr">
        <is>
          <t>GÄVLEBORGS LÄN</t>
        </is>
      </c>
      <c r="E6130" t="inlineStr">
        <is>
          <t>NORDANSTIG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52121-2022</t>
        </is>
      </c>
      <c r="B6131" s="1" t="n">
        <v>44873</v>
      </c>
      <c r="C6131" s="1" t="n">
        <v>45357</v>
      </c>
      <c r="D6131" t="inlineStr">
        <is>
          <t>GÄVLEBORGS LÄN</t>
        </is>
      </c>
      <c r="E6131" t="inlineStr">
        <is>
          <t>LJUSDAL</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52180-2022</t>
        </is>
      </c>
      <c r="B6132" s="1" t="n">
        <v>44873</v>
      </c>
      <c r="C6132" s="1" t="n">
        <v>45357</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52187-2022</t>
        </is>
      </c>
      <c r="B6133" s="1" t="n">
        <v>44873</v>
      </c>
      <c r="C6133" s="1" t="n">
        <v>45357</v>
      </c>
      <c r="D6133" t="inlineStr">
        <is>
          <t>GÄVLEBORGS LÄN</t>
        </is>
      </c>
      <c r="E6133" t="inlineStr">
        <is>
          <t>NORDANSTIG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52271-2022</t>
        </is>
      </c>
      <c r="B6134" s="1" t="n">
        <v>44873</v>
      </c>
      <c r="C6134" s="1" t="n">
        <v>45357</v>
      </c>
      <c r="D6134" t="inlineStr">
        <is>
          <t>GÄVLEBORGS LÄN</t>
        </is>
      </c>
      <c r="E6134" t="inlineStr">
        <is>
          <t>BOLLNÄS</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52226-2022</t>
        </is>
      </c>
      <c r="B6135" s="1" t="n">
        <v>44873</v>
      </c>
      <c r="C6135" s="1" t="n">
        <v>45357</v>
      </c>
      <c r="D6135" t="inlineStr">
        <is>
          <t>GÄVLEBORGS LÄN</t>
        </is>
      </c>
      <c r="E6135" t="inlineStr">
        <is>
          <t>LJUSDAL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52200-2022</t>
        </is>
      </c>
      <c r="B6136" s="1" t="n">
        <v>44873</v>
      </c>
      <c r="C6136" s="1" t="n">
        <v>45357</v>
      </c>
      <c r="D6136" t="inlineStr">
        <is>
          <t>GÄVLEBORGS LÄN</t>
        </is>
      </c>
      <c r="E6136" t="inlineStr">
        <is>
          <t>SANDVIKEN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52222-2022</t>
        </is>
      </c>
      <c r="B6137" s="1" t="n">
        <v>44873</v>
      </c>
      <c r="C6137" s="1" t="n">
        <v>45357</v>
      </c>
      <c r="D6137" t="inlineStr">
        <is>
          <t>GÄVLEBORGS LÄN</t>
        </is>
      </c>
      <c r="E6137" t="inlineStr">
        <is>
          <t>LJUSDAL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52276-2022</t>
        </is>
      </c>
      <c r="B6138" s="1" t="n">
        <v>44873</v>
      </c>
      <c r="C6138" s="1" t="n">
        <v>45357</v>
      </c>
      <c r="D6138" t="inlineStr">
        <is>
          <t>GÄVLEBORGS LÄN</t>
        </is>
      </c>
      <c r="E6138" t="inlineStr">
        <is>
          <t>SANDVIKEN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52285-2022</t>
        </is>
      </c>
      <c r="B6139" s="1" t="n">
        <v>44873</v>
      </c>
      <c r="C6139" s="1" t="n">
        <v>45357</v>
      </c>
      <c r="D6139" t="inlineStr">
        <is>
          <t>GÄVLEBORGS LÄN</t>
        </is>
      </c>
      <c r="E6139" t="inlineStr">
        <is>
          <t>SANDVIKEN</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52282-2022</t>
        </is>
      </c>
      <c r="B6140" s="1" t="n">
        <v>44873</v>
      </c>
      <c r="C6140" s="1" t="n">
        <v>45357</v>
      </c>
      <c r="D6140" t="inlineStr">
        <is>
          <t>GÄVLEBORGS LÄN</t>
        </is>
      </c>
      <c r="E6140" t="inlineStr">
        <is>
          <t>SANDVIKEN</t>
        </is>
      </c>
      <c r="F6140" t="inlineStr">
        <is>
          <t>Sveaskog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52320-2022</t>
        </is>
      </c>
      <c r="B6141" s="1" t="n">
        <v>44873</v>
      </c>
      <c r="C6141" s="1" t="n">
        <v>45357</v>
      </c>
      <c r="D6141" t="inlineStr">
        <is>
          <t>GÄVLEBORGS LÄN</t>
        </is>
      </c>
      <c r="E6141" t="inlineStr">
        <is>
          <t>HOFORS</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52394-2022</t>
        </is>
      </c>
      <c r="B6142" s="1" t="n">
        <v>44874</v>
      </c>
      <c r="C6142" s="1" t="n">
        <v>45357</v>
      </c>
      <c r="D6142" t="inlineStr">
        <is>
          <t>GÄVLEBORGS LÄN</t>
        </is>
      </c>
      <c r="E6142" t="inlineStr">
        <is>
          <t>GÄVLE</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52401-2022</t>
        </is>
      </c>
      <c r="B6143" s="1" t="n">
        <v>44874</v>
      </c>
      <c r="C6143" s="1" t="n">
        <v>45357</v>
      </c>
      <c r="D6143" t="inlineStr">
        <is>
          <t>GÄVLEBORGS LÄN</t>
        </is>
      </c>
      <c r="E6143" t="inlineStr">
        <is>
          <t>GÄVLE</t>
        </is>
      </c>
      <c r="F6143" t="inlineStr">
        <is>
          <t>Bergvik skog öst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52443-2022</t>
        </is>
      </c>
      <c r="B6144" s="1" t="n">
        <v>44874</v>
      </c>
      <c r="C6144" s="1" t="n">
        <v>45357</v>
      </c>
      <c r="D6144" t="inlineStr">
        <is>
          <t>GÄVLEBORGS LÄN</t>
        </is>
      </c>
      <c r="E6144" t="inlineStr">
        <is>
          <t>LJUSDAL</t>
        </is>
      </c>
      <c r="F6144" t="inlineStr">
        <is>
          <t>Kyrkan</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45357</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52560-2022</t>
        </is>
      </c>
      <c r="B6146" s="1" t="n">
        <v>44874</v>
      </c>
      <c r="C6146" s="1" t="n">
        <v>45357</v>
      </c>
      <c r="D6146" t="inlineStr">
        <is>
          <t>GÄVLEBORGS LÄN</t>
        </is>
      </c>
      <c r="E6146" t="inlineStr">
        <is>
          <t>NORDANSTIG</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52607-2022</t>
        </is>
      </c>
      <c r="B6147" s="1" t="n">
        <v>44874</v>
      </c>
      <c r="C6147" s="1" t="n">
        <v>45357</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52615-2022</t>
        </is>
      </c>
      <c r="B6148" s="1" t="n">
        <v>44874</v>
      </c>
      <c r="C6148" s="1" t="n">
        <v>45357</v>
      </c>
      <c r="D6148" t="inlineStr">
        <is>
          <t>GÄVLEBORGS LÄN</t>
        </is>
      </c>
      <c r="E6148" t="inlineStr">
        <is>
          <t>OVANÅKER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52626-2022</t>
        </is>
      </c>
      <c r="B6149" s="1" t="n">
        <v>44874</v>
      </c>
      <c r="C6149" s="1" t="n">
        <v>45357</v>
      </c>
      <c r="D6149" t="inlineStr">
        <is>
          <t>GÄVLEBORGS LÄN</t>
        </is>
      </c>
      <c r="E6149" t="inlineStr">
        <is>
          <t>LJUSDAL</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52637-2022</t>
        </is>
      </c>
      <c r="B6150" s="1" t="n">
        <v>44874</v>
      </c>
      <c r="C6150" s="1" t="n">
        <v>45357</v>
      </c>
      <c r="D6150" t="inlineStr">
        <is>
          <t>GÄVLEBORGS LÄN</t>
        </is>
      </c>
      <c r="E6150" t="inlineStr">
        <is>
          <t>OCKELBO</t>
        </is>
      </c>
      <c r="F6150" t="inlineStr">
        <is>
          <t>Bergvik skog väst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52397-2022</t>
        </is>
      </c>
      <c r="B6151" s="1" t="n">
        <v>44874</v>
      </c>
      <c r="C6151" s="1" t="n">
        <v>45357</v>
      </c>
      <c r="D6151" t="inlineStr">
        <is>
          <t>GÄVLEBORGS LÄN</t>
        </is>
      </c>
      <c r="E6151" t="inlineStr">
        <is>
          <t>HUDIKSVALL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52430-2022</t>
        </is>
      </c>
      <c r="B6152" s="1" t="n">
        <v>44874</v>
      </c>
      <c r="C6152" s="1" t="n">
        <v>45357</v>
      </c>
      <c r="D6152" t="inlineStr">
        <is>
          <t>GÄVLEBORGS LÄN</t>
        </is>
      </c>
      <c r="E6152" t="inlineStr">
        <is>
          <t>NORDANSTIG</t>
        </is>
      </c>
      <c r="F6152" t="inlineStr">
        <is>
          <t>Holmen skog AB</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52414-2022</t>
        </is>
      </c>
      <c r="B6153" s="1" t="n">
        <v>44874</v>
      </c>
      <c r="C6153" s="1" t="n">
        <v>45357</v>
      </c>
      <c r="D6153" t="inlineStr">
        <is>
          <t>GÄVLEBORGS LÄN</t>
        </is>
      </c>
      <c r="E6153" t="inlineStr">
        <is>
          <t>NORDANSTIG</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52568-2022</t>
        </is>
      </c>
      <c r="B6154" s="1" t="n">
        <v>44874</v>
      </c>
      <c r="C6154" s="1" t="n">
        <v>45357</v>
      </c>
      <c r="D6154" t="inlineStr">
        <is>
          <t>GÄVLEBORGS LÄN</t>
        </is>
      </c>
      <c r="E6154" t="inlineStr">
        <is>
          <t>LJUSDAL</t>
        </is>
      </c>
      <c r="F6154" t="inlineStr">
        <is>
          <t>Kyrkan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52608-2022</t>
        </is>
      </c>
      <c r="B6155" s="1" t="n">
        <v>44874</v>
      </c>
      <c r="C6155" s="1" t="n">
        <v>45357</v>
      </c>
      <c r="D6155" t="inlineStr">
        <is>
          <t>GÄVLEBORGS LÄN</t>
        </is>
      </c>
      <c r="E6155" t="inlineStr">
        <is>
          <t>NORDANSTIG</t>
        </is>
      </c>
      <c r="F6155" t="inlineStr">
        <is>
          <t>Holmen skog AB</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52628-2022</t>
        </is>
      </c>
      <c r="B6156" s="1" t="n">
        <v>44874</v>
      </c>
      <c r="C6156" s="1" t="n">
        <v>45357</v>
      </c>
      <c r="D6156" t="inlineStr">
        <is>
          <t>GÄVLEBORGS LÄN</t>
        </is>
      </c>
      <c r="E6156" t="inlineStr">
        <is>
          <t>SANDVIKEN</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45357</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53495-2022</t>
        </is>
      </c>
      <c r="B6158" s="1" t="n">
        <v>44874</v>
      </c>
      <c r="C6158" s="1" t="n">
        <v>45357</v>
      </c>
      <c r="D6158" t="inlineStr">
        <is>
          <t>GÄVLEBORGS LÄN</t>
        </is>
      </c>
      <c r="E6158" t="inlineStr">
        <is>
          <t>SANDVIKEN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52756-2022</t>
        </is>
      </c>
      <c r="B6159" s="1" t="n">
        <v>44875</v>
      </c>
      <c r="C6159" s="1" t="n">
        <v>45357</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52872-2022</t>
        </is>
      </c>
      <c r="B6160" s="1" t="n">
        <v>44875</v>
      </c>
      <c r="C6160" s="1" t="n">
        <v>45357</v>
      </c>
      <c r="D6160" t="inlineStr">
        <is>
          <t>GÄVLEBORGS LÄN</t>
        </is>
      </c>
      <c r="E6160" t="inlineStr">
        <is>
          <t>OCKELBO</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52932-2022</t>
        </is>
      </c>
      <c r="B6161" s="1" t="n">
        <v>44875</v>
      </c>
      <c r="C6161" s="1" t="n">
        <v>45357</v>
      </c>
      <c r="D6161" t="inlineStr">
        <is>
          <t>GÄVLEBORGS LÄN</t>
        </is>
      </c>
      <c r="E6161" t="inlineStr">
        <is>
          <t>SANDVIKEN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52765-2022</t>
        </is>
      </c>
      <c r="B6162" s="1" t="n">
        <v>44875</v>
      </c>
      <c r="C6162" s="1" t="n">
        <v>45357</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52774-2022</t>
        </is>
      </c>
      <c r="B6163" s="1" t="n">
        <v>44875</v>
      </c>
      <c r="C6163" s="1" t="n">
        <v>45357</v>
      </c>
      <c r="D6163" t="inlineStr">
        <is>
          <t>GÄVLEBORGS LÄN</t>
        </is>
      </c>
      <c r="E6163" t="inlineStr">
        <is>
          <t>BOLLNÄS</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52824-2022</t>
        </is>
      </c>
      <c r="B6164" s="1" t="n">
        <v>44875</v>
      </c>
      <c r="C6164" s="1" t="n">
        <v>45357</v>
      </c>
      <c r="D6164" t="inlineStr">
        <is>
          <t>GÄVLEBORGS LÄN</t>
        </is>
      </c>
      <c r="E6164" t="inlineStr">
        <is>
          <t>LJUSDAL</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52850-2022</t>
        </is>
      </c>
      <c r="B6165" s="1" t="n">
        <v>44875</v>
      </c>
      <c r="C6165" s="1" t="n">
        <v>45357</v>
      </c>
      <c r="D6165" t="inlineStr">
        <is>
          <t>GÄVLEBORGS LÄN</t>
        </is>
      </c>
      <c r="E6165" t="inlineStr">
        <is>
          <t>BOLLNÄS</t>
        </is>
      </c>
      <c r="F6165" t="inlineStr">
        <is>
          <t>Bergvik skog väst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52868-2022</t>
        </is>
      </c>
      <c r="B6166" s="1" t="n">
        <v>44875</v>
      </c>
      <c r="C6166" s="1" t="n">
        <v>45357</v>
      </c>
      <c r="D6166" t="inlineStr">
        <is>
          <t>GÄVLEBORGS LÄN</t>
        </is>
      </c>
      <c r="E6166" t="inlineStr">
        <is>
          <t>OCKELBO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52907-2022</t>
        </is>
      </c>
      <c r="B6167" s="1" t="n">
        <v>44875</v>
      </c>
      <c r="C6167" s="1" t="n">
        <v>45357</v>
      </c>
      <c r="D6167" t="inlineStr">
        <is>
          <t>GÄVLEBORGS LÄN</t>
        </is>
      </c>
      <c r="E6167" t="inlineStr">
        <is>
          <t>BOLLNÄS</t>
        </is>
      </c>
      <c r="F6167" t="inlineStr">
        <is>
          <t>Bergvik skog väst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52763-2022</t>
        </is>
      </c>
      <c r="B6168" s="1" t="n">
        <v>44875</v>
      </c>
      <c r="C6168" s="1" t="n">
        <v>45357</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52787-2022</t>
        </is>
      </c>
      <c r="B6169" s="1" t="n">
        <v>44875</v>
      </c>
      <c r="C6169" s="1" t="n">
        <v>45357</v>
      </c>
      <c r="D6169" t="inlineStr">
        <is>
          <t>GÄVLEBORGS LÄN</t>
        </is>
      </c>
      <c r="E6169" t="inlineStr">
        <is>
          <t>BOLLNÄS</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52842-2022</t>
        </is>
      </c>
      <c r="B6170" s="1" t="n">
        <v>44875</v>
      </c>
      <c r="C6170" s="1" t="n">
        <v>45357</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52947-2022</t>
        </is>
      </c>
      <c r="B6171" s="1" t="n">
        <v>44875</v>
      </c>
      <c r="C6171" s="1" t="n">
        <v>45357</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52966-2022</t>
        </is>
      </c>
      <c r="B6172" s="1" t="n">
        <v>44875</v>
      </c>
      <c r="C6172" s="1" t="n">
        <v>45357</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53082-2022</t>
        </is>
      </c>
      <c r="B6173" s="1" t="n">
        <v>44876</v>
      </c>
      <c r="C6173" s="1" t="n">
        <v>45357</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53159-2022</t>
        </is>
      </c>
      <c r="B6174" s="1" t="n">
        <v>44876</v>
      </c>
      <c r="C6174" s="1" t="n">
        <v>45357</v>
      </c>
      <c r="D6174" t="inlineStr">
        <is>
          <t>GÄVLEBORGS LÄN</t>
        </is>
      </c>
      <c r="E6174" t="inlineStr">
        <is>
          <t>LJUSDAL</t>
        </is>
      </c>
      <c r="F6174" t="inlineStr">
        <is>
          <t>Kyrkan</t>
        </is>
      </c>
      <c r="G6174" t="n">
        <v>26.3</v>
      </c>
      <c r="H6174" t="n">
        <v>0</v>
      </c>
      <c r="I6174" t="n">
        <v>0</v>
      </c>
      <c r="J6174" t="n">
        <v>0</v>
      </c>
      <c r="K6174" t="n">
        <v>0</v>
      </c>
      <c r="L6174" t="n">
        <v>0</v>
      </c>
      <c r="M6174" t="n">
        <v>0</v>
      </c>
      <c r="N6174" t="n">
        <v>0</v>
      </c>
      <c r="O6174" t="n">
        <v>0</v>
      </c>
      <c r="P6174" t="n">
        <v>0</v>
      </c>
      <c r="Q6174" t="n">
        <v>0</v>
      </c>
      <c r="R6174" s="2" t="inlineStr"/>
    </row>
    <row r="6175" ht="15" customHeight="1">
      <c r="A6175" t="inlineStr">
        <is>
          <t>A 53046-2022</t>
        </is>
      </c>
      <c r="B6175" s="1" t="n">
        <v>44876</v>
      </c>
      <c r="C6175" s="1" t="n">
        <v>45357</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53079-2022</t>
        </is>
      </c>
      <c r="B6176" s="1" t="n">
        <v>44876</v>
      </c>
      <c r="C6176" s="1" t="n">
        <v>45357</v>
      </c>
      <c r="D6176" t="inlineStr">
        <is>
          <t>GÄVLEBORGS LÄN</t>
        </is>
      </c>
      <c r="E6176" t="inlineStr">
        <is>
          <t>NORDANSTIG</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53049-2022</t>
        </is>
      </c>
      <c r="B6177" s="1" t="n">
        <v>44876</v>
      </c>
      <c r="C6177" s="1" t="n">
        <v>45357</v>
      </c>
      <c r="D6177" t="inlineStr">
        <is>
          <t>GÄVLEBORGS LÄN</t>
        </is>
      </c>
      <c r="E6177" t="inlineStr">
        <is>
          <t>GÄVLE</t>
        </is>
      </c>
      <c r="F6177" t="inlineStr">
        <is>
          <t>Kommuner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53069-2022</t>
        </is>
      </c>
      <c r="B6178" s="1" t="n">
        <v>44876</v>
      </c>
      <c r="C6178" s="1" t="n">
        <v>45357</v>
      </c>
      <c r="D6178" t="inlineStr">
        <is>
          <t>GÄVLEBORGS LÄN</t>
        </is>
      </c>
      <c r="E6178" t="inlineStr">
        <is>
          <t>BOLLNÄS</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53213-2022</t>
        </is>
      </c>
      <c r="B6179" s="1" t="n">
        <v>44876</v>
      </c>
      <c r="C6179" s="1" t="n">
        <v>45357</v>
      </c>
      <c r="D6179" t="inlineStr">
        <is>
          <t>GÄVLEBORGS LÄN</t>
        </is>
      </c>
      <c r="E6179" t="inlineStr">
        <is>
          <t>OVANÅKER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53211-2022</t>
        </is>
      </c>
      <c r="B6180" s="1" t="n">
        <v>44876</v>
      </c>
      <c r="C6180" s="1" t="n">
        <v>45357</v>
      </c>
      <c r="D6180" t="inlineStr">
        <is>
          <t>GÄVLEBORGS LÄN</t>
        </is>
      </c>
      <c r="E6180" t="inlineStr">
        <is>
          <t>BOLLNÄS</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53174-2022</t>
        </is>
      </c>
      <c r="B6181" s="1" t="n">
        <v>44876</v>
      </c>
      <c r="C6181" s="1" t="n">
        <v>45357</v>
      </c>
      <c r="D6181" t="inlineStr">
        <is>
          <t>GÄVLEBORGS LÄN</t>
        </is>
      </c>
      <c r="E6181" t="inlineStr">
        <is>
          <t>OVANÅKER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53258-2022</t>
        </is>
      </c>
      <c r="B6182" s="1" t="n">
        <v>44876</v>
      </c>
      <c r="C6182" s="1" t="n">
        <v>45357</v>
      </c>
      <c r="D6182" t="inlineStr">
        <is>
          <t>GÄVLEBORGS LÄN</t>
        </is>
      </c>
      <c r="E6182" t="inlineStr">
        <is>
          <t>SANDVIKEN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53183-2022</t>
        </is>
      </c>
      <c r="B6183" s="1" t="n">
        <v>44876</v>
      </c>
      <c r="C6183" s="1" t="n">
        <v>45357</v>
      </c>
      <c r="D6183" t="inlineStr">
        <is>
          <t>GÄVLEBORGS LÄN</t>
        </is>
      </c>
      <c r="E6183" t="inlineStr">
        <is>
          <t>BOLLNÄS</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53317-2022</t>
        </is>
      </c>
      <c r="B6184" s="1" t="n">
        <v>44878</v>
      </c>
      <c r="C6184" s="1" t="n">
        <v>45357</v>
      </c>
      <c r="D6184" t="inlineStr">
        <is>
          <t>GÄVLEBORGS LÄN</t>
        </is>
      </c>
      <c r="E6184" t="inlineStr">
        <is>
          <t>BOLLNÄS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53445-2022</t>
        </is>
      </c>
      <c r="B6185" s="1" t="n">
        <v>44879</v>
      </c>
      <c r="C6185" s="1" t="n">
        <v>45357</v>
      </c>
      <c r="D6185" t="inlineStr">
        <is>
          <t>GÄVLEBORGS LÄN</t>
        </is>
      </c>
      <c r="E6185" t="inlineStr">
        <is>
          <t>OVANÅKER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53516-2022</t>
        </is>
      </c>
      <c r="B6186" s="1" t="n">
        <v>44879</v>
      </c>
      <c r="C6186" s="1" t="n">
        <v>45357</v>
      </c>
      <c r="D6186" t="inlineStr">
        <is>
          <t>GÄVLEBORGS LÄN</t>
        </is>
      </c>
      <c r="E6186" t="inlineStr">
        <is>
          <t>BOLLNÄS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53562-2022</t>
        </is>
      </c>
      <c r="B6187" s="1" t="n">
        <v>44879</v>
      </c>
      <c r="C6187" s="1" t="n">
        <v>45357</v>
      </c>
      <c r="D6187" t="inlineStr">
        <is>
          <t>GÄVLEBORGS LÄN</t>
        </is>
      </c>
      <c r="E6187" t="inlineStr">
        <is>
          <t>BOLLNÄS</t>
        </is>
      </c>
      <c r="F6187" t="inlineStr">
        <is>
          <t>Bergvik skog väst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53566-2022</t>
        </is>
      </c>
      <c r="B6188" s="1" t="n">
        <v>44879</v>
      </c>
      <c r="C6188" s="1" t="n">
        <v>45357</v>
      </c>
      <c r="D6188" t="inlineStr">
        <is>
          <t>GÄVLEBORGS LÄN</t>
        </is>
      </c>
      <c r="E6188" t="inlineStr">
        <is>
          <t>BOLLNÄS</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53339-2022</t>
        </is>
      </c>
      <c r="B6189" s="1" t="n">
        <v>44879</v>
      </c>
      <c r="C6189" s="1" t="n">
        <v>45357</v>
      </c>
      <c r="D6189" t="inlineStr">
        <is>
          <t>GÄVLEBORGS LÄN</t>
        </is>
      </c>
      <c r="E6189" t="inlineStr">
        <is>
          <t>HUDIKSVALL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53393-2022</t>
        </is>
      </c>
      <c r="B6190" s="1" t="n">
        <v>44879</v>
      </c>
      <c r="C6190" s="1" t="n">
        <v>45357</v>
      </c>
      <c r="D6190" t="inlineStr">
        <is>
          <t>GÄVLEBORGS LÄN</t>
        </is>
      </c>
      <c r="E6190" t="inlineStr">
        <is>
          <t>OCKELBO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53337-2022</t>
        </is>
      </c>
      <c r="B6191" s="1" t="n">
        <v>44879</v>
      </c>
      <c r="C6191" s="1" t="n">
        <v>45357</v>
      </c>
      <c r="D6191" t="inlineStr">
        <is>
          <t>GÄVLEBORGS LÄN</t>
        </is>
      </c>
      <c r="E6191" t="inlineStr">
        <is>
          <t>BOLLNÄS</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53343-2022</t>
        </is>
      </c>
      <c r="B6192" s="1" t="n">
        <v>44879</v>
      </c>
      <c r="C6192" s="1" t="n">
        <v>45357</v>
      </c>
      <c r="D6192" t="inlineStr">
        <is>
          <t>GÄVLEBORGS LÄN</t>
        </is>
      </c>
      <c r="E6192" t="inlineStr">
        <is>
          <t>OVANÅKER</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53342-2022</t>
        </is>
      </c>
      <c r="B6193" s="1" t="n">
        <v>44879</v>
      </c>
      <c r="C6193" s="1" t="n">
        <v>45357</v>
      </c>
      <c r="D6193" t="inlineStr">
        <is>
          <t>GÄVLEBORGS LÄN</t>
        </is>
      </c>
      <c r="E6193" t="inlineStr">
        <is>
          <t>BOLLNÄS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53487-2022</t>
        </is>
      </c>
      <c r="B6194" s="1" t="n">
        <v>44879</v>
      </c>
      <c r="C6194" s="1" t="n">
        <v>45357</v>
      </c>
      <c r="D6194" t="inlineStr">
        <is>
          <t>GÄVLEBORGS LÄN</t>
        </is>
      </c>
      <c r="E6194" t="inlineStr">
        <is>
          <t>LJUSDAL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53511-2022</t>
        </is>
      </c>
      <c r="B6195" s="1" t="n">
        <v>44879</v>
      </c>
      <c r="C6195" s="1" t="n">
        <v>45357</v>
      </c>
      <c r="D6195" t="inlineStr">
        <is>
          <t>GÄVLEBORGS LÄN</t>
        </is>
      </c>
      <c r="E6195" t="inlineStr">
        <is>
          <t>BOLLNÄS</t>
        </is>
      </c>
      <c r="F6195" t="inlineStr">
        <is>
          <t>Bergvik skog väst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53438-2022</t>
        </is>
      </c>
      <c r="B6196" s="1" t="n">
        <v>44879</v>
      </c>
      <c r="C6196" s="1" t="n">
        <v>45357</v>
      </c>
      <c r="D6196" t="inlineStr">
        <is>
          <t>GÄVLEBORGS LÄN</t>
        </is>
      </c>
      <c r="E6196" t="inlineStr">
        <is>
          <t>HUDIKSVALL</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53448-2022</t>
        </is>
      </c>
      <c r="B6197" s="1" t="n">
        <v>44879</v>
      </c>
      <c r="C6197" s="1" t="n">
        <v>45357</v>
      </c>
      <c r="D6197" t="inlineStr">
        <is>
          <t>GÄVLEBORGS LÄN</t>
        </is>
      </c>
      <c r="E6197" t="inlineStr">
        <is>
          <t>BOLLNÄS</t>
        </is>
      </c>
      <c r="F6197" t="inlineStr">
        <is>
          <t>Bergvik skog väst AB</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53532-2022</t>
        </is>
      </c>
      <c r="B6198" s="1" t="n">
        <v>44879</v>
      </c>
      <c r="C6198" s="1" t="n">
        <v>45357</v>
      </c>
      <c r="D6198" t="inlineStr">
        <is>
          <t>GÄVLEBORGS LÄN</t>
        </is>
      </c>
      <c r="E6198" t="inlineStr">
        <is>
          <t>OCKELBO</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53558-2022</t>
        </is>
      </c>
      <c r="B6199" s="1" t="n">
        <v>44879</v>
      </c>
      <c r="C6199" s="1" t="n">
        <v>45357</v>
      </c>
      <c r="D6199" t="inlineStr">
        <is>
          <t>GÄVLEBORGS LÄN</t>
        </is>
      </c>
      <c r="E6199" t="inlineStr">
        <is>
          <t>BOLLNÄS</t>
        </is>
      </c>
      <c r="F6199" t="inlineStr">
        <is>
          <t>Holmen skog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53611-2022</t>
        </is>
      </c>
      <c r="B6200" s="1" t="n">
        <v>44879</v>
      </c>
      <c r="C6200" s="1" t="n">
        <v>45357</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53613-2022</t>
        </is>
      </c>
      <c r="B6201" s="1" t="n">
        <v>44879</v>
      </c>
      <c r="C6201" s="1" t="n">
        <v>45357</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53618-2022</t>
        </is>
      </c>
      <c r="B6202" s="1" t="n">
        <v>44879</v>
      </c>
      <c r="C6202" s="1" t="n">
        <v>45357</v>
      </c>
      <c r="D6202" t="inlineStr">
        <is>
          <t>GÄVLEBORGS LÄN</t>
        </is>
      </c>
      <c r="E6202" t="inlineStr">
        <is>
          <t>BOLLNÄS</t>
        </is>
      </c>
      <c r="F6202" t="inlineStr">
        <is>
          <t>Bergvik skog väst AB</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53673-2022</t>
        </is>
      </c>
      <c r="B6203" s="1" t="n">
        <v>44879</v>
      </c>
      <c r="C6203" s="1" t="n">
        <v>45357</v>
      </c>
      <c r="D6203" t="inlineStr">
        <is>
          <t>GÄVLEBORGS LÄN</t>
        </is>
      </c>
      <c r="E6203" t="inlineStr">
        <is>
          <t>NORDANSTIG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53754-2022</t>
        </is>
      </c>
      <c r="B6204" s="1" t="n">
        <v>44880</v>
      </c>
      <c r="C6204" s="1" t="n">
        <v>45357</v>
      </c>
      <c r="D6204" t="inlineStr">
        <is>
          <t>GÄVLEBORGS LÄN</t>
        </is>
      </c>
      <c r="E6204" t="inlineStr">
        <is>
          <t>OCKELBO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53815-2022</t>
        </is>
      </c>
      <c r="B6205" s="1" t="n">
        <v>44880</v>
      </c>
      <c r="C6205" s="1" t="n">
        <v>45357</v>
      </c>
      <c r="D6205" t="inlineStr">
        <is>
          <t>GÄVLEBORGS LÄN</t>
        </is>
      </c>
      <c r="E6205" t="inlineStr">
        <is>
          <t>BOLLNÄS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53844-2022</t>
        </is>
      </c>
      <c r="B6206" s="1" t="n">
        <v>44880</v>
      </c>
      <c r="C6206" s="1" t="n">
        <v>45357</v>
      </c>
      <c r="D6206" t="inlineStr">
        <is>
          <t>GÄVLEBORGS LÄN</t>
        </is>
      </c>
      <c r="E6206" t="inlineStr">
        <is>
          <t>LJUSDAL</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53694-2022</t>
        </is>
      </c>
      <c r="B6207" s="1" t="n">
        <v>44880</v>
      </c>
      <c r="C6207" s="1" t="n">
        <v>45357</v>
      </c>
      <c r="D6207" t="inlineStr">
        <is>
          <t>GÄVLEBORGS LÄN</t>
        </is>
      </c>
      <c r="E6207" t="inlineStr">
        <is>
          <t>OVANÅKER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53780-2022</t>
        </is>
      </c>
      <c r="B6208" s="1" t="n">
        <v>44880</v>
      </c>
      <c r="C6208" s="1" t="n">
        <v>45357</v>
      </c>
      <c r="D6208" t="inlineStr">
        <is>
          <t>GÄVLEBORGS LÄN</t>
        </is>
      </c>
      <c r="E6208" t="inlineStr">
        <is>
          <t>OCKELBO</t>
        </is>
      </c>
      <c r="F6208" t="inlineStr">
        <is>
          <t>Bergvik skog väst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53691-2022</t>
        </is>
      </c>
      <c r="B6209" s="1" t="n">
        <v>44880</v>
      </c>
      <c r="C6209" s="1" t="n">
        <v>45357</v>
      </c>
      <c r="D6209" t="inlineStr">
        <is>
          <t>GÄVLEBORGS LÄN</t>
        </is>
      </c>
      <c r="E6209" t="inlineStr">
        <is>
          <t>OVANÅKER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53744-2022</t>
        </is>
      </c>
      <c r="B6210" s="1" t="n">
        <v>44880</v>
      </c>
      <c r="C6210" s="1" t="n">
        <v>45357</v>
      </c>
      <c r="D6210" t="inlineStr">
        <is>
          <t>GÄVLEBORGS LÄN</t>
        </is>
      </c>
      <c r="E6210" t="inlineStr">
        <is>
          <t>SÖDERHAMN</t>
        </is>
      </c>
      <c r="F6210" t="inlineStr">
        <is>
          <t>Kyrkan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53927-2022</t>
        </is>
      </c>
      <c r="B6211" s="1" t="n">
        <v>44880</v>
      </c>
      <c r="C6211" s="1" t="n">
        <v>45357</v>
      </c>
      <c r="D6211" t="inlineStr">
        <is>
          <t>GÄVLEBORGS LÄN</t>
        </is>
      </c>
      <c r="E6211" t="inlineStr">
        <is>
          <t>LJUSDAL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54083-2022</t>
        </is>
      </c>
      <c r="B6212" s="1" t="n">
        <v>44881</v>
      </c>
      <c r="C6212" s="1" t="n">
        <v>45357</v>
      </c>
      <c r="D6212" t="inlineStr">
        <is>
          <t>GÄVLEBORGS LÄN</t>
        </is>
      </c>
      <c r="E6212" t="inlineStr">
        <is>
          <t>BOLLNÄS</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54088-2022</t>
        </is>
      </c>
      <c r="B6213" s="1" t="n">
        <v>44881</v>
      </c>
      <c r="C6213" s="1" t="n">
        <v>45357</v>
      </c>
      <c r="D6213" t="inlineStr">
        <is>
          <t>GÄVLEBORGS LÄN</t>
        </is>
      </c>
      <c r="E6213" t="inlineStr">
        <is>
          <t>BOLLNÄS</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54130-2022</t>
        </is>
      </c>
      <c r="B6214" s="1" t="n">
        <v>44881</v>
      </c>
      <c r="C6214" s="1" t="n">
        <v>45357</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54014-2022</t>
        </is>
      </c>
      <c r="B6215" s="1" t="n">
        <v>44881</v>
      </c>
      <c r="C6215" s="1" t="n">
        <v>45357</v>
      </c>
      <c r="D6215" t="inlineStr">
        <is>
          <t>GÄVLEBORGS LÄN</t>
        </is>
      </c>
      <c r="E6215" t="inlineStr">
        <is>
          <t>HUDIKSVALL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54007-2022</t>
        </is>
      </c>
      <c r="B6216" s="1" t="n">
        <v>44881</v>
      </c>
      <c r="C6216" s="1" t="n">
        <v>45357</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54048-2022</t>
        </is>
      </c>
      <c r="B6217" s="1" t="n">
        <v>44881</v>
      </c>
      <c r="C6217" s="1" t="n">
        <v>45357</v>
      </c>
      <c r="D6217" t="inlineStr">
        <is>
          <t>GÄVLEBORGS LÄN</t>
        </is>
      </c>
      <c r="E6217" t="inlineStr">
        <is>
          <t>OCKELBO</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54085-2022</t>
        </is>
      </c>
      <c r="B6218" s="1" t="n">
        <v>44881</v>
      </c>
      <c r="C6218" s="1" t="n">
        <v>45357</v>
      </c>
      <c r="D6218" t="inlineStr">
        <is>
          <t>GÄVLEBORGS LÄN</t>
        </is>
      </c>
      <c r="E6218" t="inlineStr">
        <is>
          <t>HUDIKSVALL</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54097-2022</t>
        </is>
      </c>
      <c r="B6219" s="1" t="n">
        <v>44881</v>
      </c>
      <c r="C6219" s="1" t="n">
        <v>45357</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54128-2022</t>
        </is>
      </c>
      <c r="B6220" s="1" t="n">
        <v>44881</v>
      </c>
      <c r="C6220" s="1" t="n">
        <v>45357</v>
      </c>
      <c r="D6220" t="inlineStr">
        <is>
          <t>GÄVLEBORGS LÄN</t>
        </is>
      </c>
      <c r="E6220" t="inlineStr">
        <is>
          <t>OVANÅKER</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54152-2022</t>
        </is>
      </c>
      <c r="B6221" s="1" t="n">
        <v>44881</v>
      </c>
      <c r="C6221" s="1" t="n">
        <v>45357</v>
      </c>
      <c r="D6221" t="inlineStr">
        <is>
          <t>GÄVLEBORGS LÄN</t>
        </is>
      </c>
      <c r="E6221" t="inlineStr">
        <is>
          <t>OCKELBO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54156-2022</t>
        </is>
      </c>
      <c r="B6222" s="1" t="n">
        <v>44881</v>
      </c>
      <c r="C6222" s="1" t="n">
        <v>45357</v>
      </c>
      <c r="D6222" t="inlineStr">
        <is>
          <t>GÄVLEBORGS LÄN</t>
        </is>
      </c>
      <c r="E6222" t="inlineStr">
        <is>
          <t>SÖDERHAMN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54192-2022</t>
        </is>
      </c>
      <c r="B6223" s="1" t="n">
        <v>44881</v>
      </c>
      <c r="C6223" s="1" t="n">
        <v>45357</v>
      </c>
      <c r="D6223" t="inlineStr">
        <is>
          <t>GÄVLEBORGS LÄN</t>
        </is>
      </c>
      <c r="E6223" t="inlineStr">
        <is>
          <t>HOFORS</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54092-2022</t>
        </is>
      </c>
      <c r="B6224" s="1" t="n">
        <v>44881</v>
      </c>
      <c r="C6224" s="1" t="n">
        <v>45357</v>
      </c>
      <c r="D6224" t="inlineStr">
        <is>
          <t>GÄVLEBORGS LÄN</t>
        </is>
      </c>
      <c r="E6224" t="inlineStr">
        <is>
          <t>GÄVLE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54131-2022</t>
        </is>
      </c>
      <c r="B6225" s="1" t="n">
        <v>44881</v>
      </c>
      <c r="C6225" s="1" t="n">
        <v>45357</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54191-2022</t>
        </is>
      </c>
      <c r="B6226" s="1" t="n">
        <v>44881</v>
      </c>
      <c r="C6226" s="1" t="n">
        <v>45357</v>
      </c>
      <c r="D6226" t="inlineStr">
        <is>
          <t>GÄVLEBORGS LÄN</t>
        </is>
      </c>
      <c r="E6226" t="inlineStr">
        <is>
          <t>HOFORS</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54390-2022</t>
        </is>
      </c>
      <c r="B6227" s="1" t="n">
        <v>44882</v>
      </c>
      <c r="C6227" s="1" t="n">
        <v>45357</v>
      </c>
      <c r="D6227" t="inlineStr">
        <is>
          <t>GÄVLEBORGS LÄN</t>
        </is>
      </c>
      <c r="E6227" t="inlineStr">
        <is>
          <t>GÄVLE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54546-2022</t>
        </is>
      </c>
      <c r="B6228" s="1" t="n">
        <v>44882</v>
      </c>
      <c r="C6228" s="1" t="n">
        <v>45357</v>
      </c>
      <c r="D6228" t="inlineStr">
        <is>
          <t>GÄVLEBORGS LÄN</t>
        </is>
      </c>
      <c r="E6228" t="inlineStr">
        <is>
          <t>BOLLNÄS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54272-2022</t>
        </is>
      </c>
      <c r="B6229" s="1" t="n">
        <v>44882</v>
      </c>
      <c r="C6229" s="1" t="n">
        <v>45357</v>
      </c>
      <c r="D6229" t="inlineStr">
        <is>
          <t>GÄVLEBORGS LÄN</t>
        </is>
      </c>
      <c r="E6229" t="inlineStr">
        <is>
          <t>HUDIKSVALL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54393-2022</t>
        </is>
      </c>
      <c r="B6230" s="1" t="n">
        <v>44882</v>
      </c>
      <c r="C6230" s="1" t="n">
        <v>45357</v>
      </c>
      <c r="D6230" t="inlineStr">
        <is>
          <t>GÄVLEBORGS LÄN</t>
        </is>
      </c>
      <c r="E6230" t="inlineStr">
        <is>
          <t>GÄVLE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54382-2022</t>
        </is>
      </c>
      <c r="B6231" s="1" t="n">
        <v>44882</v>
      </c>
      <c r="C6231" s="1" t="n">
        <v>45357</v>
      </c>
      <c r="D6231" t="inlineStr">
        <is>
          <t>GÄVLEBORGS LÄN</t>
        </is>
      </c>
      <c r="E6231" t="inlineStr">
        <is>
          <t>GÄVLE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54388-2022</t>
        </is>
      </c>
      <c r="B6232" s="1" t="n">
        <v>44882</v>
      </c>
      <c r="C6232" s="1" t="n">
        <v>45357</v>
      </c>
      <c r="D6232" t="inlineStr">
        <is>
          <t>GÄVLEBORGS LÄN</t>
        </is>
      </c>
      <c r="E6232" t="inlineStr">
        <is>
          <t>GÄVLE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54398-2022</t>
        </is>
      </c>
      <c r="B6233" s="1" t="n">
        <v>44882</v>
      </c>
      <c r="C6233" s="1" t="n">
        <v>45357</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54545-2022</t>
        </is>
      </c>
      <c r="B6234" s="1" t="n">
        <v>44882</v>
      </c>
      <c r="C6234" s="1" t="n">
        <v>45357</v>
      </c>
      <c r="D6234" t="inlineStr">
        <is>
          <t>GÄVLEBORGS LÄN</t>
        </is>
      </c>
      <c r="E6234" t="inlineStr">
        <is>
          <t>SANDVIKEN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54349-2022</t>
        </is>
      </c>
      <c r="B6235" s="1" t="n">
        <v>44882</v>
      </c>
      <c r="C6235" s="1" t="n">
        <v>45357</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54387-2022</t>
        </is>
      </c>
      <c r="B6236" s="1" t="n">
        <v>44882</v>
      </c>
      <c r="C6236" s="1" t="n">
        <v>45357</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54543-2022</t>
        </is>
      </c>
      <c r="B6237" s="1" t="n">
        <v>44882</v>
      </c>
      <c r="C6237" s="1" t="n">
        <v>45357</v>
      </c>
      <c r="D6237" t="inlineStr">
        <is>
          <t>GÄVLEBORGS LÄN</t>
        </is>
      </c>
      <c r="E6237" t="inlineStr">
        <is>
          <t>BOLLNÄS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54683-2022</t>
        </is>
      </c>
      <c r="B6238" s="1" t="n">
        <v>44883</v>
      </c>
      <c r="C6238" s="1" t="n">
        <v>45357</v>
      </c>
      <c r="D6238" t="inlineStr">
        <is>
          <t>GÄVLEBORGS LÄN</t>
        </is>
      </c>
      <c r="E6238" t="inlineStr">
        <is>
          <t>OVANÅKER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54704-2022</t>
        </is>
      </c>
      <c r="B6239" s="1" t="n">
        <v>44883</v>
      </c>
      <c r="C6239" s="1" t="n">
        <v>45357</v>
      </c>
      <c r="D6239" t="inlineStr">
        <is>
          <t>GÄVLEBORGS LÄN</t>
        </is>
      </c>
      <c r="E6239" t="inlineStr">
        <is>
          <t>BOLLNÄS</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54708-2022</t>
        </is>
      </c>
      <c r="B6240" s="1" t="n">
        <v>44883</v>
      </c>
      <c r="C6240" s="1" t="n">
        <v>45357</v>
      </c>
      <c r="D6240" t="inlineStr">
        <is>
          <t>GÄVLEBORGS LÄN</t>
        </is>
      </c>
      <c r="E6240" t="inlineStr">
        <is>
          <t>BOLLNÄS</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54713-2022</t>
        </is>
      </c>
      <c r="B6241" s="1" t="n">
        <v>44883</v>
      </c>
      <c r="C6241" s="1" t="n">
        <v>45357</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54731-2022</t>
        </is>
      </c>
      <c r="B6242" s="1" t="n">
        <v>44883</v>
      </c>
      <c r="C6242" s="1" t="n">
        <v>45357</v>
      </c>
      <c r="D6242" t="inlineStr">
        <is>
          <t>GÄVLEBORGS LÄN</t>
        </is>
      </c>
      <c r="E6242" t="inlineStr">
        <is>
          <t>OVANÅKER</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54772-2022</t>
        </is>
      </c>
      <c r="B6243" s="1" t="n">
        <v>44883</v>
      </c>
      <c r="C6243" s="1" t="n">
        <v>45357</v>
      </c>
      <c r="D6243" t="inlineStr">
        <is>
          <t>GÄVLEBORGS LÄN</t>
        </is>
      </c>
      <c r="E6243" t="inlineStr">
        <is>
          <t>BOLLNÄS</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54817-2022</t>
        </is>
      </c>
      <c r="B6244" s="1" t="n">
        <v>44883</v>
      </c>
      <c r="C6244" s="1" t="n">
        <v>45357</v>
      </c>
      <c r="D6244" t="inlineStr">
        <is>
          <t>GÄVLEBORGS LÄN</t>
        </is>
      </c>
      <c r="E6244" t="inlineStr">
        <is>
          <t>OCKELBO</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54616-2022</t>
        </is>
      </c>
      <c r="B6245" s="1" t="n">
        <v>44883</v>
      </c>
      <c r="C6245" s="1" t="n">
        <v>45357</v>
      </c>
      <c r="D6245" t="inlineStr">
        <is>
          <t>GÄVLEBORGS LÄN</t>
        </is>
      </c>
      <c r="E6245" t="inlineStr">
        <is>
          <t>HOFORS</t>
        </is>
      </c>
      <c r="F6245" t="inlineStr">
        <is>
          <t>Kyrkan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54850-2022</t>
        </is>
      </c>
      <c r="B6246" s="1" t="n">
        <v>44883</v>
      </c>
      <c r="C6246" s="1" t="n">
        <v>45357</v>
      </c>
      <c r="D6246" t="inlineStr">
        <is>
          <t>GÄVLEBORGS LÄN</t>
        </is>
      </c>
      <c r="E6246" t="inlineStr">
        <is>
          <t>BOLLNÄS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54654-2022</t>
        </is>
      </c>
      <c r="B6247" s="1" t="n">
        <v>44883</v>
      </c>
      <c r="C6247" s="1" t="n">
        <v>45357</v>
      </c>
      <c r="D6247" t="inlineStr">
        <is>
          <t>GÄVLEBORGS LÄN</t>
        </is>
      </c>
      <c r="E6247" t="inlineStr">
        <is>
          <t>OVANÅKER</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54660-2022</t>
        </is>
      </c>
      <c r="B6248" s="1" t="n">
        <v>44883</v>
      </c>
      <c r="C6248" s="1" t="n">
        <v>45357</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54706-2022</t>
        </is>
      </c>
      <c r="B6249" s="1" t="n">
        <v>44883</v>
      </c>
      <c r="C6249" s="1" t="n">
        <v>45357</v>
      </c>
      <c r="D6249" t="inlineStr">
        <is>
          <t>GÄVLEBORGS LÄN</t>
        </is>
      </c>
      <c r="E6249" t="inlineStr">
        <is>
          <t>HUDIKSVALL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54716-2022</t>
        </is>
      </c>
      <c r="B6250" s="1" t="n">
        <v>44883</v>
      </c>
      <c r="C6250" s="1" t="n">
        <v>45357</v>
      </c>
      <c r="D6250" t="inlineStr">
        <is>
          <t>GÄVLEBORGS LÄN</t>
        </is>
      </c>
      <c r="E6250" t="inlineStr">
        <is>
          <t>BOLLNÄS</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54799-2022</t>
        </is>
      </c>
      <c r="B6251" s="1" t="n">
        <v>44883</v>
      </c>
      <c r="C6251" s="1" t="n">
        <v>45357</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54852-2022</t>
        </is>
      </c>
      <c r="B6252" s="1" t="n">
        <v>44884</v>
      </c>
      <c r="C6252" s="1" t="n">
        <v>45357</v>
      </c>
      <c r="D6252" t="inlineStr">
        <is>
          <t>GÄVLEBORGS LÄN</t>
        </is>
      </c>
      <c r="E6252" t="inlineStr">
        <is>
          <t>BOLLNÄS</t>
        </is>
      </c>
      <c r="F6252" t="inlineStr">
        <is>
          <t>Bergvik skog väst AB</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54853-2022</t>
        </is>
      </c>
      <c r="B6253" s="1" t="n">
        <v>44884</v>
      </c>
      <c r="C6253" s="1" t="n">
        <v>45357</v>
      </c>
      <c r="D6253" t="inlineStr">
        <is>
          <t>GÄVLEBORGS LÄN</t>
        </is>
      </c>
      <c r="E6253" t="inlineStr">
        <is>
          <t>BOLLNÄS</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62766-2022</t>
        </is>
      </c>
      <c r="B6254" s="1" t="n">
        <v>44885</v>
      </c>
      <c r="C6254" s="1" t="n">
        <v>45357</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54897-2022</t>
        </is>
      </c>
      <c r="B6255" s="1" t="n">
        <v>44886</v>
      </c>
      <c r="C6255" s="1" t="n">
        <v>45357</v>
      </c>
      <c r="D6255" t="inlineStr">
        <is>
          <t>GÄVLEBORGS LÄN</t>
        </is>
      </c>
      <c r="E6255" t="inlineStr">
        <is>
          <t>BOLLNÄS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54907-2022</t>
        </is>
      </c>
      <c r="B6256" s="1" t="n">
        <v>44886</v>
      </c>
      <c r="C6256" s="1" t="n">
        <v>45357</v>
      </c>
      <c r="D6256" t="inlineStr">
        <is>
          <t>GÄVLEBORGS LÄN</t>
        </is>
      </c>
      <c r="E6256" t="inlineStr">
        <is>
          <t>OVANÅKER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54887-2022</t>
        </is>
      </c>
      <c r="B6257" s="1" t="n">
        <v>44886</v>
      </c>
      <c r="C6257" s="1" t="n">
        <v>45357</v>
      </c>
      <c r="D6257" t="inlineStr">
        <is>
          <t>GÄVLEBORGS LÄN</t>
        </is>
      </c>
      <c r="E6257" t="inlineStr">
        <is>
          <t>NORDANSTIG</t>
        </is>
      </c>
      <c r="F6257" t="inlineStr">
        <is>
          <t>Holmen skog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54949-2022</t>
        </is>
      </c>
      <c r="B6258" s="1" t="n">
        <v>44886</v>
      </c>
      <c r="C6258" s="1" t="n">
        <v>45357</v>
      </c>
      <c r="D6258" t="inlineStr">
        <is>
          <t>GÄVLEBORGS LÄN</t>
        </is>
      </c>
      <c r="E6258" t="inlineStr">
        <is>
          <t>BOLLNÄS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54974-2022</t>
        </is>
      </c>
      <c r="B6259" s="1" t="n">
        <v>44886</v>
      </c>
      <c r="C6259" s="1" t="n">
        <v>45357</v>
      </c>
      <c r="D6259" t="inlineStr">
        <is>
          <t>GÄVLEBORGS LÄN</t>
        </is>
      </c>
      <c r="E6259" t="inlineStr">
        <is>
          <t>BOLLNÄS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54970-2022</t>
        </is>
      </c>
      <c r="B6260" s="1" t="n">
        <v>44886</v>
      </c>
      <c r="C6260" s="1" t="n">
        <v>45357</v>
      </c>
      <c r="D6260" t="inlineStr">
        <is>
          <t>GÄVLEBORGS LÄN</t>
        </is>
      </c>
      <c r="E6260" t="inlineStr">
        <is>
          <t>NORDANSTIG</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54985-2022</t>
        </is>
      </c>
      <c r="B6261" s="1" t="n">
        <v>44886</v>
      </c>
      <c r="C6261" s="1" t="n">
        <v>45357</v>
      </c>
      <c r="D6261" t="inlineStr">
        <is>
          <t>GÄVLEBORGS LÄN</t>
        </is>
      </c>
      <c r="E6261" t="inlineStr">
        <is>
          <t>BOLLNÄS</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55027-2022</t>
        </is>
      </c>
      <c r="B6262" s="1" t="n">
        <v>44886</v>
      </c>
      <c r="C6262" s="1" t="n">
        <v>45357</v>
      </c>
      <c r="D6262" t="inlineStr">
        <is>
          <t>GÄVLEBORGS LÄN</t>
        </is>
      </c>
      <c r="E6262" t="inlineStr">
        <is>
          <t>SANDVIKEN</t>
        </is>
      </c>
      <c r="F6262" t="inlineStr">
        <is>
          <t>Kommuner</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55044-2022</t>
        </is>
      </c>
      <c r="B6263" s="1" t="n">
        <v>44886</v>
      </c>
      <c r="C6263" s="1" t="n">
        <v>45357</v>
      </c>
      <c r="D6263" t="inlineStr">
        <is>
          <t>GÄVLEBORGS LÄN</t>
        </is>
      </c>
      <c r="E6263" t="inlineStr">
        <is>
          <t>SANDVIKEN</t>
        </is>
      </c>
      <c r="F6263" t="inlineStr">
        <is>
          <t>Kommuner</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55048-2022</t>
        </is>
      </c>
      <c r="B6264" s="1" t="n">
        <v>44886</v>
      </c>
      <c r="C6264" s="1" t="n">
        <v>45357</v>
      </c>
      <c r="D6264" t="inlineStr">
        <is>
          <t>GÄVLEBORGS LÄN</t>
        </is>
      </c>
      <c r="E6264" t="inlineStr">
        <is>
          <t>BOLLNÄS</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54908-2022</t>
        </is>
      </c>
      <c r="B6265" s="1" t="n">
        <v>44886</v>
      </c>
      <c r="C6265" s="1" t="n">
        <v>45357</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54886-2022</t>
        </is>
      </c>
      <c r="B6266" s="1" t="n">
        <v>44886</v>
      </c>
      <c r="C6266" s="1" t="n">
        <v>45357</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54946-2022</t>
        </is>
      </c>
      <c r="B6267" s="1" t="n">
        <v>44886</v>
      </c>
      <c r="C6267" s="1" t="n">
        <v>45357</v>
      </c>
      <c r="D6267" t="inlineStr">
        <is>
          <t>GÄVLEBORGS LÄN</t>
        </is>
      </c>
      <c r="E6267" t="inlineStr">
        <is>
          <t>BOLLNÄS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54995-2022</t>
        </is>
      </c>
      <c r="B6268" s="1" t="n">
        <v>44886</v>
      </c>
      <c r="C6268" s="1" t="n">
        <v>45357</v>
      </c>
      <c r="D6268" t="inlineStr">
        <is>
          <t>GÄVLEBORGS LÄN</t>
        </is>
      </c>
      <c r="E6268" t="inlineStr">
        <is>
          <t>SÖDERHAMN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55026-2022</t>
        </is>
      </c>
      <c r="B6269" s="1" t="n">
        <v>44886</v>
      </c>
      <c r="C6269" s="1" t="n">
        <v>45357</v>
      </c>
      <c r="D6269" t="inlineStr">
        <is>
          <t>GÄVLEBORGS LÄN</t>
        </is>
      </c>
      <c r="E6269" t="inlineStr">
        <is>
          <t>NORDANSTIG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55118-2022</t>
        </is>
      </c>
      <c r="B6270" s="1" t="n">
        <v>44886</v>
      </c>
      <c r="C6270" s="1" t="n">
        <v>45357</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55148-2022</t>
        </is>
      </c>
      <c r="B6271" s="1" t="n">
        <v>44886</v>
      </c>
      <c r="C6271" s="1" t="n">
        <v>45357</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55189-2022</t>
        </is>
      </c>
      <c r="B6272" s="1" t="n">
        <v>44886</v>
      </c>
      <c r="C6272" s="1" t="n">
        <v>45357</v>
      </c>
      <c r="D6272" t="inlineStr">
        <is>
          <t>GÄVLEBORGS LÄN</t>
        </is>
      </c>
      <c r="E6272" t="inlineStr">
        <is>
          <t>GÄVLE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55205-2022</t>
        </is>
      </c>
      <c r="B6273" s="1" t="n">
        <v>44886</v>
      </c>
      <c r="C6273" s="1" t="n">
        <v>45357</v>
      </c>
      <c r="D6273" t="inlineStr">
        <is>
          <t>GÄVLEBORGS LÄN</t>
        </is>
      </c>
      <c r="E6273" t="inlineStr">
        <is>
          <t>GÄVLE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55055-2022</t>
        </is>
      </c>
      <c r="B6274" s="1" t="n">
        <v>44886</v>
      </c>
      <c r="C6274" s="1" t="n">
        <v>45357</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55065-2022</t>
        </is>
      </c>
      <c r="B6275" s="1" t="n">
        <v>44886</v>
      </c>
      <c r="C6275" s="1" t="n">
        <v>45357</v>
      </c>
      <c r="D6275" t="inlineStr">
        <is>
          <t>GÄVLEBORGS LÄN</t>
        </is>
      </c>
      <c r="E6275" t="inlineStr">
        <is>
          <t>OVANÅKER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55215-2022</t>
        </is>
      </c>
      <c r="B6276" s="1" t="n">
        <v>44886</v>
      </c>
      <c r="C6276" s="1" t="n">
        <v>45357</v>
      </c>
      <c r="D6276" t="inlineStr">
        <is>
          <t>GÄVLEBORGS LÄN</t>
        </is>
      </c>
      <c r="E6276" t="inlineStr">
        <is>
          <t>LJUSDAL</t>
        </is>
      </c>
      <c r="F6276" t="inlineStr">
        <is>
          <t>SCA</t>
        </is>
      </c>
      <c r="G6276" t="n">
        <v>14.5</v>
      </c>
      <c r="H6276" t="n">
        <v>0</v>
      </c>
      <c r="I6276" t="n">
        <v>0</v>
      </c>
      <c r="J6276" t="n">
        <v>0</v>
      </c>
      <c r="K6276" t="n">
        <v>0</v>
      </c>
      <c r="L6276" t="n">
        <v>0</v>
      </c>
      <c r="M6276" t="n">
        <v>0</v>
      </c>
      <c r="N6276" t="n">
        <v>0</v>
      </c>
      <c r="O6276" t="n">
        <v>0</v>
      </c>
      <c r="P6276" t="n">
        <v>0</v>
      </c>
      <c r="Q6276" t="n">
        <v>0</v>
      </c>
      <c r="R6276" s="2" t="inlineStr"/>
    </row>
    <row r="6277" ht="15" customHeight="1">
      <c r="A6277" t="inlineStr">
        <is>
          <t>A 54945-2022</t>
        </is>
      </c>
      <c r="B6277" s="1" t="n">
        <v>44886</v>
      </c>
      <c r="C6277" s="1" t="n">
        <v>45357</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54994-2022</t>
        </is>
      </c>
      <c r="B6278" s="1" t="n">
        <v>44886</v>
      </c>
      <c r="C6278" s="1" t="n">
        <v>45357</v>
      </c>
      <c r="D6278" t="inlineStr">
        <is>
          <t>GÄVLEBORGS LÄN</t>
        </is>
      </c>
      <c r="E6278" t="inlineStr">
        <is>
          <t>BOLLNÄS</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55025-2022</t>
        </is>
      </c>
      <c r="B6279" s="1" t="n">
        <v>44886</v>
      </c>
      <c r="C6279" s="1" t="n">
        <v>45357</v>
      </c>
      <c r="D6279" t="inlineStr">
        <is>
          <t>GÄVLEBORGS LÄN</t>
        </is>
      </c>
      <c r="E6279" t="inlineStr">
        <is>
          <t>LJUSDAL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55046-2022</t>
        </is>
      </c>
      <c r="B6280" s="1" t="n">
        <v>44886</v>
      </c>
      <c r="C6280" s="1" t="n">
        <v>45357</v>
      </c>
      <c r="D6280" t="inlineStr">
        <is>
          <t>GÄVLEBORGS LÄN</t>
        </is>
      </c>
      <c r="E6280" t="inlineStr">
        <is>
          <t>LJUSDAL</t>
        </is>
      </c>
      <c r="F6280" t="inlineStr">
        <is>
          <t>Bergvik skog väst AB</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55150-2022</t>
        </is>
      </c>
      <c r="B6281" s="1" t="n">
        <v>44886</v>
      </c>
      <c r="C6281" s="1" t="n">
        <v>45357</v>
      </c>
      <c r="D6281" t="inlineStr">
        <is>
          <t>GÄVLEBORGS LÄN</t>
        </is>
      </c>
      <c r="E6281" t="inlineStr">
        <is>
          <t>SANDVIKEN</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55165-2022</t>
        </is>
      </c>
      <c r="B6282" s="1" t="n">
        <v>44886</v>
      </c>
      <c r="C6282" s="1" t="n">
        <v>45357</v>
      </c>
      <c r="D6282" t="inlineStr">
        <is>
          <t>GÄVLEBORGS LÄN</t>
        </is>
      </c>
      <c r="E6282" t="inlineStr">
        <is>
          <t>NORDANSTIG</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55120-2022</t>
        </is>
      </c>
      <c r="B6283" s="1" t="n">
        <v>44886</v>
      </c>
      <c r="C6283" s="1" t="n">
        <v>45357</v>
      </c>
      <c r="D6283" t="inlineStr">
        <is>
          <t>GÄVLEBORGS LÄN</t>
        </is>
      </c>
      <c r="E6283" t="inlineStr">
        <is>
          <t>NORDANSTIG</t>
        </is>
      </c>
      <c r="F6283" t="inlineStr">
        <is>
          <t>Holmen skog AB</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55149-2022</t>
        </is>
      </c>
      <c r="B6284" s="1" t="n">
        <v>44886</v>
      </c>
      <c r="C6284" s="1" t="n">
        <v>45357</v>
      </c>
      <c r="D6284" t="inlineStr">
        <is>
          <t>GÄVLEBORGS LÄN</t>
        </is>
      </c>
      <c r="E6284" t="inlineStr">
        <is>
          <t>NORDANSTIG</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55206-2022</t>
        </is>
      </c>
      <c r="B6285" s="1" t="n">
        <v>44886</v>
      </c>
      <c r="C6285" s="1" t="n">
        <v>45357</v>
      </c>
      <c r="D6285" t="inlineStr">
        <is>
          <t>GÄVLEBORGS LÄN</t>
        </is>
      </c>
      <c r="E6285" t="inlineStr">
        <is>
          <t>NORDANSTIG</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55216-2022</t>
        </is>
      </c>
      <c r="B6286" s="1" t="n">
        <v>44886</v>
      </c>
      <c r="C6286" s="1" t="n">
        <v>45357</v>
      </c>
      <c r="D6286" t="inlineStr">
        <is>
          <t>GÄVLEBORGS LÄN</t>
        </is>
      </c>
      <c r="E6286" t="inlineStr">
        <is>
          <t>LJUSDAL</t>
        </is>
      </c>
      <c r="F6286" t="inlineStr">
        <is>
          <t>SCA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56137-2022</t>
        </is>
      </c>
      <c r="B6287" s="1" t="n">
        <v>44886</v>
      </c>
      <c r="C6287" s="1" t="n">
        <v>45357</v>
      </c>
      <c r="D6287" t="inlineStr">
        <is>
          <t>GÄVLEBORGS LÄN</t>
        </is>
      </c>
      <c r="E6287" t="inlineStr">
        <is>
          <t>SANDVIKEN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55386-2022</t>
        </is>
      </c>
      <c r="B6288" s="1" t="n">
        <v>44887</v>
      </c>
      <c r="C6288" s="1" t="n">
        <v>45357</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55407-2022</t>
        </is>
      </c>
      <c r="B6289" s="1" t="n">
        <v>44887</v>
      </c>
      <c r="C6289" s="1" t="n">
        <v>45357</v>
      </c>
      <c r="D6289" t="inlineStr">
        <is>
          <t>GÄVLEBORGS LÄN</t>
        </is>
      </c>
      <c r="E6289" t="inlineStr">
        <is>
          <t>SANDVIKEN</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55253-2022</t>
        </is>
      </c>
      <c r="B6290" s="1" t="n">
        <v>44887</v>
      </c>
      <c r="C6290" s="1" t="n">
        <v>45357</v>
      </c>
      <c r="D6290" t="inlineStr">
        <is>
          <t>GÄVLEBORGS LÄN</t>
        </is>
      </c>
      <c r="E6290" t="inlineStr">
        <is>
          <t>HUDIKSVALL</t>
        </is>
      </c>
      <c r="F6290" t="inlineStr">
        <is>
          <t>Holmen skog AB</t>
        </is>
      </c>
      <c r="G6290" t="n">
        <v>5.1</v>
      </c>
      <c r="H6290" t="n">
        <v>0</v>
      </c>
      <c r="I6290" t="n">
        <v>0</v>
      </c>
      <c r="J6290" t="n">
        <v>0</v>
      </c>
      <c r="K6290" t="n">
        <v>0</v>
      </c>
      <c r="L6290" t="n">
        <v>0</v>
      </c>
      <c r="M6290" t="n">
        <v>0</v>
      </c>
      <c r="N6290" t="n">
        <v>0</v>
      </c>
      <c r="O6290" t="n">
        <v>0</v>
      </c>
      <c r="P6290" t="n">
        <v>0</v>
      </c>
      <c r="Q6290" t="n">
        <v>0</v>
      </c>
      <c r="R6290" s="2" t="inlineStr"/>
      <c r="U6290">
        <f>HYPERLINK("https://klasma.github.io/Logging_2184/knärot/A 55253-2022 karta knärot.png", "A 55253-2022")</f>
        <v/>
      </c>
      <c r="V6290">
        <f>HYPERLINK("https://klasma.github.io/Logging_2184/klagomål/A 55253-2022 FSC-klagomål.docx", "A 55253-2022")</f>
        <v/>
      </c>
      <c r="W6290">
        <f>HYPERLINK("https://klasma.github.io/Logging_2184/klagomålsmail/A 55253-2022 FSC-klagomål mail.docx", "A 55253-2022")</f>
        <v/>
      </c>
      <c r="X6290">
        <f>HYPERLINK("https://klasma.github.io/Logging_2184/tillsyn/A 55253-2022 tillsynsbegäran.docx", "A 55253-2022")</f>
        <v/>
      </c>
      <c r="Y6290">
        <f>HYPERLINK("https://klasma.github.io/Logging_2184/tillsynsmail/A 55253-2022 tillsynsbegäran mail.docx", "A 55253-2022")</f>
        <v/>
      </c>
    </row>
    <row r="6291" ht="15" customHeight="1">
      <c r="A6291" t="inlineStr">
        <is>
          <t>A 55422-2022</t>
        </is>
      </c>
      <c r="B6291" s="1" t="n">
        <v>44887</v>
      </c>
      <c r="C6291" s="1" t="n">
        <v>45357</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45357</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45357</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45357</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45357</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45357</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45357</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45357</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45357</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45357</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45357</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45357</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45357</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45357</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45357</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45357</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45357</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45357</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45357</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45357</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45357</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45357</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45357</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45357</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45357</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45357</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45357</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45357</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45357</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45357</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45357</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45357</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45357</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45357</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45357</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45357</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45357</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45357</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45357</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45357</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45357</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45357</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45357</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45357</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45357</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45357</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45357</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45357</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45357</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45357</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45357</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45357</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45357</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45357</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45357</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45357</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45357</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45357</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45357</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45357</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45357</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45357</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45357</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45357</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45357</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45357</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45357</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45357</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45357</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45357</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45357</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45357</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45357</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45357</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45357</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45357</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45357</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45357</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45357</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45357</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45357</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45357</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45357</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45357</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45357</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45357</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45357</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45357</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45357</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45357</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45357</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45357</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45357</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45357</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45357</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45357</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45357</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45357</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45357</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45357</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45357</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45357</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45357</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45357</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45357</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45357</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45357</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45357</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45357</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45357</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45357</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45357</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45357</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45357</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45357</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45357</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45357</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45357</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45357</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45357</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45357</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45357</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45357</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45357</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45357</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45357</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45357</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45357</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45357</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45357</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45357</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45357</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45357</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45357</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45357</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45357</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45357</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45357</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45357</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45357</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45357</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45357</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45357</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45357</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45357</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45357</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45357</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45357</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45357</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45357</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45357</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45357</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45357</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45357</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45357</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45357</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45357</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45357</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45357</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45357</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45357</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45357</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45357</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45357</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45357</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45357</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45357</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45357</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45357</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45357</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45357</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45357</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45357</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45357</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45357</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45357</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45357</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45357</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45357</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45357</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45357</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45357</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45357</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45357</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45357</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45357</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45357</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45357</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45357</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45357</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45357</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45357</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45357</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45357</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45357</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45357</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45357</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45357</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45357</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45357</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45357</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45357</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45357</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45357</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45357</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45357</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45357</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45357</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45357</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45357</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45357</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45357</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45357</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45357</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45357</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45357</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45357</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45357</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45357</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45357</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45357</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45357</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45357</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45357</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45357</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45357</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45357</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45357</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45357</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45357</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45357</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45357</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45357</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45357</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45357</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45357</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45357</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45357</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45357</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45357</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45357</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45357</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45357</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45357</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45357</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45357</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45357</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45357</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45357</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45357</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45357</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45357</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45357</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45357</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45357</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45357</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45357</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45357</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45357</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45357</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45357</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45357</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45357</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45357</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45357</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45357</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45357</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45357</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45357</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45357</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45357</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45357</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45357</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45357</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45357</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45357</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45357</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45357</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45357</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45357</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45357</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45357</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45357</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45357</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45357</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45357</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45357</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45357</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45357</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45357</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45357</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45357</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45357</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45357</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45357</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45357</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45357</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45357</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45357</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45357</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45357</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45357</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45357</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45357</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45357</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45357</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45357</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45357</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45357</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45357</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45357</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45357</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45357</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45357</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45357</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45357</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45357</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45357</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45357</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45357</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45357</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45357</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45357</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45357</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45357</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45357</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45357</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45357</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45357</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45357</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45357</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45357</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45357</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45357</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45357</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45357</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45357</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45357</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45357</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45357</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45357</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45357</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45357</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45357</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45357</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45357</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45357</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45357</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45357</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45357</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45357</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45357</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45357</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45357</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45357</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45357</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45357</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45357</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45357</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45357</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45357</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45357</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45357</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45357</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45357</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45357</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45357</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45357</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45357</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45357</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45357</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45357</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45357</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45357</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45357</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45357</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45357</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45357</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45357</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45357</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45357</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45357</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45357</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45357</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45357</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45357</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45357</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45357</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45357</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45357</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45357</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45357</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45357</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45357</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45357</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45357</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45357</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45357</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45357</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45357</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45357</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45357</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45357</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45357</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45357</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45357</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45357</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45357</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45357</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45357</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45357</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45357</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45357</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45357</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45357</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45357</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45357</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45357</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45357</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45357</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45357</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45357</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45357</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45357</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45357</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45357</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45357</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45357</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45357</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45357</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45357</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45357</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45357</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45357</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45357</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45357</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45357</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45357</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45357</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45357</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45357</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45357</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45357</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45357</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45357</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45357</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45357</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45357</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45357</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45357</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45357</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45357</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45357</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45357</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45357</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45357</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45357</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45357</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45357</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45357</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45357</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45357</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45357</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45357</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45357</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45357</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45357</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45357</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45357</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45357</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45357</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45357</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45357</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45357</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45357</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45357</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45357</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45357</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45357</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45357</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45357</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45357</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45357</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45357</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45357</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45357</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45357</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45357</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45357</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45357</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45357</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45357</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45357</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45357</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45357</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45357</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45357</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45357</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45357</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45357</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45357</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45357</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45357</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45357</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45357</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45357</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45357</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45357</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45357</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45357</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45357</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45357</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45357</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45357</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45357</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45357</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45357</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45357</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45357</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45357</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45357</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45357</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45357</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45357</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45357</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45357</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45357</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45357</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45357</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45357</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45357</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45357</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45357</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45357</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45357</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45357</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45357</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45357</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45357</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45357</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45357</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45357</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45357</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45357</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45357</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45357</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45357</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45357</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45357</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45357</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45357</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45357</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45357</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45357</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45357</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45357</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45357</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45357</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45357</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45357</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45357</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45357</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45357</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45357</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45357</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45357</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45357</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45357</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45357</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45357</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45357</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45357</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45357</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45357</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45357</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45357</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45357</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45357</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45357</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45357</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45357</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45357</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45357</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45357</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45357</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45357</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45357</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45357</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45357</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45357</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45357</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45357</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45357</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45357</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45357</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45357</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45357</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45357</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45357</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45357</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45357</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45357</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45357</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45357</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45357</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45357</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45357</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45357</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45357</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45357</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45357</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45357</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45357</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45357</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45357</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45357</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45357</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45357</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45357</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45357</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45357</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45357</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45357</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45357</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45357</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45357</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45357</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45357</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45357</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45357</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45357</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45357</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45357</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45357</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45357</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45357</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45357</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45357</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45357</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45357</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45357</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45357</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45357</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45357</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45357</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45357</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45357</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45357</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45357</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45357</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45357</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45357</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45357</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45357</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45357</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45357</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45357</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45357</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45357</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45357</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45357</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45357</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45357</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45357</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45357</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45357</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45357</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45357</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45357</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45357</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45357</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45357</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45357</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45357</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45357</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45357</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45357</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45357</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45357</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45357</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45357</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45357</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45357</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45357</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45357</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45357</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45357</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45357</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45357</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45357</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45357</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45357</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45357</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45357</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45357</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45357</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45357</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45357</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45357</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45357</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45357</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45357</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45357</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45357</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45357</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45357</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45357</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45357</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45357</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45357</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45357</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45357</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45357</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45357</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45357</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45357</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45357</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45357</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45357</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45357</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45357</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45357</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45357</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45357</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45357</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45357</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45357</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45357</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45357</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45357</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45357</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45357</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45357</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45357</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45357</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45357</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45357</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45357</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45357</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45357</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45357</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45357</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45357</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45357</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45357</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45357</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45357</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45357</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45357</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45357</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45357</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45357</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45357</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45357</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45357</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45357</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45357</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45357</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45357</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45357</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45357</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45357</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45357</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45357</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45357</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45357</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45357</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45357</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45357</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45357</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45357</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45357</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45357</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45357</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45357</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45357</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45357</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45357</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45357</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45357</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45357</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45357</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45357</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45357</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45357</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45357</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45357</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45357</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45357</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45357</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45357</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45357</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45357</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45357</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45357</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45357</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45357</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45357</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45357</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45357</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45357</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45357</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45357</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45357</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45357</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45357</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45357</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45357</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45357</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45357</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45357</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45357</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45357</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45357</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45357</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45357</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45357</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45357</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45357</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45357</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45357</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45357</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45357</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45357</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45357</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45357</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45357</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45357</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45357</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45357</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45357</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45357</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45357</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45357</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45357</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45357</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45357</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45357</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45357</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45357</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45357</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45357</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45357</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45357</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45357</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45357</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45357</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45357</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45357</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45357</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45357</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45357</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45357</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45357</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45357</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45357</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45357</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45357</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45357</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45357</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45357</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45357</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45357</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45357</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45357</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45357</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45357</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45357</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45357</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45357</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45357</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45357</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45357</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45357</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45357</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45357</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45357</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45357</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45357</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45357</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45357</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45357</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45357</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45357</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45357</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45357</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45357</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45357</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45357</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45357</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45357</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45357</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45357</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45357</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45357</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45357</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45357</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45357</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45357</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45357</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45357</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45357</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45357</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45357</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45357</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45357</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45357</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45357</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45357</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45357</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45357</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45357</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45357</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45357</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45357</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45357</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45357</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45357</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45357</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45357</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45357</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45357</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45357</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45357</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45357</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45357</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45357</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45357</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45357</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45357</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45357</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45357</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45357</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45357</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45357</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45357</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45357</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45357</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45357</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45357</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45357</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45357</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45357</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45357</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45357</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45357</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45357</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45357</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45357</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45357</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45357</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45357</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45357</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45357</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45357</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45357</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45357</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45357</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45357</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45357</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45357</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45357</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45357</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45357</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45357</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45357</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45357</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45357</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45357</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45357</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45357</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45357</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45357</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45357</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45357</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45357</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45357</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45357</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45357</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45357</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45357</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45357</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45357</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45357</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45357</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45357</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45357</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45357</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45357</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45357</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45357</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45357</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45357</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45357</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45357</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45357</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45357</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45357</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45357</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45357</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45357</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45357</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45357</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45357</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45357</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45357</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45357</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45357</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45357</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45357</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45357</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45357</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45357</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45357</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45357</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45357</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45357</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45357</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45357</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45357</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45357</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45357</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45357</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45357</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45357</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45357</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45357</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45357</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45357</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45357</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45357</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45357</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45357</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45357</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45357</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45357</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45357</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45357</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45357</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45357</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45357</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45357</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45357</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45357</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45357</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45357</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45357</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45357</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45357</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45357</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45357</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45357</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45357</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45357</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45357</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45357</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45357</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45357</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45357</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45357</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45357</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45357</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45357</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45357</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45357</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45357</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45357</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45357</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45357</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45357</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45357</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45357</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45357</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45357</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45357</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45357</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45357</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45357</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45357</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45357</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45357</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45357</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45357</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45357</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45357</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45357</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45357</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45357</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45357</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45357</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45357</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45357</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45357</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45357</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45357</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45357</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45357</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45357</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45357</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45357</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45357</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45357</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45357</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45357</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45357</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45357</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45357</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45357</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45357</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45357</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45357</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45357</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45357</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45357</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45357</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45357</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45357</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45357</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45357</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45357</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45357</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45357</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45357</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45357</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45357</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45357</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45357</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45357</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45357</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45357</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45357</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45357</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45357</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45357</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45357</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45357</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45357</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45357</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45357</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45357</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45357</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45357</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45357</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45357</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45357</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45357</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45357</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45357</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45357</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45357</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45357</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45357</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45357</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45357</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45357</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45357</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45357</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45357</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45357</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45357</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45357</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45357</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45357</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45357</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45357</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45357</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45357</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45357</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45357</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45357</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45357</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45357</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45357</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45357</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45357</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45357</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45357</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45357</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45357</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45357</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45357</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45357</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45357</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45357</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45357</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45357</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45357</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45357</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45357</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45357</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45357</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45357</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45357</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45357</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45357</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45357</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45357</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45357</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45357</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45357</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45357</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45357</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45357</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45357</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45357</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45357</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45357</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45357</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45357</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45357</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45357</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45357</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45357</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45357</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45357</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45357</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45357</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45357</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45357</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45357</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45357</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45357</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45357</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45357</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45357</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45357</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45357</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45357</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45357</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45357</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45357</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45357</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45357</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45357</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45357</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45357</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45357</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45357</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45357</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45357</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45357</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45357</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45357</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45357</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45357</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45357</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45357</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45357</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45357</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45357</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45357</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45357</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45357</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45357</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45357</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45357</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45357</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45357</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45357</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45357</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45357</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45357</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45357</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45357</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45357</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45357</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45357</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45357</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45357</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45357</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45357</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45357</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45357</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45357</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45357</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45357</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45357</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45357</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45357</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45357</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45357</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45357</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45357</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45357</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45357</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45357</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45357</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45357</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45357</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45357</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45357</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45357</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45357</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45357</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45357</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45357</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45357</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45357</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45357</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45357</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45357</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45357</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45357</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45357</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45357</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45357</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45357</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45357</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45357</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45357</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45357</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45357</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45357</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45357</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45357</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45357</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45357</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45357</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45357</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45357</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45357</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45357</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45357</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45357</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45357</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45357</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45357</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45357</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45357</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45357</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45357</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45357</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45357</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45357</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45357</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45357</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45357</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45357</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45357</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45357</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45357</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45357</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45357</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45357</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45357</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45357</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45357</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45357</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45357</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45357</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45357</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45357</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45357</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45357</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45357</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45357</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45357</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45357</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45357</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45357</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45357</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45357</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45357</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45357</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45357</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45357</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45357</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45357</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45357</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45357</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45357</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45357</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45357</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45357</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45357</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45357</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45357</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45357</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45357</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45357</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45357</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45357</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45357</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45357</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45357</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45357</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45357</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45357</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45357</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45357</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45357</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45357</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45357</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45357</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45357</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45357</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45357</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45357</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45357</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45357</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45357</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45357</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45357</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45357</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45357</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45357</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45357</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45357</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45357</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45357</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45357</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45357</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45357</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45357</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45357</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45357</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45357</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45357</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45357</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45357</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45357</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45357</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45357</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45357</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45357</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45357</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45357</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45357</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45357</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45357</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45357</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45357</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45357</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45357</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45357</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45357</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45357</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45357</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45357</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45357</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45357</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45357</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45357</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45357</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45357</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45357</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45357</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45357</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45357</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45357</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45357</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45357</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45357</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45357</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45357</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45357</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45357</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45357</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45357</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45357</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45357</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45357</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45357</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45357</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45357</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45357</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45357</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45357</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45357</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45357</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45357</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45357</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45357</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45357</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45357</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45357</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45357</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45357</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45357</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45357</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45357</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45357</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45357</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45357</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45357</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45357</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45357</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45357</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45357</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45357</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45357</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45357</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45357</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45357</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45357</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45357</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45357</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45357</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45357</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45357</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45357</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45357</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45357</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45357</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45357</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45357</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45357</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45357</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45357</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45357</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45357</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45357</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45357</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45357</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45357</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45357</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45357</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45357</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45357</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45357</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45357</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45357</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45357</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45357</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45357</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45357</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45357</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45357</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45357</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45357</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45357</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45357</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45357</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45357</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45357</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45357</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45357</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45357</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45357</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45357</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45357</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45357</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45357</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45357</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45357</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45357</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45357</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45357</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45357</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45357</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45357</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45357</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45357</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45357</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45357</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45357</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45357</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45357</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45357</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45357</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45357</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45357</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45357</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45357</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45357</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45357</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45357</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45357</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45357</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45357</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45357</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45357</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45357</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45357</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45357</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45357</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45357</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45357</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45357</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45357</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45357</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45357</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45357</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45357</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45357</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45357</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45357</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45357</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45357</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45357</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45357</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45357</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45357</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45357</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45357</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45357</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45357</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45357</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45357</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45357</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45357</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45357</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45357</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45357</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45357</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45357</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45357</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45357</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45357</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45357</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45357</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45357</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45357</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45357</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45357</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45357</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45357</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45357</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45357</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45357</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45357</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45357</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45357</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45357</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45357</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45357</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45357</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45357</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45357</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45357</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45357</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45357</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45357</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45357</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45357</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45357</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45357</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45357</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45357</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45357</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45357</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45357</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45357</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45357</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45357</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45357</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45357</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45357</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45357</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45357</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45357</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45357</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45357</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45357</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45357</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45357</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45357</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45357</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45357</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45357</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45357</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45357</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45357</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45357</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45357</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45357</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45357</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45357</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45357</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45357</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45357</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45357</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45357</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45357</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45357</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45357</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45357</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45357</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45357</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45357</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45357</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45357</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45357</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45357</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45357</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45357</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45357</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45357</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45357</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45357</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45357</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45357</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45357</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45357</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45357</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45357</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45357</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45357</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45357</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45357</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45357</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45357</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45357</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45357</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45357</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45357</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45357</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45357</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45357</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45357</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45357</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45357</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45357</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45357</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45357</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45357</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45357</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45357</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45357</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45357</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45357</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45357</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45357</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45357</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45357</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45357</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45357</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45357</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45357</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45357</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45357</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45357</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45357</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45357</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45357</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45357</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45357</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45357</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45357</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45357</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45357</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45357</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45357</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45357</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45357</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45357</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45357</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45357</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45357</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45357</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45357</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45357</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45357</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45357</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45357</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45357</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45357</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45357</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45357</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45357</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45357</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45357</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45357</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45357</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45357</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45357</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45357</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45357</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45357</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45357</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45357</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45357</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45357</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45357</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45357</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45357</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45357</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45357</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45357</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45357</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45357</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45357</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45357</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45357</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45357</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45357</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45357</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45357</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45357</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45357</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45357</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45357</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45357</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45357</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45357</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45357</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45357</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45357</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45357</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45357</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45357</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45357</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45357</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45357</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45357</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45357</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45357</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45357</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45357</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45357</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45357</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45357</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45357</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45357</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45357</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45357</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45357</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45357</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45357</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45357</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45357</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45357</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45357</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45357</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45357</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45357</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45357</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45357</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45357</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45357</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45357</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45357</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45357</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45357</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45357</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45357</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45357</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45357</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45357</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45357</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45357</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45357</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45357</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45357</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45357</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45357</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45357</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45357</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45357</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45357</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45357</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45357</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45357</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45357</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45357</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45357</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45357</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45357</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45357</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45357</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45357</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45357</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45357</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45357</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45357</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45357</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45357</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45357</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45357</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45357</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45357</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45357</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45357</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45357</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45357</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45357</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45357</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45357</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45357</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45357</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45357</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45357</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45357</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45357</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45357</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45357</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45357</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45357</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45357</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45357</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45357</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45357</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45357</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45357</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45357</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45357</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45357</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45357</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45357</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45357</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45357</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45357</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45357</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45357</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45357</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45357</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45357</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45357</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45357</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45357</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45357</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45357</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45357</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45357</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45357</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45357</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45357</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45357</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45357</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45357</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45357</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45357</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45357</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45357</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45357</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45357</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45357</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45357</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45357</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45357</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45357</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45357</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45357</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45357</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45357</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45357</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45357</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45357</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45357</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45357</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45357</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45357</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45357</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45357</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45357</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45357</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45357</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45357</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45357</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45357</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45357</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45357</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45357</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45357</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45357</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45357</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45357</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45357</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45357</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45357</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45357</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45357</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45357</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45357</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45357</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45357</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45357</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45357</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45357</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45357</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45357</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45357</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45357</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45357</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45357</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45357</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45357</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45357</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45357</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45357</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45357</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45357</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45357</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45357</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45357</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45357</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45357</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45357</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45357</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45357</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45357</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45357</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45357</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45357</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45357</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45357</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45357</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45357</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45357</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45357</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45357</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45357</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45357</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45357</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45357</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45357</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45357</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45357</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45357</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45357</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45357</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45357</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45357</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45357</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45357</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45357</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45357</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45357</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45357</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45357</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45357</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45357</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45357</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45357</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45357</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45357</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45357</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45357</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45357</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45357</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45357</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45357</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45357</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45357</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45357</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45357</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45357</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45357</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45357</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45357</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45357</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45357</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45357</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45357</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45357</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45357</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45357</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45357</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45357</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45357</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45357</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45357</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45357</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45357</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45357</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45357</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45357</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45357</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45357</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45357</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45357</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45357</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45357</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45357</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45357</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45357</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45357</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45357</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45357</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45357</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45357</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45357</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45357</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45357</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45357</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45357</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45357</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45357</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45357</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45357</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45357</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45357</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45357</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45357</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45357</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45357</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45357</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45357</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45357</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45357</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45357</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45357</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45357</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45357</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45357</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45357</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45357</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45357</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45357</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45357</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45357</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45357</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45357</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45357</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45357</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45357</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45357</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45357</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45357</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45357</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45357</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45357</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45357</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45357</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45357</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45357</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45357</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45357</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45357</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45357</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45357</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45357</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45357</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45357</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45357</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45357</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45357</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45357</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45357</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45357</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45357</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45357</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45357</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45357</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45357</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45357</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45357</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45357</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45357</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45357</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45357</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45357</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45357</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45357</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45357</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45357</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45357</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45357</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45357</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45357</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45357</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45357</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45357</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45357</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45357</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45357</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45357</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45357</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45357</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45357</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45357</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45357</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45357</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45357</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45357</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45357</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45357</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45357</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45357</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45357</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45357</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45357</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45357</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45357</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45357</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45357</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45357</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45357</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45357</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45357</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45357</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45357</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45357</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45357</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45357</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45357</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45357</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45357</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45357</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45357</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45357</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45357</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45357</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45357</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45357</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45357</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45357</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45357</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45357</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45357</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45357</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45357</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45357</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45357</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45357</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45357</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45357</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45357</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45357</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45357</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45357</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45357</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45357</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45357</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45357</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45357</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45357</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45357</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45357</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45357</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45357</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45357</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45357</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45357</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45357</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45357</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45357</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45357</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45357</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45357</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45357</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45357</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45357</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45357</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45357</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45357</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45357</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45357</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45357</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45357</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45357</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45357</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45357</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45357</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45357</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45357</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45357</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45357</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45357</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45357</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45357</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45357</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45357</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45357</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45357</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45357</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45357</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45357</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45357</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45357</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45357</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45357</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45357</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45357</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45357</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45357</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45357</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45357</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45357</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45357</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45357</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45357</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45357</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45357</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45357</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45357</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45357</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45357</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45357</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45357</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45357</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45357</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45357</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45357</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45357</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45357</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45357</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45357</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45357</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45357</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45357</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45357</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45357</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45357</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45357</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45357</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45357</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45357</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45357</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45357</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45357</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45357</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45357</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45357</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45357</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45357</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45357</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45357</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45357</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45357</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45357</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45357</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45357</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45357</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45357</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45357</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45357</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45357</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45357</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45357</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45357</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45357</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45357</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45357</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45357</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45357</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45357</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45357</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45357</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45357</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45357</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45357</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45357</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45357</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45357</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45357</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45357</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45357</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45357</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45357</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45357</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45357</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45357</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45357</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45357</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45357</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45357</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45357</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45357</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45357</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45357</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45357</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45357</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45357</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45357</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45357</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45357</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45357</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45357</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45357</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45357</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45357</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45357</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45357</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45357</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45357</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45357</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45357</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45357</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45357</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45357</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45357</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45357</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45357</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45357</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45357</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45357</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45357</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45357</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45357</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45357</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45357</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45357</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45357</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45357</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45357</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45357</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45357</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45357</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45357</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45357</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45357</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45357</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45357</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45357</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45357</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45357</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45357</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45357</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45357</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45357</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45357</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45357</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45357</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45357</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45357</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45357</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45357</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45357</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45357</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45357</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45357</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45357</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45357</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45357</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45357</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45357</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45357</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45357</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45357</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45357</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45357</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45357</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45357</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45357</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45357</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45357</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45357</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45357</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45357</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45357</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45357</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45357</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45357</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45357</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45357</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45357</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45357</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45357</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45357</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45357</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45357</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45357</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45357</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45357</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45357</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45357</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45357</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45357</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45357</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45357</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45357</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45357</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45357</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45357</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45357</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45357</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45357</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45357</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45357</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45357</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45357</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45357</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45357</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45357</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45357</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45357</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45357</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45357</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45357</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45357</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45357</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45357</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45357</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45357</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45357</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45357</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45357</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45357</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45357</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45357</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45357</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45357</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45357</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45357</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45357</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45357</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45357</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45357</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45357</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45357</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45357</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45357</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45357</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45357</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45357</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45357</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45357</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45357</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45357</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45357</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45357</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45357</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45357</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45357</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45357</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45357</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45357</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45357</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45357</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45357</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45357</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45357</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45357</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45357</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45357</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45357</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45357</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45357</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45357</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45357</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45357</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45357</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45357</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45357</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45357</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45357</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45357</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45357</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45357</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45357</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45357</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45357</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45357</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45357</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45357</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45357</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45357</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45357</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45357</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45357</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45357</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45357</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45357</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45357</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45357</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45357</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45357</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45357</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45357</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45357</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45357</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45357</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45357</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45357</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45357</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45357</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45357</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45357</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45357</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45357</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45357</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45357</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45357</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45357</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45357</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45357</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45357</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45357</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45357</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45357</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45357</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45357</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45357</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45357</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45357</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45357</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45357</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45357</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45357</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45357</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45357</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45357</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45357</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45357</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45357</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45357</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45357</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45357</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45357</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45357</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45357</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45357</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45357</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45357</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45357</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45357</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45357</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45357</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45357</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45357</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45357</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45357</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45357</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45357</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45357</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45357</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45357</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45357</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45357</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45357</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45357</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45357</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45357</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45357</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45357</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45357</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45357</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45357</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45357</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45357</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45357</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45357</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45357</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45357</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45357</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45357</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45357</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45357</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45357</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45357</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45357</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45357</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45357</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45357</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45357</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45357</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45357</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45357</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45357</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45357</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45357</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45357</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45357</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45357</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45357</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45357</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45357</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45357</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45357</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45357</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45357</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45357</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45357</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45357</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45357</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45357</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45357</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45357</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45357</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45357</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45357</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45357</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45357</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45357</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45357</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45357</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45357</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45357</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45357</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45357</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45357</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45357</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45357</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45357</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45357</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45357</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45357</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45357</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45357</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45357</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45357</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45357</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45357</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45357</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45357</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45357</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45357</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45357</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45357</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45357</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45357</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45357</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45357</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45357</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45357</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45357</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45357</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45357</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45357</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45357</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45357</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45357</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45357</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45357</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45357</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45357</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45357</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45357</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45357</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45357</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45357</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45357</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45357</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45357</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45357</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45357</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45357</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45357</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45357</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45357</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45357</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45357</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45357</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45357</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45357</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45357</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45357</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45357</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45357</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45357</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45357</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45357</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45357</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45357</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45357</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45357</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45357</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45357</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45357</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45357</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45357</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45357</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45357</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45357</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45357</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45357</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45357</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45357</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45357</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45357</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45357</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45357</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45357</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45357</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45357</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45357</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45357</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45357</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45357</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45357</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45357</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45357</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45357</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45357</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45357</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45357</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45357</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45357</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45357</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45357</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45357</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45357</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45357</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45357</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45357</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45357</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45357</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45357</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45357</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45357</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45357</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45357</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45357</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45357</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45357</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45357</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45357</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45357</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45357</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45357</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45357</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45357</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45357</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45357</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45357</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45357</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45357</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45357</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45357</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45357</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45357</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45357</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45357</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45357</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45357</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45357</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45357</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45357</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45357</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45357</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45357</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45357</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45357</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45357</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45357</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45357</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45357</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45357</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45357</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45357</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45357</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45357</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45357</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45357</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45357</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45357</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45357</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45357</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45357</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45357</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45357</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45357</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45357</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45357</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45357</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45357</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45357</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45357</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45357</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45357</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45357</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45357</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45357</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45357</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45357</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45357</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45357</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45357</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45357</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45357</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45357</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45357</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45357</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45357</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45357</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45357</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45357</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45357</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45357</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45357</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45357</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45357</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45357</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45357</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45357</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45357</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45357</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45357</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45357</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45357</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45357</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45357</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45357</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45357</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45357</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45357</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45357</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45357</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45357</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45357</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45357</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45357</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45357</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45357</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45357</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45357</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45357</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45357</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45357</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45357</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45357</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45357</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45357</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45357</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45357</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45357</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45357</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45357</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45357</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45357</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45357</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45357</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45357</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45357</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45357</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45357</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45357</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45357</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45357</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45357</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45357</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45357</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45357</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45357</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45357</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45357</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45357</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45357</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45357</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45357</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45357</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45357</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45357</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45357</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45357</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45357</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45357</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45357</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45357</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45357</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45357</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45357</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45357</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45357</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45357</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45357</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45357</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45357</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45357</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45357</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45357</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45357</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45357</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45357</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45357</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45357</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45357</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45357</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45357</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45357</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45357</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45357</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45357</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45357</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45357</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45357</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45357</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45357</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45357</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45357</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45357</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45357</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45357</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45357</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45357</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45357</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45357</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45357</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45357</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45357</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45357</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45357</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45357</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45357</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45357</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45357</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45357</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45357</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45357</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45357</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45357</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45357</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45357</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45357</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45357</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45357</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45357</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45357</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45357</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45357</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45357</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45357</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45357</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45357</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45357</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45357</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45357</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45357</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45357</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45357</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45357</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45357</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45357</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45357</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45357</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45357</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45357</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45357</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45357</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45357</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45357</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45357</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45357</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45357</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45357</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45357</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45357</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45357</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45357</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45357</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45357</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45357</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45357</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45357</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45357</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45357</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45357</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45357</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45357</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45357</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45357</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45357</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45357</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45357</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45357</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45357</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45357</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45357</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45357</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45357</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45357</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45357</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45357</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45357</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45357</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45357</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45357</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45357</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45357</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45357</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45357</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45357</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45357</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45357</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45357</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45357</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45357</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45357</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45357</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45357</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45357</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45357</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45357</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45357</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45357</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45357</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45357</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45357</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45357</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45357</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45357</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45357</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45357</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45357</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45357</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45357</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45357</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45357</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45357</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45357</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45357</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45357</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45357</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45357</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45357</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45357</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45357</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45357</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45357</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45357</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45357</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45357</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45357</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45357</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45357</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45357</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45357</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45357</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45357</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45357</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45357</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45357</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45357</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45357</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45357</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45357</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45357</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45357</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45357</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45357</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45357</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45357</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45357</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45357</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45357</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45357</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45357</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45357</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45357</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45357</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45357</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45357</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45357</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45357</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45357</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45357</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45357</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45357</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45357</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45357</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45357</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45357</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45357</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45357</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45357</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45357</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45357</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45357</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45357</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45357</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45357</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45357</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45357</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45357</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45357</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45357</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45357</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45357</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45357</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45357</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45357</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45357</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45357</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45357</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45357</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45357</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45357</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45357</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45357</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45357</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45357</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45357</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45357</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45357</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45357</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45357</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45357</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45357</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45357</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45357</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45357</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45357</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45357</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45357</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45357</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45357</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45357</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45357</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45357</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45357</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45357</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45357</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45357</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45357</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45357</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45357</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45357</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45357</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45357</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45357</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45357</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45357</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45357</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45357</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45357</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45357</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45357</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45357</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45357</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45357</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45357</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45357</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45357</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45357</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45357</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45357</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45357</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45357</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45357</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45357</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45357</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45357</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45357</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45357</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45357</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45357</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45357</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45357</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45357</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45357</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45357</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45357</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45357</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45357</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45357</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45357</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45357</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45357</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45357</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45357</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45357</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45357</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45357</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45357</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45357</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45357</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45357</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45357</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45357</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45357</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45357</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45357</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45357</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45357</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45357</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45357</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45357</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45357</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45357</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45357</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45357</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45357</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45357</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45357</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45357</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45357</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45357</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45357</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45357</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45357</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45357</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45357</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45357</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45357</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45357</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45357</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45357</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45357</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45357</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45357</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45357</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45357</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45357</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45357</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45357</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45357</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45357</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45357</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45357</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45357</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45357</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45357</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45357</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45357</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45357</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45357</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45357</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45357</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45357</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45357</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45357</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45357</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45357</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45357</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45357</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45357</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45357</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45357</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45357</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45357</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45357</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45357</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45357</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45357</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45357</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45357</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45357</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45357</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45357</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45357</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45357</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45357</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45357</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45357</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45357</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45357</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45357</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45357</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45357</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45357</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45357</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45357</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45357</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45357</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45357</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45357</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45357</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45357</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45357</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45357</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45357</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45357</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45357</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45357</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45357</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45357</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45357</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45357</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45357</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45357</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45357</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45357</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45357</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45357</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45357</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45357</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45357</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45357</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45357</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45357</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45357</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45357</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45357</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45357</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45357</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45357</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45357</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45357</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45357</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45357</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45357</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45357</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45357</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45357</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45357</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45357</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45357</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45357</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45357</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45357</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45357</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45357</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45357</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45357</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45357</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45357</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45357</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45357</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45357</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45357</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45357</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45357</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45357</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45357</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45357</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45357</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45357</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45357</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45357</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45357</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45357</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45357</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45357</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45357</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45357</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45357</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45357</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45357</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45357</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45357</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45357</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45357</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45357</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45357</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45357</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45357</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45357</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45357</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45357</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45357</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45357</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45357</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45357</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45357</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45357</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45357</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45357</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45357</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45357</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45357</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45357</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45357</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45357</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45357</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45357</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45357</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45357</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45357</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45357</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45357</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45357</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45357</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45357</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45357</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45357</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45357</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45357</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45357</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45357</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45357</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45357</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45357</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45357</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45357</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45357</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45357</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45357</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45357</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45357</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45357</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45357</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45357</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45357</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45357</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45357</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45357</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45357</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45357</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45357</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45357</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45357</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45357</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45357</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45357</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45357</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45357</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45357</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45357</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45357</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45357</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45357</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45357</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45357</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45357</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45357</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45357</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45357</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45357</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45357</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45357</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45357</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45357</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45357</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45357</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45357</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45357</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45357</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45357</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45357</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45357</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45357</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45357</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45357</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45357</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45357</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45357</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45357</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45357</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45357</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45357</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45357</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45357</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45357</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45357</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45357</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45357</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45357</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45357</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45357</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45357</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45357</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45357</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45357</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45357</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45357</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45357</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45357</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45357</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45357</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45357</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45357</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45357</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45357</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45357</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45357</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45357</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45357</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45357</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45357</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45357</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45357</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45357</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45357</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45357</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45357</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45357</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45357</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45357</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45357</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45357</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45357</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45357</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45357</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45357</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45357</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45357</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45357</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45357</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45357</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45357</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45357</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45357</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45357</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45357</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45357</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45357</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45357</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45357</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45357</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45357</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45357</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45357</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45357</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45357</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45357</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45357</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45357</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45357</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45357</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45357</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45357</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45357</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45357</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45357</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45357</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45357</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45357</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45357</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45357</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45357</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45357</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45357</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45357</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45357</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45357</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45357</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45357</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45357</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45357</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45357</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45357</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45357</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45357</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45357</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45357</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45357</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45357</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45357</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45357</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45357</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45357</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45357</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45357</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45357</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45357</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45357</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45357</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45357</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45357</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45357</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45357</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45357</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45357</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45357</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45357</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45357</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45357</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45357</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45357</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45357</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45357</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45357</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45357</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45357</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45357</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45357</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45357</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45357</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45357</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45357</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45357</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45357</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45357</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45357</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45357</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45357</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45357</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45357</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45357</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45357</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45357</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45357</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45357</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45357</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45357</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45357</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45357</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45357</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45357</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45357</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45357</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45357</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45357</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45357</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45357</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45357</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45357</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45357</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45357</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45357</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45357</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45357</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45357</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45357</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45357</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45357</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45357</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45357</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45357</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45357</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45357</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45357</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45357</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45357</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45357</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45357</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45357</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45357</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45357</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45357</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45357</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45357</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45357</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45357</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45357</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45357</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45357</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45357</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45357</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45357</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45357</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45357</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45357</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45357</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45357</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45357</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45357</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45357</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45357</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45357</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45357</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45357</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45357</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45357</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45357</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45357</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45357</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45357</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45357</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45357</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45357</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45357</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45357</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45357</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45357</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45357</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45357</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45357</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45357</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45357</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45357</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45357</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45357</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45357</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45357</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45357</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45357</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45357</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45357</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45357</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45357</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45357</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45357</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45357</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45357</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45357</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45357</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45357</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45357</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45357</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45357</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45357</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45357</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45357</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45357</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45357</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45357</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45357</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45357</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45357</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45357</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45357</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45357</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45357</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45357</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45357</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45357</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45357</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45357</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45357</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45357</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45357</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45357</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45357</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45357</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45357</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45357</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45357</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45357</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45357</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45357</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45357</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45357</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45357</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45357</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45357</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45357</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45357</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45357</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45357</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45357</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45357</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45357</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45357</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45357</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45357</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45357</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45357</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45357</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45357</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45357</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45357</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45357</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45357</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45357</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45357</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45357</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45357</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45357</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45357</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45357</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45357</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45357</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45357</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45357</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45357</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45357</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45357</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45357</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45357</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45357</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45357</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45357</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45357</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45357</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45357</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45357</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45357</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45357</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45357</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45357</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45357</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45357</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45357</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45357</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45357</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45357</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45357</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45357</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45357</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45357</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45357</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45357</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45357</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45357</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45357</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45357</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45357</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45357</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45357</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45357</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45357</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45357</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45357</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45357</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45357</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45357</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45357</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45357</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45357</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45357</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45357</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45357</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45357</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45357</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45357</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45357</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45357</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45357</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45357</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45357</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45357</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45357</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45357</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45357</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45357</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45357</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45357</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45357</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45357</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45357</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45357</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45357</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45357</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45357</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45357</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45357</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45357</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45357</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45357</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45357</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45357</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45357</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45357</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45357</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45357</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45357</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45357</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45357</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45357</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45357</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45357</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45357</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45357</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45357</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45357</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45357</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45357</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45357</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45357</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45357</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45357</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45357</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45357</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45357</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45357</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45357</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45357</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45357</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45357</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45357</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45357</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45357</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45357</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45357</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45357</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45357</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45357</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45357</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45357</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45357</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45357</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45357</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45357</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45357</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45357</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45357</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45357</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45357</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45357</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45357</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45357</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45357</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45357</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45357</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45357</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45357</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45357</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45357</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45357</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45357</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45357</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45357</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45357</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45357</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45357</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45357</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45357</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45357</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45357</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45357</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45357</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45357</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45357</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45357</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45357</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45357</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45357</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45357</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45357</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45357</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45357</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45357</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45357</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45357</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45357</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45357</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45357</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45357</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45357</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45357</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45357</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45357</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45357</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45357</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45357</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45357</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45357</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45357</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45357</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45357</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45357</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45357</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45357</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45357</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45357</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45357</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45357</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45357</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45357</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4385-2024</t>
        </is>
      </c>
      <c r="B10282" s="1" t="n">
        <v>45327</v>
      </c>
      <c r="C10282" s="1" t="n">
        <v>45357</v>
      </c>
      <c r="D10282" t="inlineStr">
        <is>
          <t>GÄVLEBORGS LÄN</t>
        </is>
      </c>
      <c r="E10282" t="inlineStr">
        <is>
          <t>SANDVIKEN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4407-2024</t>
        </is>
      </c>
      <c r="B10283" s="1" t="n">
        <v>45327</v>
      </c>
      <c r="C10283" s="1" t="n">
        <v>45357</v>
      </c>
      <c r="D10283" t="inlineStr">
        <is>
          <t>GÄVLEBORGS LÄN</t>
        </is>
      </c>
      <c r="E10283" t="inlineStr">
        <is>
          <t>HUDIKSVALL</t>
        </is>
      </c>
      <c r="G10283" t="n">
        <v>16.8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4420-2024</t>
        </is>
      </c>
      <c r="B10284" s="1" t="n">
        <v>45327</v>
      </c>
      <c r="C10284" s="1" t="n">
        <v>45357</v>
      </c>
      <c r="D10284" t="inlineStr">
        <is>
          <t>GÄVLEBORGS LÄN</t>
        </is>
      </c>
      <c r="E10284" t="inlineStr">
        <is>
          <t>LJUSDAL</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45357</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45357</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4531-2024</t>
        </is>
      </c>
      <c r="B10287" s="1" t="n">
        <v>45327</v>
      </c>
      <c r="C10287" s="1" t="n">
        <v>45357</v>
      </c>
      <c r="D10287" t="inlineStr">
        <is>
          <t>GÄVLEBORGS LÄN</t>
        </is>
      </c>
      <c r="E10287" t="inlineStr">
        <is>
          <t>NORDANSTIG</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4497-2024</t>
        </is>
      </c>
      <c r="B10288" s="1" t="n">
        <v>45327</v>
      </c>
      <c r="C10288" s="1" t="n">
        <v>45357</v>
      </c>
      <c r="D10288" t="inlineStr">
        <is>
          <t>GÄVLEBORGS LÄN</t>
        </is>
      </c>
      <c r="E10288" t="inlineStr">
        <is>
          <t>SÖDERHAMN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4505-2024</t>
        </is>
      </c>
      <c r="B10289" s="1" t="n">
        <v>45327</v>
      </c>
      <c r="C10289" s="1" t="n">
        <v>45357</v>
      </c>
      <c r="D10289" t="inlineStr">
        <is>
          <t>GÄVLEBORGS LÄN</t>
        </is>
      </c>
      <c r="E10289" t="inlineStr">
        <is>
          <t>HUDIKSVALL</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4517-2024</t>
        </is>
      </c>
      <c r="B10290" s="1" t="n">
        <v>45327</v>
      </c>
      <c r="C10290" s="1" t="n">
        <v>45357</v>
      </c>
      <c r="D10290" t="inlineStr">
        <is>
          <t>GÄVLEBORGS LÄN</t>
        </is>
      </c>
      <c r="E10290" t="inlineStr">
        <is>
          <t>BOLLNÄS</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45357</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45357</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4557-2024</t>
        </is>
      </c>
      <c r="B10293" s="1" t="n">
        <v>45327</v>
      </c>
      <c r="C10293" s="1" t="n">
        <v>45357</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4565-2024</t>
        </is>
      </c>
      <c r="B10294" s="1" t="n">
        <v>45327</v>
      </c>
      <c r="C10294" s="1" t="n">
        <v>45357</v>
      </c>
      <c r="D10294" t="inlineStr">
        <is>
          <t>GÄVLEBORGS LÄN</t>
        </is>
      </c>
      <c r="E10294" t="inlineStr">
        <is>
          <t>HUDIKSVALL</t>
        </is>
      </c>
      <c r="F10294" t="inlineStr">
        <is>
          <t>Holmen skog AB</t>
        </is>
      </c>
      <c r="G10294" t="n">
        <v>34.7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4573-2024</t>
        </is>
      </c>
      <c r="B10295" s="1" t="n">
        <v>45327</v>
      </c>
      <c r="C10295" s="1" t="n">
        <v>45357</v>
      </c>
      <c r="D10295" t="inlineStr">
        <is>
          <t>GÄVLEBORGS LÄN</t>
        </is>
      </c>
      <c r="E10295" t="inlineStr">
        <is>
          <t>HUDIKSVALL</t>
        </is>
      </c>
      <c r="F10295" t="inlineStr">
        <is>
          <t>Holmen skog AB</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45357</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45357</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4500-2024</t>
        </is>
      </c>
      <c r="B10298" s="1" t="n">
        <v>45327</v>
      </c>
      <c r="C10298" s="1" t="n">
        <v>45357</v>
      </c>
      <c r="D10298" t="inlineStr">
        <is>
          <t>GÄVLEBORGS LÄN</t>
        </is>
      </c>
      <c r="E10298" t="inlineStr">
        <is>
          <t>SANDVIKEN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4504-2024</t>
        </is>
      </c>
      <c r="B10299" s="1" t="n">
        <v>45327</v>
      </c>
      <c r="C10299" s="1" t="n">
        <v>45357</v>
      </c>
      <c r="D10299" t="inlineStr">
        <is>
          <t>GÄVLEBORGS LÄN</t>
        </is>
      </c>
      <c r="E10299" t="inlineStr">
        <is>
          <t>HUDIKSVALL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4580-2024</t>
        </is>
      </c>
      <c r="B10300" s="1" t="n">
        <v>45327</v>
      </c>
      <c r="C10300" s="1" t="n">
        <v>45357</v>
      </c>
      <c r="D10300" t="inlineStr">
        <is>
          <t>GÄVLEBORGS LÄN</t>
        </is>
      </c>
      <c r="E10300" t="inlineStr">
        <is>
          <t>LJUSDAL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4619-2024</t>
        </is>
      </c>
      <c r="B10301" s="1" t="n">
        <v>45328</v>
      </c>
      <c r="C10301" s="1" t="n">
        <v>45357</v>
      </c>
      <c r="D10301" t="inlineStr">
        <is>
          <t>GÄVLEBORGS LÄN</t>
        </is>
      </c>
      <c r="E10301" t="inlineStr">
        <is>
          <t>HUDIKSVALL</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45357</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4741-2024</t>
        </is>
      </c>
      <c r="B10303" s="1" t="n">
        <v>45328</v>
      </c>
      <c r="C10303" s="1" t="n">
        <v>45357</v>
      </c>
      <c r="D10303" t="inlineStr">
        <is>
          <t>GÄVLEBORGS LÄN</t>
        </is>
      </c>
      <c r="E10303" t="inlineStr">
        <is>
          <t>OCKELBO</t>
        </is>
      </c>
      <c r="F10303" t="inlineStr">
        <is>
          <t>Bergvik skog väst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4763-2024</t>
        </is>
      </c>
      <c r="B10304" s="1" t="n">
        <v>45328</v>
      </c>
      <c r="C10304" s="1" t="n">
        <v>45357</v>
      </c>
      <c r="D10304" t="inlineStr">
        <is>
          <t>GÄVLEBORGS LÄN</t>
        </is>
      </c>
      <c r="E10304" t="inlineStr">
        <is>
          <t>LJUSDAL</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4607-2024</t>
        </is>
      </c>
      <c r="B10305" s="1" t="n">
        <v>45328</v>
      </c>
      <c r="C10305" s="1" t="n">
        <v>45357</v>
      </c>
      <c r="D10305" t="inlineStr">
        <is>
          <t>GÄVLEBORGS LÄN</t>
        </is>
      </c>
      <c r="E10305" t="inlineStr">
        <is>
          <t>OVANÅKER</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4685-2024</t>
        </is>
      </c>
      <c r="B10306" s="1" t="n">
        <v>45328</v>
      </c>
      <c r="C10306" s="1" t="n">
        <v>45357</v>
      </c>
      <c r="D10306" t="inlineStr">
        <is>
          <t>GÄVLEBORGS LÄN</t>
        </is>
      </c>
      <c r="E10306" t="inlineStr">
        <is>
          <t>HUDIKSVALL</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4814-2024</t>
        </is>
      </c>
      <c r="B10307" s="1" t="n">
        <v>45328</v>
      </c>
      <c r="C10307" s="1" t="n">
        <v>45357</v>
      </c>
      <c r="D10307" t="inlineStr">
        <is>
          <t>GÄVLEBORGS LÄN</t>
        </is>
      </c>
      <c r="E10307" t="inlineStr">
        <is>
          <t>GÄVLE</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4826-2024</t>
        </is>
      </c>
      <c r="B10308" s="1" t="n">
        <v>45328</v>
      </c>
      <c r="C10308" s="1" t="n">
        <v>45357</v>
      </c>
      <c r="D10308" t="inlineStr">
        <is>
          <t>GÄVLEBORGS LÄN</t>
        </is>
      </c>
      <c r="E10308" t="inlineStr">
        <is>
          <t>LJUSDAL</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45357</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45357</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4912-2024</t>
        </is>
      </c>
      <c r="B10311" s="1" t="n">
        <v>45329</v>
      </c>
      <c r="C10311" s="1" t="n">
        <v>45357</v>
      </c>
      <c r="D10311" t="inlineStr">
        <is>
          <t>GÄVLEBORGS LÄN</t>
        </is>
      </c>
      <c r="E10311" t="inlineStr">
        <is>
          <t>BOLLNÄS</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5000-2024</t>
        </is>
      </c>
      <c r="B10312" s="1" t="n">
        <v>45329</v>
      </c>
      <c r="C10312" s="1" t="n">
        <v>45357</v>
      </c>
      <c r="D10312" t="inlineStr">
        <is>
          <t>GÄVLEBORGS LÄN</t>
        </is>
      </c>
      <c r="E10312" t="inlineStr">
        <is>
          <t>GÄVLE</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5010-2024</t>
        </is>
      </c>
      <c r="B10313" s="1" t="n">
        <v>45329</v>
      </c>
      <c r="C10313" s="1" t="n">
        <v>45357</v>
      </c>
      <c r="D10313" t="inlineStr">
        <is>
          <t>GÄVLEBORGS LÄN</t>
        </is>
      </c>
      <c r="E10313" t="inlineStr">
        <is>
          <t>SANDVIKEN</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45357</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5090-2024</t>
        </is>
      </c>
      <c r="B10315" s="1" t="n">
        <v>45330</v>
      </c>
      <c r="C10315" s="1" t="n">
        <v>45357</v>
      </c>
      <c r="D10315" t="inlineStr">
        <is>
          <t>GÄVLEBORGS LÄN</t>
        </is>
      </c>
      <c r="E10315" t="inlineStr">
        <is>
          <t>LJUSDAL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5098-2024</t>
        </is>
      </c>
      <c r="B10316" s="1" t="n">
        <v>45330</v>
      </c>
      <c r="C10316" s="1" t="n">
        <v>45357</v>
      </c>
      <c r="D10316" t="inlineStr">
        <is>
          <t>GÄVLEBORGS LÄN</t>
        </is>
      </c>
      <c r="E10316" t="inlineStr">
        <is>
          <t>LJUSDAL</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5131-2024</t>
        </is>
      </c>
      <c r="B10317" s="1" t="n">
        <v>45330</v>
      </c>
      <c r="C10317" s="1" t="n">
        <v>45357</v>
      </c>
      <c r="D10317" t="inlineStr">
        <is>
          <t>GÄVLEBORGS LÄN</t>
        </is>
      </c>
      <c r="E10317" t="inlineStr">
        <is>
          <t>OCKELBO</t>
        </is>
      </c>
      <c r="F10317" t="inlineStr">
        <is>
          <t>Bergvik skog väst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5151-2024</t>
        </is>
      </c>
      <c r="B10318" s="1" t="n">
        <v>45330</v>
      </c>
      <c r="C10318" s="1" t="n">
        <v>45357</v>
      </c>
      <c r="D10318" t="inlineStr">
        <is>
          <t>GÄVLEBORGS LÄN</t>
        </is>
      </c>
      <c r="E10318" t="inlineStr">
        <is>
          <t>OVANÅKER</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5225-2024</t>
        </is>
      </c>
      <c r="B10319" s="1" t="n">
        <v>45330</v>
      </c>
      <c r="C10319" s="1" t="n">
        <v>45357</v>
      </c>
      <c r="D10319" t="inlineStr">
        <is>
          <t>GÄVLEBORGS LÄN</t>
        </is>
      </c>
      <c r="E10319" t="inlineStr">
        <is>
          <t>LJUSDAL</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5092-2024</t>
        </is>
      </c>
      <c r="B10320" s="1" t="n">
        <v>45330</v>
      </c>
      <c r="C10320" s="1" t="n">
        <v>45357</v>
      </c>
      <c r="D10320" t="inlineStr">
        <is>
          <t>GÄVLEBORGS LÄN</t>
        </is>
      </c>
      <c r="E10320" t="inlineStr">
        <is>
          <t>LJUSDAL</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5241-2024</t>
        </is>
      </c>
      <c r="B10321" s="1" t="n">
        <v>45330</v>
      </c>
      <c r="C10321" s="1" t="n">
        <v>45357</v>
      </c>
      <c r="D10321" t="inlineStr">
        <is>
          <t>GÄVLEBORGS LÄN</t>
        </is>
      </c>
      <c r="E10321" t="inlineStr">
        <is>
          <t>GÄVLE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5230-2024</t>
        </is>
      </c>
      <c r="B10322" s="1" t="n">
        <v>45330</v>
      </c>
      <c r="C10322" s="1" t="n">
        <v>45357</v>
      </c>
      <c r="D10322" t="inlineStr">
        <is>
          <t>GÄVLEBORGS LÄN</t>
        </is>
      </c>
      <c r="E10322" t="inlineStr">
        <is>
          <t>HUDIKSVALL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45357</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5243-2024</t>
        </is>
      </c>
      <c r="B10324" s="1" t="n">
        <v>45330</v>
      </c>
      <c r="C10324" s="1" t="n">
        <v>45357</v>
      </c>
      <c r="D10324" t="inlineStr">
        <is>
          <t>GÄVLEBORGS LÄN</t>
        </is>
      </c>
      <c r="E10324" t="inlineStr">
        <is>
          <t>GÄVLE</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45357</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45357</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5388-2024</t>
        </is>
      </c>
      <c r="B10327" s="1" t="n">
        <v>45331</v>
      </c>
      <c r="C10327" s="1" t="n">
        <v>45357</v>
      </c>
      <c r="D10327" t="inlineStr">
        <is>
          <t>GÄVLEBORGS LÄN</t>
        </is>
      </c>
      <c r="E10327" t="inlineStr">
        <is>
          <t>BOLLNÄS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5385-2024</t>
        </is>
      </c>
      <c r="B10328" s="1" t="n">
        <v>45331</v>
      </c>
      <c r="C10328" s="1" t="n">
        <v>45357</v>
      </c>
      <c r="D10328" t="inlineStr">
        <is>
          <t>GÄVLEBORGS LÄN</t>
        </is>
      </c>
      <c r="E10328" t="inlineStr">
        <is>
          <t>NORDANSTIG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5416-2024</t>
        </is>
      </c>
      <c r="B10329" s="1" t="n">
        <v>45331</v>
      </c>
      <c r="C10329" s="1" t="n">
        <v>45357</v>
      </c>
      <c r="D10329" t="inlineStr">
        <is>
          <t>GÄVLEBORGS LÄN</t>
        </is>
      </c>
      <c r="E10329" t="inlineStr">
        <is>
          <t>OVANÅKER</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45357</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5620-2024</t>
        </is>
      </c>
      <c r="B10331" s="1" t="n">
        <v>45334</v>
      </c>
      <c r="C10331" s="1" t="n">
        <v>45357</v>
      </c>
      <c r="D10331" t="inlineStr">
        <is>
          <t>GÄVLEBORGS LÄN</t>
        </is>
      </c>
      <c r="E10331" t="inlineStr">
        <is>
          <t>SANDVIKEN</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5500-2024</t>
        </is>
      </c>
      <c r="B10332" s="1" t="n">
        <v>45334</v>
      </c>
      <c r="C10332" s="1" t="n">
        <v>45357</v>
      </c>
      <c r="D10332" t="inlineStr">
        <is>
          <t>GÄVLEBORGS LÄN</t>
        </is>
      </c>
      <c r="E10332" t="inlineStr">
        <is>
          <t>HUDIKSVALL</t>
        </is>
      </c>
      <c r="F10332" t="inlineStr">
        <is>
          <t>Holmen skog AB</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5534-2024</t>
        </is>
      </c>
      <c r="B10333" s="1" t="n">
        <v>45334</v>
      </c>
      <c r="C10333" s="1" t="n">
        <v>45357</v>
      </c>
      <c r="D10333" t="inlineStr">
        <is>
          <t>GÄVLEBORGS LÄN</t>
        </is>
      </c>
      <c r="E10333" t="inlineStr">
        <is>
          <t>LJUSDAL</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5604-2024</t>
        </is>
      </c>
      <c r="B10334" s="1" t="n">
        <v>45334</v>
      </c>
      <c r="C10334" s="1" t="n">
        <v>45357</v>
      </c>
      <c r="D10334" t="inlineStr">
        <is>
          <t>GÄVLEBORGS LÄN</t>
        </is>
      </c>
      <c r="E10334" t="inlineStr">
        <is>
          <t>HUDIKSVALL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5535-2024</t>
        </is>
      </c>
      <c r="B10335" s="1" t="n">
        <v>45334</v>
      </c>
      <c r="C10335" s="1" t="n">
        <v>45357</v>
      </c>
      <c r="D10335" t="inlineStr">
        <is>
          <t>GÄVLEBORGS LÄN</t>
        </is>
      </c>
      <c r="E10335" t="inlineStr">
        <is>
          <t>LJUSDAL</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5554-2024</t>
        </is>
      </c>
      <c r="B10336" s="1" t="n">
        <v>45334</v>
      </c>
      <c r="C10336" s="1" t="n">
        <v>45357</v>
      </c>
      <c r="D10336" t="inlineStr">
        <is>
          <t>GÄVLEBORGS LÄN</t>
        </is>
      </c>
      <c r="E10336" t="inlineStr">
        <is>
          <t>HOFORS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5558-2024</t>
        </is>
      </c>
      <c r="B10337" s="1" t="n">
        <v>45334</v>
      </c>
      <c r="C10337" s="1" t="n">
        <v>45357</v>
      </c>
      <c r="D10337" t="inlineStr">
        <is>
          <t>GÄVLEBORGS LÄN</t>
        </is>
      </c>
      <c r="E10337" t="inlineStr">
        <is>
          <t>OCKELBO</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5571-2024</t>
        </is>
      </c>
      <c r="B10338" s="1" t="n">
        <v>45334</v>
      </c>
      <c r="C10338" s="1" t="n">
        <v>45357</v>
      </c>
      <c r="D10338" t="inlineStr">
        <is>
          <t>GÄVLEBORGS LÄN</t>
        </is>
      </c>
      <c r="E10338" t="inlineStr">
        <is>
          <t>OCKELBO</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5579-2024</t>
        </is>
      </c>
      <c r="B10339" s="1" t="n">
        <v>45334</v>
      </c>
      <c r="C10339" s="1" t="n">
        <v>45357</v>
      </c>
      <c r="D10339" t="inlineStr">
        <is>
          <t>GÄVLEBORGS LÄN</t>
        </is>
      </c>
      <c r="E10339" t="inlineStr">
        <is>
          <t>LJUSDAL</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5605-2024</t>
        </is>
      </c>
      <c r="B10340" s="1" t="n">
        <v>45334</v>
      </c>
      <c r="C10340" s="1" t="n">
        <v>45357</v>
      </c>
      <c r="D10340" t="inlineStr">
        <is>
          <t>GÄVLEBORGS LÄN</t>
        </is>
      </c>
      <c r="E10340" t="inlineStr">
        <is>
          <t>GÄVLE</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5635-2024</t>
        </is>
      </c>
      <c r="B10341" s="1" t="n">
        <v>45334</v>
      </c>
      <c r="C10341" s="1" t="n">
        <v>45357</v>
      </c>
      <c r="D10341" t="inlineStr">
        <is>
          <t>GÄVLEBORGS LÄN</t>
        </is>
      </c>
      <c r="E10341" t="inlineStr">
        <is>
          <t>HUDIKSVALL</t>
        </is>
      </c>
      <c r="F10341" t="inlineStr">
        <is>
          <t>Kommuner</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5633-2024</t>
        </is>
      </c>
      <c r="B10342" s="1" t="n">
        <v>45334</v>
      </c>
      <c r="C10342" s="1" t="n">
        <v>45357</v>
      </c>
      <c r="D10342" t="inlineStr">
        <is>
          <t>GÄVLEBORGS LÄN</t>
        </is>
      </c>
      <c r="E10342" t="inlineStr">
        <is>
          <t>GÄVLE</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45357</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5711-2024</t>
        </is>
      </c>
      <c r="B10344" s="1" t="n">
        <v>45334</v>
      </c>
      <c r="C10344" s="1" t="n">
        <v>45357</v>
      </c>
      <c r="D10344" t="inlineStr">
        <is>
          <t>GÄVLEBORGS LÄN</t>
        </is>
      </c>
      <c r="E10344" t="inlineStr">
        <is>
          <t>HUDIKSVALL</t>
        </is>
      </c>
      <c r="F10344" t="inlineStr">
        <is>
          <t>Holmen skog AB</t>
        </is>
      </c>
      <c r="G10344" t="n">
        <v>14.5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45357</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5836-2024</t>
        </is>
      </c>
      <c r="B10346" s="1" t="n">
        <v>45335</v>
      </c>
      <c r="C10346" s="1" t="n">
        <v>45357</v>
      </c>
      <c r="D10346" t="inlineStr">
        <is>
          <t>GÄVLEBORGS LÄN</t>
        </is>
      </c>
      <c r="E10346" t="inlineStr">
        <is>
          <t>BOLLNÄS</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5756-2024</t>
        </is>
      </c>
      <c r="B10347" s="1" t="n">
        <v>45335</v>
      </c>
      <c r="C10347" s="1" t="n">
        <v>45357</v>
      </c>
      <c r="D10347" t="inlineStr">
        <is>
          <t>GÄVLEBORGS LÄN</t>
        </is>
      </c>
      <c r="E10347" t="inlineStr">
        <is>
          <t>BOLLNÄS</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5893-2024</t>
        </is>
      </c>
      <c r="B10348" s="1" t="n">
        <v>45335</v>
      </c>
      <c r="C10348" s="1" t="n">
        <v>45357</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5897-2024</t>
        </is>
      </c>
      <c r="B10349" s="1" t="n">
        <v>45335</v>
      </c>
      <c r="C10349" s="1" t="n">
        <v>45357</v>
      </c>
      <c r="D10349" t="inlineStr">
        <is>
          <t>GÄVLEBORGS LÄN</t>
        </is>
      </c>
      <c r="E10349" t="inlineStr">
        <is>
          <t>HUDIKSVALL</t>
        </is>
      </c>
      <c r="F10349" t="inlineStr">
        <is>
          <t>Holmen skog AB</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45357</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6016-2024</t>
        </is>
      </c>
      <c r="B10351" s="1" t="n">
        <v>45336</v>
      </c>
      <c r="C10351" s="1" t="n">
        <v>45357</v>
      </c>
      <c r="D10351" t="inlineStr">
        <is>
          <t>GÄVLEBORGS LÄN</t>
        </is>
      </c>
      <c r="E10351" t="inlineStr">
        <is>
          <t>HUDIKSVALL</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6062-2024</t>
        </is>
      </c>
      <c r="B10352" s="1" t="n">
        <v>45336</v>
      </c>
      <c r="C10352" s="1" t="n">
        <v>45357</v>
      </c>
      <c r="D10352" t="inlineStr">
        <is>
          <t>GÄVLEBORGS LÄN</t>
        </is>
      </c>
      <c r="E10352" t="inlineStr">
        <is>
          <t>HUDIKSVALL</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6074-2024</t>
        </is>
      </c>
      <c r="B10353" s="1" t="n">
        <v>45336</v>
      </c>
      <c r="C10353" s="1" t="n">
        <v>45357</v>
      </c>
      <c r="D10353" t="inlineStr">
        <is>
          <t>GÄVLEBORGS LÄN</t>
        </is>
      </c>
      <c r="E10353" t="inlineStr">
        <is>
          <t>LJUSDAL</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6072-2024</t>
        </is>
      </c>
      <c r="B10354" s="1" t="n">
        <v>45336</v>
      </c>
      <c r="C10354" s="1" t="n">
        <v>45357</v>
      </c>
      <c r="D10354" t="inlineStr">
        <is>
          <t>GÄVLEBORGS LÄN</t>
        </is>
      </c>
      <c r="E10354" t="inlineStr">
        <is>
          <t>LJUSDAL</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6015-2024</t>
        </is>
      </c>
      <c r="B10355" s="1" t="n">
        <v>45336</v>
      </c>
      <c r="C10355" s="1" t="n">
        <v>45357</v>
      </c>
      <c r="D10355" t="inlineStr">
        <is>
          <t>GÄVLEBORGS LÄN</t>
        </is>
      </c>
      <c r="E10355" t="inlineStr">
        <is>
          <t>HUDIKSVALL</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6031-2024</t>
        </is>
      </c>
      <c r="B10356" s="1" t="n">
        <v>45336</v>
      </c>
      <c r="C10356" s="1" t="n">
        <v>45357</v>
      </c>
      <c r="D10356" t="inlineStr">
        <is>
          <t>GÄVLEBORGS LÄN</t>
        </is>
      </c>
      <c r="E10356" t="inlineStr">
        <is>
          <t>HUDIKSVALL</t>
        </is>
      </c>
      <c r="G10356" t="n">
        <v>24.4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6073-2024</t>
        </is>
      </c>
      <c r="B10357" s="1" t="n">
        <v>45336</v>
      </c>
      <c r="C10357" s="1" t="n">
        <v>45357</v>
      </c>
      <c r="D10357" t="inlineStr">
        <is>
          <t>GÄVLEBORGS LÄN</t>
        </is>
      </c>
      <c r="E10357" t="inlineStr">
        <is>
          <t>LJUSDAL</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5983-2024</t>
        </is>
      </c>
      <c r="B10358" s="1" t="n">
        <v>45336</v>
      </c>
      <c r="C10358" s="1" t="n">
        <v>45357</v>
      </c>
      <c r="D10358" t="inlineStr">
        <is>
          <t>GÄVLEBORGS LÄN</t>
        </is>
      </c>
      <c r="E10358" t="inlineStr">
        <is>
          <t>NORDANSTIG</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6110-2024</t>
        </is>
      </c>
      <c r="B10359" s="1" t="n">
        <v>45337</v>
      </c>
      <c r="C10359" s="1" t="n">
        <v>45357</v>
      </c>
      <c r="D10359" t="inlineStr">
        <is>
          <t>GÄVLEBORGS LÄN</t>
        </is>
      </c>
      <c r="E10359" t="inlineStr">
        <is>
          <t>HUDIKSVALL</t>
        </is>
      </c>
      <c r="F10359" t="inlineStr">
        <is>
          <t>Kommuner</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6188-2024</t>
        </is>
      </c>
      <c r="B10360" s="1" t="n">
        <v>45337</v>
      </c>
      <c r="C10360" s="1" t="n">
        <v>45357</v>
      </c>
      <c r="D10360" t="inlineStr">
        <is>
          <t>GÄVLEBORGS LÄN</t>
        </is>
      </c>
      <c r="E10360" t="inlineStr">
        <is>
          <t>OVANÅKER</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6095-2024</t>
        </is>
      </c>
      <c r="B10361" s="1" t="n">
        <v>45337</v>
      </c>
      <c r="C10361" s="1" t="n">
        <v>45357</v>
      </c>
      <c r="D10361" t="inlineStr">
        <is>
          <t>GÄVLEBORGS LÄN</t>
        </is>
      </c>
      <c r="E10361" t="inlineStr">
        <is>
          <t>HUDIKSVALL</t>
        </is>
      </c>
      <c r="F10361" t="inlineStr">
        <is>
          <t>Holmen skog AB</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6128-2024</t>
        </is>
      </c>
      <c r="B10362" s="1" t="n">
        <v>45337</v>
      </c>
      <c r="C10362" s="1" t="n">
        <v>45357</v>
      </c>
      <c r="D10362" t="inlineStr">
        <is>
          <t>GÄVLEBORGS LÄN</t>
        </is>
      </c>
      <c r="E10362" t="inlineStr">
        <is>
          <t>OCKELBO</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6191-2024</t>
        </is>
      </c>
      <c r="B10363" s="1" t="n">
        <v>45337</v>
      </c>
      <c r="C10363" s="1" t="n">
        <v>45357</v>
      </c>
      <c r="D10363" t="inlineStr">
        <is>
          <t>GÄVLEBORGS LÄN</t>
        </is>
      </c>
      <c r="E10363" t="inlineStr">
        <is>
          <t>BOLLNÄS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6260-2024</t>
        </is>
      </c>
      <c r="B10364" s="1" t="n">
        <v>45337</v>
      </c>
      <c r="C10364" s="1" t="n">
        <v>45357</v>
      </c>
      <c r="D10364" t="inlineStr">
        <is>
          <t>GÄVLEBORGS LÄN</t>
        </is>
      </c>
      <c r="E10364" t="inlineStr">
        <is>
          <t>HUDIKSVALL</t>
        </is>
      </c>
      <c r="F10364" t="inlineStr">
        <is>
          <t>Holmen skog AB</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6235-2024</t>
        </is>
      </c>
      <c r="B10365" s="1" t="n">
        <v>45337</v>
      </c>
      <c r="C10365" s="1" t="n">
        <v>45357</v>
      </c>
      <c r="D10365" t="inlineStr">
        <is>
          <t>GÄVLEBORGS LÄN</t>
        </is>
      </c>
      <c r="E10365" t="inlineStr">
        <is>
          <t>SANDVIKEN</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6331-2024</t>
        </is>
      </c>
      <c r="B10366" s="1" t="n">
        <v>45338</v>
      </c>
      <c r="C10366" s="1" t="n">
        <v>45357</v>
      </c>
      <c r="D10366" t="inlineStr">
        <is>
          <t>GÄVLEBORGS LÄN</t>
        </is>
      </c>
      <c r="E10366" t="inlineStr">
        <is>
          <t>OVANÅKER</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6378-2024</t>
        </is>
      </c>
      <c r="B10367" s="1" t="n">
        <v>45338</v>
      </c>
      <c r="C10367" s="1" t="n">
        <v>45357</v>
      </c>
      <c r="D10367" t="inlineStr">
        <is>
          <t>GÄVLEBORGS LÄN</t>
        </is>
      </c>
      <c r="E10367" t="inlineStr">
        <is>
          <t>SÖDERHAMN</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6469-2024</t>
        </is>
      </c>
      <c r="B10368" s="1" t="n">
        <v>45338</v>
      </c>
      <c r="C10368" s="1" t="n">
        <v>45357</v>
      </c>
      <c r="D10368" t="inlineStr">
        <is>
          <t>GÄVLEBORGS LÄN</t>
        </is>
      </c>
      <c r="E10368" t="inlineStr">
        <is>
          <t>LJUSDAL</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6425-2024</t>
        </is>
      </c>
      <c r="B10369" s="1" t="n">
        <v>45338</v>
      </c>
      <c r="C10369" s="1" t="n">
        <v>45357</v>
      </c>
      <c r="D10369" t="inlineStr">
        <is>
          <t>GÄVLEBORGS LÄN</t>
        </is>
      </c>
      <c r="E10369" t="inlineStr">
        <is>
          <t>HUDIKSVALL</t>
        </is>
      </c>
      <c r="F10369" t="inlineStr">
        <is>
          <t>Holmen skog AB</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6474-2024</t>
        </is>
      </c>
      <c r="B10370" s="1" t="n">
        <v>45338</v>
      </c>
      <c r="C10370" s="1" t="n">
        <v>45357</v>
      </c>
      <c r="D10370" t="inlineStr">
        <is>
          <t>GÄVLEBORGS LÄN</t>
        </is>
      </c>
      <c r="E10370" t="inlineStr">
        <is>
          <t>GÄVLE</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6389-2024</t>
        </is>
      </c>
      <c r="B10371" s="1" t="n">
        <v>45338</v>
      </c>
      <c r="C10371" s="1" t="n">
        <v>45357</v>
      </c>
      <c r="D10371" t="inlineStr">
        <is>
          <t>GÄVLEBORGS LÄN</t>
        </is>
      </c>
      <c r="E10371" t="inlineStr">
        <is>
          <t>SÖDERHAMN</t>
        </is>
      </c>
      <c r="G10371" t="n">
        <v>8.800000000000001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6388-2024</t>
        </is>
      </c>
      <c r="B10372" s="1" t="n">
        <v>45338</v>
      </c>
      <c r="C10372" s="1" t="n">
        <v>45357</v>
      </c>
      <c r="D10372" t="inlineStr">
        <is>
          <t>GÄVLEBORGS LÄN</t>
        </is>
      </c>
      <c r="E10372" t="inlineStr">
        <is>
          <t>SÖDERHAMN</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6467-2024</t>
        </is>
      </c>
      <c r="B10373" s="1" t="n">
        <v>45338</v>
      </c>
      <c r="C10373" s="1" t="n">
        <v>45357</v>
      </c>
      <c r="D10373" t="inlineStr">
        <is>
          <t>GÄVLEBORGS LÄN</t>
        </is>
      </c>
      <c r="E10373" t="inlineStr">
        <is>
          <t>NORDANSTIG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45357</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45357</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6626-2024</t>
        </is>
      </c>
      <c r="B10376" s="1" t="n">
        <v>45341</v>
      </c>
      <c r="C10376" s="1" t="n">
        <v>45357</v>
      </c>
      <c r="D10376" t="inlineStr">
        <is>
          <t>GÄVLEBORGS LÄN</t>
        </is>
      </c>
      <c r="E10376" t="inlineStr">
        <is>
          <t>OCKELBO</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6729-2024</t>
        </is>
      </c>
      <c r="B10377" s="1" t="n">
        <v>45342</v>
      </c>
      <c r="C10377" s="1" t="n">
        <v>45357</v>
      </c>
      <c r="D10377" t="inlineStr">
        <is>
          <t>GÄVLEBORGS LÄN</t>
        </is>
      </c>
      <c r="E10377" t="inlineStr">
        <is>
          <t>LJUSDAL</t>
        </is>
      </c>
      <c r="F10377" t="inlineStr">
        <is>
          <t>Bergvik skog väst AB</t>
        </is>
      </c>
      <c r="G10377" t="n">
        <v>22.5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6742-2024</t>
        </is>
      </c>
      <c r="B10378" s="1" t="n">
        <v>45342</v>
      </c>
      <c r="C10378" s="1" t="n">
        <v>45357</v>
      </c>
      <c r="D10378" t="inlineStr">
        <is>
          <t>GÄVLEBORGS LÄN</t>
        </is>
      </c>
      <c r="E10378" t="inlineStr">
        <is>
          <t>OCKELBO</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6752-2024</t>
        </is>
      </c>
      <c r="B10379" s="1" t="n">
        <v>45342</v>
      </c>
      <c r="C10379" s="1" t="n">
        <v>45357</v>
      </c>
      <c r="D10379" t="inlineStr">
        <is>
          <t>GÄVLEBORGS LÄN</t>
        </is>
      </c>
      <c r="E10379" t="inlineStr">
        <is>
          <t>BOLLNÄS</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6761-2024</t>
        </is>
      </c>
      <c r="B10380" s="1" t="n">
        <v>45342</v>
      </c>
      <c r="C10380" s="1" t="n">
        <v>45357</v>
      </c>
      <c r="D10380" t="inlineStr">
        <is>
          <t>GÄVLEBORGS LÄN</t>
        </is>
      </c>
      <c r="E10380" t="inlineStr">
        <is>
          <t>OVANÅKER</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6802-2024</t>
        </is>
      </c>
      <c r="B10381" s="1" t="n">
        <v>45342</v>
      </c>
      <c r="C10381" s="1" t="n">
        <v>45357</v>
      </c>
      <c r="D10381" t="inlineStr">
        <is>
          <t>GÄVLEBORGS LÄN</t>
        </is>
      </c>
      <c r="E10381" t="inlineStr">
        <is>
          <t>LJUSDAL</t>
        </is>
      </c>
      <c r="F10381" t="inlineStr">
        <is>
          <t>Holmen skog AB</t>
        </is>
      </c>
      <c r="G10381" t="n">
        <v>23.2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6851-2024</t>
        </is>
      </c>
      <c r="B10382" s="1" t="n">
        <v>45342</v>
      </c>
      <c r="C10382" s="1" t="n">
        <v>45357</v>
      </c>
      <c r="D10382" t="inlineStr">
        <is>
          <t>GÄVLEBORGS LÄN</t>
        </is>
      </c>
      <c r="E10382" t="inlineStr">
        <is>
          <t>SÖDERHAMN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6872-2024</t>
        </is>
      </c>
      <c r="B10383" s="1" t="n">
        <v>45342</v>
      </c>
      <c r="C10383" s="1" t="n">
        <v>45357</v>
      </c>
      <c r="D10383" t="inlineStr">
        <is>
          <t>GÄVLEBORGS LÄN</t>
        </is>
      </c>
      <c r="E10383" t="inlineStr">
        <is>
          <t>HUDIKSVALL</t>
        </is>
      </c>
      <c r="F10383" t="inlineStr">
        <is>
          <t>Holmen skog AB</t>
        </is>
      </c>
      <c r="G10383" t="n">
        <v>8.300000000000001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6853-2024</t>
        </is>
      </c>
      <c r="B10384" s="1" t="n">
        <v>45342</v>
      </c>
      <c r="C10384" s="1" t="n">
        <v>45357</v>
      </c>
      <c r="D10384" t="inlineStr">
        <is>
          <t>GÄVLEBORGS LÄN</t>
        </is>
      </c>
      <c r="E10384" t="inlineStr">
        <is>
          <t>SÖDERHAMN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6724-2024</t>
        </is>
      </c>
      <c r="B10385" s="1" t="n">
        <v>45342</v>
      </c>
      <c r="C10385" s="1" t="n">
        <v>45357</v>
      </c>
      <c r="D10385" t="inlineStr">
        <is>
          <t>GÄVLEBORGS LÄN</t>
        </is>
      </c>
      <c r="E10385" t="inlineStr">
        <is>
          <t>LJUSDAL</t>
        </is>
      </c>
      <c r="F10385" t="inlineStr">
        <is>
          <t>Bergvik skog väst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6730-2024</t>
        </is>
      </c>
      <c r="B10386" s="1" t="n">
        <v>45342</v>
      </c>
      <c r="C10386" s="1" t="n">
        <v>45357</v>
      </c>
      <c r="D10386" t="inlineStr">
        <is>
          <t>GÄVLEBORGS LÄN</t>
        </is>
      </c>
      <c r="E10386" t="inlineStr">
        <is>
          <t>HUDIKSVALL</t>
        </is>
      </c>
      <c r="G10386" t="n">
        <v>6.4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6755-2024</t>
        </is>
      </c>
      <c r="B10387" s="1" t="n">
        <v>45342</v>
      </c>
      <c r="C10387" s="1" t="n">
        <v>45357</v>
      </c>
      <c r="D10387" t="inlineStr">
        <is>
          <t>GÄVLEBORGS LÄN</t>
        </is>
      </c>
      <c r="E10387" t="inlineStr">
        <is>
          <t>BOLLNÄS</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6792-2024</t>
        </is>
      </c>
      <c r="B10388" s="1" t="n">
        <v>45342</v>
      </c>
      <c r="C10388" s="1" t="n">
        <v>45357</v>
      </c>
      <c r="D10388" t="inlineStr">
        <is>
          <t>GÄVLEBORGS LÄN</t>
        </is>
      </c>
      <c r="E10388" t="inlineStr">
        <is>
          <t>SÖDERHAMN</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6844-2024</t>
        </is>
      </c>
      <c r="B10389" s="1" t="n">
        <v>45342</v>
      </c>
      <c r="C10389" s="1" t="n">
        <v>45357</v>
      </c>
      <c r="D10389" t="inlineStr">
        <is>
          <t>GÄVLEBORGS LÄN</t>
        </is>
      </c>
      <c r="E10389" t="inlineStr">
        <is>
          <t>LJUSDAL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6923-2024</t>
        </is>
      </c>
      <c r="B10390" s="1" t="n">
        <v>45343</v>
      </c>
      <c r="C10390" s="1" t="n">
        <v>45357</v>
      </c>
      <c r="D10390" t="inlineStr">
        <is>
          <t>GÄVLEBORGS LÄN</t>
        </is>
      </c>
      <c r="E10390" t="inlineStr">
        <is>
          <t>NORDANSTIG</t>
        </is>
      </c>
      <c r="F10390" t="inlineStr">
        <is>
          <t>Holmen skog AB</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6958-2024</t>
        </is>
      </c>
      <c r="B10391" s="1" t="n">
        <v>45343</v>
      </c>
      <c r="C10391" s="1" t="n">
        <v>45357</v>
      </c>
      <c r="D10391" t="inlineStr">
        <is>
          <t>GÄVLEBORGS LÄN</t>
        </is>
      </c>
      <c r="E10391" t="inlineStr">
        <is>
          <t>HOFORS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7031-2024</t>
        </is>
      </c>
      <c r="B10392" s="1" t="n">
        <v>45343</v>
      </c>
      <c r="C10392" s="1" t="n">
        <v>45357</v>
      </c>
      <c r="D10392" t="inlineStr">
        <is>
          <t>GÄVLEBORGS LÄN</t>
        </is>
      </c>
      <c r="E10392" t="inlineStr">
        <is>
          <t>LJUSDAL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6951-2024</t>
        </is>
      </c>
      <c r="B10393" s="1" t="n">
        <v>45343</v>
      </c>
      <c r="C10393" s="1" t="n">
        <v>45357</v>
      </c>
      <c r="D10393" t="inlineStr">
        <is>
          <t>GÄVLEBORGS LÄN</t>
        </is>
      </c>
      <c r="E10393" t="inlineStr">
        <is>
          <t>SANDVIKEN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6963-2024</t>
        </is>
      </c>
      <c r="B10394" s="1" t="n">
        <v>45343</v>
      </c>
      <c r="C10394" s="1" t="n">
        <v>45357</v>
      </c>
      <c r="D10394" t="inlineStr">
        <is>
          <t>GÄVLEBORGS LÄN</t>
        </is>
      </c>
      <c r="E10394" t="inlineStr">
        <is>
          <t>HOFORS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7080-2024</t>
        </is>
      </c>
      <c r="B10395" s="1" t="n">
        <v>45343</v>
      </c>
      <c r="C10395" s="1" t="n">
        <v>45357</v>
      </c>
      <c r="D10395" t="inlineStr">
        <is>
          <t>GÄVLEBORGS LÄN</t>
        </is>
      </c>
      <c r="E10395" t="inlineStr">
        <is>
          <t>NORDANSTIG</t>
        </is>
      </c>
      <c r="G10395" t="n">
        <v>20.9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7103-2024</t>
        </is>
      </c>
      <c r="B10396" s="1" t="n">
        <v>45343</v>
      </c>
      <c r="C10396" s="1" t="n">
        <v>45357</v>
      </c>
      <c r="D10396" t="inlineStr">
        <is>
          <t>GÄVLEBORGS LÄN</t>
        </is>
      </c>
      <c r="E10396" t="inlineStr">
        <is>
          <t>HUDIKSVALL</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7105-2024</t>
        </is>
      </c>
      <c r="B10397" s="1" t="n">
        <v>45343</v>
      </c>
      <c r="C10397" s="1" t="n">
        <v>45357</v>
      </c>
      <c r="D10397" t="inlineStr">
        <is>
          <t>GÄVLEBORGS LÄN</t>
        </is>
      </c>
      <c r="E10397" t="inlineStr">
        <is>
          <t>HUDIKSVALL</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7104-2024</t>
        </is>
      </c>
      <c r="B10398" s="1" t="n">
        <v>45343</v>
      </c>
      <c r="C10398" s="1" t="n">
        <v>45357</v>
      </c>
      <c r="D10398" t="inlineStr">
        <is>
          <t>GÄVLEBORGS LÄN</t>
        </is>
      </c>
      <c r="E10398" t="inlineStr">
        <is>
          <t>HUDIKSVALL</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7131-2024</t>
        </is>
      </c>
      <c r="B10399" s="1" t="n">
        <v>45344</v>
      </c>
      <c r="C10399" s="1" t="n">
        <v>45357</v>
      </c>
      <c r="D10399" t="inlineStr">
        <is>
          <t>GÄVLEBORGS LÄN</t>
        </is>
      </c>
      <c r="E10399" t="inlineStr">
        <is>
          <t>SÖDERHAMN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7135-2024</t>
        </is>
      </c>
      <c r="B10400" s="1" t="n">
        <v>45344</v>
      </c>
      <c r="C10400" s="1" t="n">
        <v>45357</v>
      </c>
      <c r="D10400" t="inlineStr">
        <is>
          <t>GÄVLEBORGS LÄN</t>
        </is>
      </c>
      <c r="E10400" t="inlineStr">
        <is>
          <t>OVANÅKER</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7297-2024</t>
        </is>
      </c>
      <c r="B10401" s="1" t="n">
        <v>45344</v>
      </c>
      <c r="C10401" s="1" t="n">
        <v>45357</v>
      </c>
      <c r="D10401" t="inlineStr">
        <is>
          <t>GÄVLEBORGS LÄN</t>
        </is>
      </c>
      <c r="E10401" t="inlineStr">
        <is>
          <t>GÄVLE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7298-2024</t>
        </is>
      </c>
      <c r="B10402" s="1" t="n">
        <v>45344</v>
      </c>
      <c r="C10402" s="1" t="n">
        <v>45357</v>
      </c>
      <c r="D10402" t="inlineStr">
        <is>
          <t>GÄVLEBORGS LÄN</t>
        </is>
      </c>
      <c r="E10402" t="inlineStr">
        <is>
          <t>GÄVLE</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7348-2024</t>
        </is>
      </c>
      <c r="B10403" s="1" t="n">
        <v>45345</v>
      </c>
      <c r="C10403" s="1" t="n">
        <v>45357</v>
      </c>
      <c r="D10403" t="inlineStr">
        <is>
          <t>GÄVLEBORGS LÄN</t>
        </is>
      </c>
      <c r="E10403" t="inlineStr">
        <is>
          <t>LJUSDAL</t>
        </is>
      </c>
      <c r="F10403" t="inlineStr">
        <is>
          <t>Bergvik skog väst AB</t>
        </is>
      </c>
      <c r="G10403" t="n">
        <v>13.4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7360-2024</t>
        </is>
      </c>
      <c r="B10404" s="1" t="n">
        <v>45345</v>
      </c>
      <c r="C10404" s="1" t="n">
        <v>45357</v>
      </c>
      <c r="D10404" t="inlineStr">
        <is>
          <t>GÄVLEBORGS LÄN</t>
        </is>
      </c>
      <c r="E10404" t="inlineStr">
        <is>
          <t>SÖDERHAMN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7363-2024</t>
        </is>
      </c>
      <c r="B10405" s="1" t="n">
        <v>45345</v>
      </c>
      <c r="C10405" s="1" t="n">
        <v>45357</v>
      </c>
      <c r="D10405" t="inlineStr">
        <is>
          <t>GÄVLEBORGS LÄN</t>
        </is>
      </c>
      <c r="E10405" t="inlineStr">
        <is>
          <t>SÖDERHAMN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7386-2024</t>
        </is>
      </c>
      <c r="B10406" s="1" t="n">
        <v>45345</v>
      </c>
      <c r="C10406" s="1" t="n">
        <v>45357</v>
      </c>
      <c r="D10406" t="inlineStr">
        <is>
          <t>GÄVLEBORGS LÄN</t>
        </is>
      </c>
      <c r="E10406" t="inlineStr">
        <is>
          <t>LJUSDAL</t>
        </is>
      </c>
      <c r="F10406" t="inlineStr">
        <is>
          <t>Holmen skog AB</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7411-2024</t>
        </is>
      </c>
      <c r="B10407" s="1" t="n">
        <v>45345</v>
      </c>
      <c r="C10407" s="1" t="n">
        <v>45357</v>
      </c>
      <c r="D10407" t="inlineStr">
        <is>
          <t>GÄVLEBORGS LÄN</t>
        </is>
      </c>
      <c r="E10407" t="inlineStr">
        <is>
          <t>HUDIKSVALL</t>
        </is>
      </c>
      <c r="G10407" t="n">
        <v>24.2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7436-2024</t>
        </is>
      </c>
      <c r="B10408" s="1" t="n">
        <v>45345</v>
      </c>
      <c r="C10408" s="1" t="n">
        <v>45357</v>
      </c>
      <c r="D10408" t="inlineStr">
        <is>
          <t>GÄVLEBORGS LÄN</t>
        </is>
      </c>
      <c r="E10408" t="inlineStr">
        <is>
          <t>NORDANSTIG</t>
        </is>
      </c>
      <c r="F10408" t="inlineStr">
        <is>
          <t>Holmen skog AB</t>
        </is>
      </c>
      <c r="G10408" t="n">
        <v>62.5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7460-2024</t>
        </is>
      </c>
      <c r="B10409" s="1" t="n">
        <v>45345</v>
      </c>
      <c r="C10409" s="1" t="n">
        <v>45357</v>
      </c>
      <c r="D10409" t="inlineStr">
        <is>
          <t>GÄVLEBORGS LÄN</t>
        </is>
      </c>
      <c r="E10409" t="inlineStr">
        <is>
          <t>NORDANSTIG</t>
        </is>
      </c>
      <c r="G10409" t="n">
        <v>10.8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7514-2024</t>
        </is>
      </c>
      <c r="B10410" s="1" t="n">
        <v>45348</v>
      </c>
      <c r="C10410" s="1" t="n">
        <v>45357</v>
      </c>
      <c r="D10410" t="inlineStr">
        <is>
          <t>GÄVLEBORGS LÄN</t>
        </is>
      </c>
      <c r="E10410" t="inlineStr">
        <is>
          <t>LJUSDAL</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7513-2024</t>
        </is>
      </c>
      <c r="B10411" s="1" t="n">
        <v>45348</v>
      </c>
      <c r="C10411" s="1" t="n">
        <v>45357</v>
      </c>
      <c r="D10411" t="inlineStr">
        <is>
          <t>GÄVLEBORGS LÄN</t>
        </is>
      </c>
      <c r="E10411" t="inlineStr">
        <is>
          <t>LJUSDAL</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7543-2024</t>
        </is>
      </c>
      <c r="B10412" s="1" t="n">
        <v>45348</v>
      </c>
      <c r="C10412" s="1" t="n">
        <v>45357</v>
      </c>
      <c r="D10412" t="inlineStr">
        <is>
          <t>GÄVLEBORGS LÄN</t>
        </is>
      </c>
      <c r="E10412" t="inlineStr">
        <is>
          <t>HOFORS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7547-2024</t>
        </is>
      </c>
      <c r="B10413" s="1" t="n">
        <v>45348</v>
      </c>
      <c r="C10413" s="1" t="n">
        <v>45357</v>
      </c>
      <c r="D10413" t="inlineStr">
        <is>
          <t>GÄVLEBORGS LÄN</t>
        </is>
      </c>
      <c r="E10413" t="inlineStr">
        <is>
          <t>HOFORS</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7563-2024</t>
        </is>
      </c>
      <c r="B10414" s="1" t="n">
        <v>45348</v>
      </c>
      <c r="C10414" s="1" t="n">
        <v>45357</v>
      </c>
      <c r="D10414" t="inlineStr">
        <is>
          <t>GÄVLEBORGS LÄN</t>
        </is>
      </c>
      <c r="E10414" t="inlineStr">
        <is>
          <t>HOFORS</t>
        </is>
      </c>
      <c r="G10414" t="n">
        <v>10.8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7580-2024</t>
        </is>
      </c>
      <c r="B10415" s="1" t="n">
        <v>45348</v>
      </c>
      <c r="C10415" s="1" t="n">
        <v>45357</v>
      </c>
      <c r="D10415" t="inlineStr">
        <is>
          <t>GÄVLEBORGS LÄN</t>
        </is>
      </c>
      <c r="E10415" t="inlineStr">
        <is>
          <t>BOLLNÄS</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7606-2024</t>
        </is>
      </c>
      <c r="B10416" s="1" t="n">
        <v>45348</v>
      </c>
      <c r="C10416" s="1" t="n">
        <v>45357</v>
      </c>
      <c r="D10416" t="inlineStr">
        <is>
          <t>GÄVLEBORGS LÄN</t>
        </is>
      </c>
      <c r="E10416" t="inlineStr">
        <is>
          <t>LJUSDAL</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7603-2024</t>
        </is>
      </c>
      <c r="B10417" s="1" t="n">
        <v>45348</v>
      </c>
      <c r="C10417" s="1" t="n">
        <v>45357</v>
      </c>
      <c r="D10417" t="inlineStr">
        <is>
          <t>GÄVLEBORGS LÄN</t>
        </is>
      </c>
      <c r="E10417" t="inlineStr">
        <is>
          <t>LJUSDAL</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7614-2024</t>
        </is>
      </c>
      <c r="B10418" s="1" t="n">
        <v>45348</v>
      </c>
      <c r="C10418" s="1" t="n">
        <v>45357</v>
      </c>
      <c r="D10418" t="inlineStr">
        <is>
          <t>GÄVLEBORGS LÄN</t>
        </is>
      </c>
      <c r="E10418" t="inlineStr">
        <is>
          <t>BOLLNÄS</t>
        </is>
      </c>
      <c r="F10418" t="inlineStr">
        <is>
          <t>Kommuner</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7560-2024</t>
        </is>
      </c>
      <c r="B10419" s="1" t="n">
        <v>45348</v>
      </c>
      <c r="C10419" s="1" t="n">
        <v>45357</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7694-2024</t>
        </is>
      </c>
      <c r="B10420" s="1" t="n">
        <v>45349</v>
      </c>
      <c r="C10420" s="1" t="n">
        <v>45357</v>
      </c>
      <c r="D10420" t="inlineStr">
        <is>
          <t>GÄVLEBORGS LÄN</t>
        </is>
      </c>
      <c r="E10420" t="inlineStr">
        <is>
          <t>OVANÅKER</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7846-2024</t>
        </is>
      </c>
      <c r="B10421" s="1" t="n">
        <v>45350</v>
      </c>
      <c r="C10421" s="1" t="n">
        <v>45357</v>
      </c>
      <c r="D10421" t="inlineStr">
        <is>
          <t>GÄVLEBORGS LÄN</t>
        </is>
      </c>
      <c r="E10421" t="inlineStr">
        <is>
          <t>NORDANSTIG</t>
        </is>
      </c>
      <c r="G10421" t="n">
        <v>7.7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7693-2024</t>
        </is>
      </c>
      <c r="B10422" s="1" t="n">
        <v>45349</v>
      </c>
      <c r="C10422" s="1" t="n">
        <v>45357</v>
      </c>
      <c r="D10422" t="inlineStr">
        <is>
          <t>GÄVLEBORGS LÄN</t>
        </is>
      </c>
      <c r="E10422" t="inlineStr">
        <is>
          <t>OVANÅKER</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7734-2024</t>
        </is>
      </c>
      <c r="B10423" s="1" t="n">
        <v>45349</v>
      </c>
      <c r="C10423" s="1" t="n">
        <v>45357</v>
      </c>
      <c r="D10423" t="inlineStr">
        <is>
          <t>GÄVLEBORGS LÄN</t>
        </is>
      </c>
      <c r="E10423" t="inlineStr">
        <is>
          <t>BOLLNÄS</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7731-2024</t>
        </is>
      </c>
      <c r="B10424" s="1" t="n">
        <v>45349</v>
      </c>
      <c r="C10424" s="1" t="n">
        <v>45357</v>
      </c>
      <c r="D10424" t="inlineStr">
        <is>
          <t>GÄVLEBORGS LÄN</t>
        </is>
      </c>
      <c r="E10424" t="inlineStr">
        <is>
          <t>LJUSDAL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7709-2024</t>
        </is>
      </c>
      <c r="B10425" s="1" t="n">
        <v>45349</v>
      </c>
      <c r="C10425" s="1" t="n">
        <v>45357</v>
      </c>
      <c r="D10425" t="inlineStr">
        <is>
          <t>GÄVLEBORGS LÄN</t>
        </is>
      </c>
      <c r="E10425" t="inlineStr">
        <is>
          <t>LJUSDAL</t>
        </is>
      </c>
      <c r="F10425" t="inlineStr">
        <is>
          <t>Holmen skog AB</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7811-2024</t>
        </is>
      </c>
      <c r="B10426" s="1" t="n">
        <v>45349</v>
      </c>
      <c r="C10426" s="1" t="n">
        <v>45357</v>
      </c>
      <c r="D10426" t="inlineStr">
        <is>
          <t>GÄVLEBORGS LÄN</t>
        </is>
      </c>
      <c r="E10426" t="inlineStr">
        <is>
          <t>NORDANSTIG</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7724-2024</t>
        </is>
      </c>
      <c r="B10427" s="1" t="n">
        <v>45349</v>
      </c>
      <c r="C10427" s="1" t="n">
        <v>45357</v>
      </c>
      <c r="D10427" t="inlineStr">
        <is>
          <t>GÄVLEBORGS LÄN</t>
        </is>
      </c>
      <c r="E10427" t="inlineStr">
        <is>
          <t>LJUSDAL</t>
        </is>
      </c>
      <c r="F10427" t="inlineStr">
        <is>
          <t>Bergvik skog väst AB</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7729-2024</t>
        </is>
      </c>
      <c r="B10428" s="1" t="n">
        <v>45349</v>
      </c>
      <c r="C10428" s="1" t="n">
        <v>45357</v>
      </c>
      <c r="D10428" t="inlineStr">
        <is>
          <t>GÄVLEBORGS LÄN</t>
        </is>
      </c>
      <c r="E10428" t="inlineStr">
        <is>
          <t>LJUSDAL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7836-2024</t>
        </is>
      </c>
      <c r="B10429" s="1" t="n">
        <v>45349</v>
      </c>
      <c r="C10429" s="1" t="n">
        <v>45357</v>
      </c>
      <c r="D10429" t="inlineStr">
        <is>
          <t>GÄVLEBORGS LÄN</t>
        </is>
      </c>
      <c r="E10429" t="inlineStr">
        <is>
          <t>HUDIKSVALL</t>
        </is>
      </c>
      <c r="F10429" t="inlineStr">
        <is>
          <t>Holmen skog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7907-2024</t>
        </is>
      </c>
      <c r="B10430" s="1" t="n">
        <v>45350</v>
      </c>
      <c r="C10430" s="1" t="n">
        <v>45357</v>
      </c>
      <c r="D10430" t="inlineStr">
        <is>
          <t>GÄVLEBORGS LÄN</t>
        </is>
      </c>
      <c r="E10430" t="inlineStr">
        <is>
          <t>HUDIKSVALL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7920-2024</t>
        </is>
      </c>
      <c r="B10431" s="1" t="n">
        <v>45350</v>
      </c>
      <c r="C10431" s="1" t="n">
        <v>45357</v>
      </c>
      <c r="D10431" t="inlineStr">
        <is>
          <t>GÄVLEBORGS LÄN</t>
        </is>
      </c>
      <c r="E10431" t="inlineStr">
        <is>
          <t>GÄVLE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7926-2024</t>
        </is>
      </c>
      <c r="B10432" s="1" t="n">
        <v>45350</v>
      </c>
      <c r="C10432" s="1" t="n">
        <v>45357</v>
      </c>
      <c r="D10432" t="inlineStr">
        <is>
          <t>GÄVLEBORGS LÄN</t>
        </is>
      </c>
      <c r="E10432" t="inlineStr">
        <is>
          <t>GÄVLE</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7997-2024</t>
        </is>
      </c>
      <c r="B10433" s="1" t="n">
        <v>45350</v>
      </c>
      <c r="C10433" s="1" t="n">
        <v>45357</v>
      </c>
      <c r="D10433" t="inlineStr">
        <is>
          <t>GÄVLEBORGS LÄN</t>
        </is>
      </c>
      <c r="E10433" t="inlineStr">
        <is>
          <t>OVANÅKER</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7886-2024</t>
        </is>
      </c>
      <c r="B10434" s="1" t="n">
        <v>45350</v>
      </c>
      <c r="C10434" s="1" t="n">
        <v>45357</v>
      </c>
      <c r="D10434" t="inlineStr">
        <is>
          <t>GÄVLEBORGS LÄN</t>
        </is>
      </c>
      <c r="E10434" t="inlineStr">
        <is>
          <t>SANDVIKEN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7899-2024</t>
        </is>
      </c>
      <c r="B10435" s="1" t="n">
        <v>45350</v>
      </c>
      <c r="C10435" s="1" t="n">
        <v>45357</v>
      </c>
      <c r="D10435" t="inlineStr">
        <is>
          <t>GÄVLEBORGS LÄN</t>
        </is>
      </c>
      <c r="E10435" t="inlineStr">
        <is>
          <t>GÄVLE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7994-2024</t>
        </is>
      </c>
      <c r="B10436" s="1" t="n">
        <v>45350</v>
      </c>
      <c r="C10436" s="1" t="n">
        <v>45357</v>
      </c>
      <c r="D10436" t="inlineStr">
        <is>
          <t>GÄVLEBORGS LÄN</t>
        </is>
      </c>
      <c r="E10436" t="inlineStr">
        <is>
          <t>LJUSDAL</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7915-2024</t>
        </is>
      </c>
      <c r="B10437" s="1" t="n">
        <v>45350</v>
      </c>
      <c r="C10437" s="1" t="n">
        <v>45357</v>
      </c>
      <c r="D10437" t="inlineStr">
        <is>
          <t>GÄVLEBORGS LÄN</t>
        </is>
      </c>
      <c r="E10437" t="inlineStr">
        <is>
          <t>GÄVLE</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7919-2024</t>
        </is>
      </c>
      <c r="B10438" s="1" t="n">
        <v>45350</v>
      </c>
      <c r="C10438" s="1" t="n">
        <v>45357</v>
      </c>
      <c r="D10438" t="inlineStr">
        <is>
          <t>GÄVLEBORGS LÄN</t>
        </is>
      </c>
      <c r="E10438" t="inlineStr">
        <is>
          <t>SANDVIKEN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7992-2024</t>
        </is>
      </c>
      <c r="B10439" s="1" t="n">
        <v>45350</v>
      </c>
      <c r="C10439" s="1" t="n">
        <v>45357</v>
      </c>
      <c r="D10439" t="inlineStr">
        <is>
          <t>GÄVLEBORGS LÄN</t>
        </is>
      </c>
      <c r="E10439" t="inlineStr">
        <is>
          <t>HUDIKSVALL</t>
        </is>
      </c>
      <c r="F10439" t="inlineStr">
        <is>
          <t>Holmen skog AB</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7923-2024</t>
        </is>
      </c>
      <c r="B10440" s="1" t="n">
        <v>45350</v>
      </c>
      <c r="C10440" s="1" t="n">
        <v>45357</v>
      </c>
      <c r="D10440" t="inlineStr">
        <is>
          <t>GÄVLEBORGS LÄN</t>
        </is>
      </c>
      <c r="E10440" t="inlineStr">
        <is>
          <t>GÄVLE</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8032-2024</t>
        </is>
      </c>
      <c r="B10441" s="1" t="n">
        <v>45350</v>
      </c>
      <c r="C10441" s="1" t="n">
        <v>45357</v>
      </c>
      <c r="D10441" t="inlineStr">
        <is>
          <t>GÄVLEBORGS LÄN</t>
        </is>
      </c>
      <c r="E10441" t="inlineStr">
        <is>
          <t>OVANÅKER</t>
        </is>
      </c>
      <c r="G10441" t="n">
        <v>7.5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8027-2024</t>
        </is>
      </c>
      <c r="B10442" s="1" t="n">
        <v>45350</v>
      </c>
      <c r="C10442" s="1" t="n">
        <v>45357</v>
      </c>
      <c r="D10442" t="inlineStr">
        <is>
          <t>GÄVLEBORGS LÄN</t>
        </is>
      </c>
      <c r="E10442" t="inlineStr">
        <is>
          <t>HUDIKSVALL</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8031-2024</t>
        </is>
      </c>
      <c r="B10443" s="1" t="n">
        <v>45350</v>
      </c>
      <c r="C10443" s="1" t="n">
        <v>45357</v>
      </c>
      <c r="D10443" t="inlineStr">
        <is>
          <t>GÄVLEBORGS LÄN</t>
        </is>
      </c>
      <c r="E10443" t="inlineStr">
        <is>
          <t>GÄVLE</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8040-2024</t>
        </is>
      </c>
      <c r="B10444" s="1" t="n">
        <v>45350</v>
      </c>
      <c r="C10444" s="1" t="n">
        <v>45357</v>
      </c>
      <c r="D10444" t="inlineStr">
        <is>
          <t>GÄVLEBORGS LÄN</t>
        </is>
      </c>
      <c r="E10444" t="inlineStr">
        <is>
          <t>NORDANSTIG</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8051-2024</t>
        </is>
      </c>
      <c r="B10445" s="1" t="n">
        <v>45351</v>
      </c>
      <c r="C10445" s="1" t="n">
        <v>45357</v>
      </c>
      <c r="D10445" t="inlineStr">
        <is>
          <t>GÄVLEBORGS LÄN</t>
        </is>
      </c>
      <c r="E10445" t="inlineStr">
        <is>
          <t>HUDIKSVALL</t>
        </is>
      </c>
      <c r="F10445" t="inlineStr">
        <is>
          <t>Holmen skog AB</t>
        </is>
      </c>
      <c r="G10445" t="n">
        <v>12.9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8142-2024</t>
        </is>
      </c>
      <c r="B10446" s="1" t="n">
        <v>45351</v>
      </c>
      <c r="C10446" s="1" t="n">
        <v>45357</v>
      </c>
      <c r="D10446" t="inlineStr">
        <is>
          <t>GÄVLEBORGS LÄN</t>
        </is>
      </c>
      <c r="E10446" t="inlineStr">
        <is>
          <t>LJUSDAL</t>
        </is>
      </c>
      <c r="F10446" t="inlineStr">
        <is>
          <t>Holmen skog AB</t>
        </is>
      </c>
      <c r="G10446" t="n">
        <v>17.1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8061-2024</t>
        </is>
      </c>
      <c r="B10447" s="1" t="n">
        <v>45351</v>
      </c>
      <c r="C10447" s="1" t="n">
        <v>45357</v>
      </c>
      <c r="D10447" t="inlineStr">
        <is>
          <t>GÄVLEBORGS LÄN</t>
        </is>
      </c>
      <c r="E10447" t="inlineStr">
        <is>
          <t>LJUSDAL</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8081-2024</t>
        </is>
      </c>
      <c r="B10448" s="1" t="n">
        <v>45351</v>
      </c>
      <c r="C10448" s="1" t="n">
        <v>45357</v>
      </c>
      <c r="D10448" t="inlineStr">
        <is>
          <t>GÄVLEBORGS LÄN</t>
        </is>
      </c>
      <c r="E10448" t="inlineStr">
        <is>
          <t>LJUSDAL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8080-2024</t>
        </is>
      </c>
      <c r="B10449" s="1" t="n">
        <v>45351</v>
      </c>
      <c r="C10449" s="1" t="n">
        <v>45357</v>
      </c>
      <c r="D10449" t="inlineStr">
        <is>
          <t>GÄVLEBORGS LÄN</t>
        </is>
      </c>
      <c r="E10449" t="inlineStr">
        <is>
          <t>SÖDERHAMN</t>
        </is>
      </c>
      <c r="G10449" t="n">
        <v>9.4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8096-2024</t>
        </is>
      </c>
      <c r="B10450" s="1" t="n">
        <v>45351</v>
      </c>
      <c r="C10450" s="1" t="n">
        <v>45357</v>
      </c>
      <c r="D10450" t="inlineStr">
        <is>
          <t>GÄVLEBORGS LÄN</t>
        </is>
      </c>
      <c r="E10450" t="inlineStr">
        <is>
          <t>HUDIKSVALL</t>
        </is>
      </c>
      <c r="F10450" t="inlineStr">
        <is>
          <t>Holmen skog AB</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8119-2024</t>
        </is>
      </c>
      <c r="B10451" s="1" t="n">
        <v>45351</v>
      </c>
      <c r="C10451" s="1" t="n">
        <v>45357</v>
      </c>
      <c r="D10451" t="inlineStr">
        <is>
          <t>GÄVLEBORGS LÄN</t>
        </is>
      </c>
      <c r="E10451" t="inlineStr">
        <is>
          <t>BOLLNÄS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8233-2024</t>
        </is>
      </c>
      <c r="B10452" s="1" t="n">
        <v>45351</v>
      </c>
      <c r="C10452" s="1" t="n">
        <v>45357</v>
      </c>
      <c r="D10452" t="inlineStr">
        <is>
          <t>GÄVLEBORGS LÄN</t>
        </is>
      </c>
      <c r="E10452" t="inlineStr">
        <is>
          <t>BOLLNÄS</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8302-2024</t>
        </is>
      </c>
      <c r="B10453" s="1" t="n">
        <v>45352</v>
      </c>
      <c r="C10453" s="1" t="n">
        <v>45357</v>
      </c>
      <c r="D10453" t="inlineStr">
        <is>
          <t>GÄVLEBORGS LÄN</t>
        </is>
      </c>
      <c r="E10453" t="inlineStr">
        <is>
          <t>BOLLNÄS</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8308-2024</t>
        </is>
      </c>
      <c r="B10454" s="1" t="n">
        <v>45352</v>
      </c>
      <c r="C10454" s="1" t="n">
        <v>45357</v>
      </c>
      <c r="D10454" t="inlineStr">
        <is>
          <t>GÄVLEBORGS LÄN</t>
        </is>
      </c>
      <c r="E10454" t="inlineStr">
        <is>
          <t>BOLLNÄS</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8335-2024</t>
        </is>
      </c>
      <c r="B10455" s="1" t="n">
        <v>45352</v>
      </c>
      <c r="C10455" s="1" t="n">
        <v>45357</v>
      </c>
      <c r="D10455" t="inlineStr">
        <is>
          <t>GÄVLEBORGS LÄN</t>
        </is>
      </c>
      <c r="E10455" t="inlineStr">
        <is>
          <t>LJUSDAL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8384-2024</t>
        </is>
      </c>
      <c r="B10456" s="1" t="n">
        <v>45352</v>
      </c>
      <c r="C10456" s="1" t="n">
        <v>45357</v>
      </c>
      <c r="D10456" t="inlineStr">
        <is>
          <t>GÄVLEBORGS LÄN</t>
        </is>
      </c>
      <c r="E10456" t="inlineStr">
        <is>
          <t>LJUSDAL</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8327-2024</t>
        </is>
      </c>
      <c r="B10457" s="1" t="n">
        <v>45352</v>
      </c>
      <c r="C10457" s="1" t="n">
        <v>45357</v>
      </c>
      <c r="D10457" t="inlineStr">
        <is>
          <t>GÄVLEBORGS LÄN</t>
        </is>
      </c>
      <c r="E10457" t="inlineStr">
        <is>
          <t>BOLLNÄS</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8397-2024</t>
        </is>
      </c>
      <c r="B10458" s="1" t="n">
        <v>45352</v>
      </c>
      <c r="C10458" s="1" t="n">
        <v>45357</v>
      </c>
      <c r="D10458" t="inlineStr">
        <is>
          <t>GÄVLEBORGS LÄN</t>
        </is>
      </c>
      <c r="E10458" t="inlineStr">
        <is>
          <t>NORDANSTIG</t>
        </is>
      </c>
      <c r="F10458" t="inlineStr">
        <is>
          <t>Holmen skog AB</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8289-2024</t>
        </is>
      </c>
      <c r="B10459" s="1" t="n">
        <v>45352</v>
      </c>
      <c r="C10459" s="1" t="n">
        <v>45357</v>
      </c>
      <c r="D10459" t="inlineStr">
        <is>
          <t>GÄVLEBORGS LÄN</t>
        </is>
      </c>
      <c r="E10459" t="inlineStr">
        <is>
          <t>LJUSDAL</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8323-2024</t>
        </is>
      </c>
      <c r="B10460" s="1" t="n">
        <v>45352</v>
      </c>
      <c r="C10460" s="1" t="n">
        <v>45357</v>
      </c>
      <c r="D10460" t="inlineStr">
        <is>
          <t>GÄVLEBORGS LÄN</t>
        </is>
      </c>
      <c r="E10460" t="inlineStr">
        <is>
          <t>BOLLNÄS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8339-2024</t>
        </is>
      </c>
      <c r="B10461" s="1" t="n">
        <v>45352</v>
      </c>
      <c r="C10461" s="1" t="n">
        <v>45357</v>
      </c>
      <c r="D10461" t="inlineStr">
        <is>
          <t>GÄVLEBORGS LÄN</t>
        </is>
      </c>
      <c r="E10461" t="inlineStr">
        <is>
          <t>LJUSDAL</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8395-2024</t>
        </is>
      </c>
      <c r="B10462" s="1" t="n">
        <v>45352</v>
      </c>
      <c r="C10462" s="1" t="n">
        <v>45357</v>
      </c>
      <c r="D10462" t="inlineStr">
        <is>
          <t>GÄVLEBORGS LÄN</t>
        </is>
      </c>
      <c r="E10462" t="inlineStr">
        <is>
          <t>NORDANSTIG</t>
        </is>
      </c>
      <c r="F10462" t="inlineStr">
        <is>
          <t>Holmen skog AB</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8434-2024</t>
        </is>
      </c>
      <c r="B10463" s="1" t="n">
        <v>45353</v>
      </c>
      <c r="C10463" s="1" t="n">
        <v>45357</v>
      </c>
      <c r="D10463" t="inlineStr">
        <is>
          <t>GÄVLEBORGS LÄN</t>
        </is>
      </c>
      <c r="E10463" t="inlineStr">
        <is>
          <t>HUDIKSVALL</t>
        </is>
      </c>
      <c r="F10463" t="inlineStr">
        <is>
          <t>Holmen skog AB</t>
        </is>
      </c>
      <c r="G10463" t="n">
        <v>10.1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8496-2024</t>
        </is>
      </c>
      <c r="B10464" s="1" t="n">
        <v>45355</v>
      </c>
      <c r="C10464" s="1" t="n">
        <v>45357</v>
      </c>
      <c r="D10464" t="inlineStr">
        <is>
          <t>GÄVLEBORGS LÄN</t>
        </is>
      </c>
      <c r="E10464" t="inlineStr">
        <is>
          <t>HUDIKSVALL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8487-2024</t>
        </is>
      </c>
      <c r="B10465" s="1" t="n">
        <v>45355</v>
      </c>
      <c r="C10465" s="1" t="n">
        <v>45357</v>
      </c>
      <c r="D10465" t="inlineStr">
        <is>
          <t>GÄVLEBORGS LÄN</t>
        </is>
      </c>
      <c r="E10465" t="inlineStr">
        <is>
          <t>HUDIKSVALL</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8486-2024</t>
        </is>
      </c>
      <c r="B10466" s="1" t="n">
        <v>45355</v>
      </c>
      <c r="C10466" s="1" t="n">
        <v>45357</v>
      </c>
      <c r="D10466" t="inlineStr">
        <is>
          <t>GÄVLEBORGS LÄN</t>
        </is>
      </c>
      <c r="E10466" t="inlineStr">
        <is>
          <t>HUDIKSVALL</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8494-2024</t>
        </is>
      </c>
      <c r="B10467" s="1" t="n">
        <v>45355</v>
      </c>
      <c r="C10467" s="1" t="n">
        <v>45357</v>
      </c>
      <c r="D10467" t="inlineStr">
        <is>
          <t>GÄVLEBORGS LÄN</t>
        </is>
      </c>
      <c r="E10467" t="inlineStr">
        <is>
          <t>HUDIKSVALL</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8515-2024</t>
        </is>
      </c>
      <c r="B10468" s="1" t="n">
        <v>45355</v>
      </c>
      <c r="C10468" s="1" t="n">
        <v>45357</v>
      </c>
      <c r="D10468" t="inlineStr">
        <is>
          <t>GÄVLEBORGS LÄN</t>
        </is>
      </c>
      <c r="E10468" t="inlineStr">
        <is>
          <t>HUDIKSVALL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8522-2024</t>
        </is>
      </c>
      <c r="B10469" s="1" t="n">
        <v>45355</v>
      </c>
      <c r="C10469" s="1" t="n">
        <v>45357</v>
      </c>
      <c r="D10469" t="inlineStr">
        <is>
          <t>GÄVLEBORGS LÄN</t>
        </is>
      </c>
      <c r="E10469" t="inlineStr">
        <is>
          <t>HUDIKSVALL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8573-2024</t>
        </is>
      </c>
      <c r="B10470" s="1" t="n">
        <v>45355</v>
      </c>
      <c r="C10470" s="1" t="n">
        <v>45357</v>
      </c>
      <c r="D10470" t="inlineStr">
        <is>
          <t>GÄVLEBORGS LÄN</t>
        </is>
      </c>
      <c r="E10470" t="inlineStr">
        <is>
          <t>BOLLNÄS</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8691-2024</t>
        </is>
      </c>
      <c r="B10471" s="1" t="n">
        <v>45356</v>
      </c>
      <c r="C10471" s="1" t="n">
        <v>45357</v>
      </c>
      <c r="D10471" t="inlineStr">
        <is>
          <t>GÄVLEBORGS LÄN</t>
        </is>
      </c>
      <c r="E10471" t="inlineStr">
        <is>
          <t>GÄVLE</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8667-2024</t>
        </is>
      </c>
      <c r="B10472" s="1" t="n">
        <v>45356</v>
      </c>
      <c r="C10472" s="1" t="n">
        <v>45357</v>
      </c>
      <c r="D10472" t="inlineStr">
        <is>
          <t>GÄVLEBORGS LÄN</t>
        </is>
      </c>
      <c r="E10472" t="inlineStr">
        <is>
          <t>LJUSDAL</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8693-2024</t>
        </is>
      </c>
      <c r="B10473" s="1" t="n">
        <v>45356</v>
      </c>
      <c r="C10473" s="1" t="n">
        <v>45357</v>
      </c>
      <c r="D10473" t="inlineStr">
        <is>
          <t>GÄVLEBORGS LÄN</t>
        </is>
      </c>
      <c r="E10473" t="inlineStr">
        <is>
          <t>GÄVLE</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8698-2024</t>
        </is>
      </c>
      <c r="B10474" s="1" t="n">
        <v>45356</v>
      </c>
      <c r="C10474" s="1" t="n">
        <v>45357</v>
      </c>
      <c r="D10474" t="inlineStr">
        <is>
          <t>GÄVLEBORGS LÄN</t>
        </is>
      </c>
      <c r="E10474" t="inlineStr">
        <is>
          <t>SANDVIKEN</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8768-2024</t>
        </is>
      </c>
      <c r="B10475" s="1" t="n">
        <v>45356</v>
      </c>
      <c r="C10475" s="1" t="n">
        <v>45357</v>
      </c>
      <c r="D10475" t="inlineStr">
        <is>
          <t>GÄVLEBORGS LÄN</t>
        </is>
      </c>
      <c r="E10475" t="inlineStr">
        <is>
          <t>SÖDERHAMN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8776-2024</t>
        </is>
      </c>
      <c r="B10476" s="1" t="n">
        <v>45356</v>
      </c>
      <c r="C10476" s="1" t="n">
        <v>45357</v>
      </c>
      <c r="D10476" t="inlineStr">
        <is>
          <t>GÄVLEBORGS LÄN</t>
        </is>
      </c>
      <c r="E10476" t="inlineStr">
        <is>
          <t>BOLLNÄS</t>
        </is>
      </c>
      <c r="G10476" t="n">
        <v>2.3</v>
      </c>
      <c r="H10476" t="n">
        <v>0</v>
      </c>
      <c r="I10476" t="n">
        <v>0</v>
      </c>
      <c r="J10476" t="n">
        <v>0</v>
      </c>
      <c r="K10476" t="n">
        <v>0</v>
      </c>
      <c r="L10476" t="n">
        <v>0</v>
      </c>
      <c r="M10476" t="n">
        <v>0</v>
      </c>
      <c r="N10476" t="n">
        <v>0</v>
      </c>
      <c r="O10476" t="n">
        <v>0</v>
      </c>
      <c r="P10476" t="n">
        <v>0</v>
      </c>
      <c r="Q10476" t="n">
        <v>0</v>
      </c>
      <c r="R10476" s="2" t="inlineStr"/>
    </row>
    <row r="10477">
      <c r="A10477" t="inlineStr">
        <is>
          <t>A 8695-2024</t>
        </is>
      </c>
      <c r="B10477" s="1" t="n">
        <v>45356</v>
      </c>
      <c r="C10477" s="1" t="n">
        <v>45357</v>
      </c>
      <c r="D10477" t="inlineStr">
        <is>
          <t>GÄVLEBORGS LÄN</t>
        </is>
      </c>
      <c r="E10477" t="inlineStr">
        <is>
          <t>SANDVIKEN</t>
        </is>
      </c>
      <c r="G10477" t="n">
        <v>2.3</v>
      </c>
      <c r="H10477" t="n">
        <v>0</v>
      </c>
      <c r="I10477" t="n">
        <v>0</v>
      </c>
      <c r="J10477" t="n">
        <v>0</v>
      </c>
      <c r="K10477" t="n">
        <v>0</v>
      </c>
      <c r="L10477" t="n">
        <v>0</v>
      </c>
      <c r="M10477" t="n">
        <v>0</v>
      </c>
      <c r="N10477" t="n">
        <v>0</v>
      </c>
      <c r="O10477" t="n">
        <v>0</v>
      </c>
      <c r="P10477" t="n">
        <v>0</v>
      </c>
      <c r="Q10477" t="n">
        <v>0</v>
      </c>
      <c r="R104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2024-03-06T12:58:14Z</dcterms:created>
  <dcterms:modified xmlns:dcterms="http://purl.org/dc/terms/" xmlns:xsi="http://www.w3.org/2001/XMLSchema-instance" xsi:type="dcterms:W3CDTF">2024-03-06T12:58:23Z</dcterms:modified>
</cp:coreProperties>
</file>