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45352</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45352</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45352</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45352</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45352</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45352</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45352</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45352</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45352</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45352</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45352</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45352</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45352</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45352</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45352</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45352</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45352</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45352</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45352</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45352</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45352</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45352</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45352</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45352</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45352</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45352</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45352</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45352</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45352</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45352</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45352</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45352</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45352</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45352</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45352</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45352</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45352</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45352</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45352</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45352</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45352</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45352</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45352</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45352</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45352</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45352</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45352</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45352</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45352</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45352</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45352</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45352</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45352</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45352</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45352</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45352</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45352</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45352</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45352</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45352</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45352</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45352</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45352</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45352</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45352</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45352</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45352</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45352</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1915-2019</t>
        </is>
      </c>
      <c r="B73" s="1" t="n">
        <v>43475</v>
      </c>
      <c r="C73" s="1" t="n">
        <v>45352</v>
      </c>
      <c r="D73" t="inlineStr">
        <is>
          <t>GÄVLEBORGS LÄN</t>
        </is>
      </c>
      <c r="E73" t="inlineStr">
        <is>
          <t>HUDIKSVALL</t>
        </is>
      </c>
      <c r="G73" t="n">
        <v>11.2</v>
      </c>
      <c r="H73" t="n">
        <v>0</v>
      </c>
      <c r="I73" t="n">
        <v>1</v>
      </c>
      <c r="J73" t="n">
        <v>4</v>
      </c>
      <c r="K73" t="n">
        <v>0</v>
      </c>
      <c r="L73" t="n">
        <v>0</v>
      </c>
      <c r="M73" t="n">
        <v>0</v>
      </c>
      <c r="N73" t="n">
        <v>0</v>
      </c>
      <c r="O73" t="n">
        <v>4</v>
      </c>
      <c r="P73" t="n">
        <v>0</v>
      </c>
      <c r="Q73" t="n">
        <v>5</v>
      </c>
      <c r="R73" s="2" t="inlineStr">
        <is>
          <t>Garnlav
Lunglav
Ullticka
Violettgrå tagellav
Thomsons trägnagare</t>
        </is>
      </c>
      <c r="S73">
        <f>HYPERLINK("https://klasma.github.io/Logging_2184/artfynd/A 1915-2019 artfynd.xlsx", "A 1915-2019")</f>
        <v/>
      </c>
      <c r="T73">
        <f>HYPERLINK("https://klasma.github.io/Logging_2184/kartor/A 1915-2019 karta.png", "A 1915-2019")</f>
        <v/>
      </c>
      <c r="V73">
        <f>HYPERLINK("https://klasma.github.io/Logging_2184/klagomål/A 1915-2019 FSC-klagomål.docx", "A 1915-2019")</f>
        <v/>
      </c>
      <c r="W73">
        <f>HYPERLINK("https://klasma.github.io/Logging_2184/klagomålsmail/A 1915-2019 FSC-klagomål mail.docx", "A 1915-2019")</f>
        <v/>
      </c>
      <c r="X73">
        <f>HYPERLINK("https://klasma.github.io/Logging_2184/tillsyn/A 1915-2019 tillsynsbegäran.docx", "A 1915-2019")</f>
        <v/>
      </c>
      <c r="Y73">
        <f>HYPERLINK("https://klasma.github.io/Logging_2184/tillsynsmail/A 1915-2019 tillsynsbegäran mail.docx", "A 1915-2019")</f>
        <v/>
      </c>
    </row>
    <row r="74" ht="15" customHeight="1">
      <c r="A74" t="inlineStr">
        <is>
          <t>A 5644-2019</t>
        </is>
      </c>
      <c r="B74" s="1" t="n">
        <v>43489</v>
      </c>
      <c r="C74" s="1" t="n">
        <v>45352</v>
      </c>
      <c r="D74" t="inlineStr">
        <is>
          <t>GÄVLEBORGS LÄN</t>
        </is>
      </c>
      <c r="E74" t="inlineStr">
        <is>
          <t>HUDIKSVALL</t>
        </is>
      </c>
      <c r="G74" t="n">
        <v>5.3</v>
      </c>
      <c r="H74" t="n">
        <v>3</v>
      </c>
      <c r="I74" t="n">
        <v>3</v>
      </c>
      <c r="J74" t="n">
        <v>0</v>
      </c>
      <c r="K74" t="n">
        <v>0</v>
      </c>
      <c r="L74" t="n">
        <v>0</v>
      </c>
      <c r="M74" t="n">
        <v>0</v>
      </c>
      <c r="N74" t="n">
        <v>0</v>
      </c>
      <c r="O74" t="n">
        <v>0</v>
      </c>
      <c r="P74" t="n">
        <v>0</v>
      </c>
      <c r="Q74" t="n">
        <v>5</v>
      </c>
      <c r="R74" s="2" t="inlineStr">
        <is>
          <t>Korallrot
Strutbräken
Ögonpyrola
Lopplummer
Revlummer</t>
        </is>
      </c>
      <c r="S74">
        <f>HYPERLINK("https://klasma.github.io/Logging_2184/artfynd/A 5644-2019 artfynd.xlsx", "A 5644-2019")</f>
        <v/>
      </c>
      <c r="T74">
        <f>HYPERLINK("https://klasma.github.io/Logging_2184/kartor/A 5644-2019 karta.png", "A 5644-2019")</f>
        <v/>
      </c>
      <c r="V74">
        <f>HYPERLINK("https://klasma.github.io/Logging_2184/klagomål/A 5644-2019 FSC-klagomål.docx", "A 5644-2019")</f>
        <v/>
      </c>
      <c r="W74">
        <f>HYPERLINK("https://klasma.github.io/Logging_2184/klagomålsmail/A 5644-2019 FSC-klagomål mail.docx", "A 5644-2019")</f>
        <v/>
      </c>
      <c r="X74">
        <f>HYPERLINK("https://klasma.github.io/Logging_2184/tillsyn/A 5644-2019 tillsynsbegäran.docx", "A 5644-2019")</f>
        <v/>
      </c>
      <c r="Y74">
        <f>HYPERLINK("https://klasma.github.io/Logging_2184/tillsynsmail/A 5644-2019 tillsynsbegäran mail.docx", "A 5644-2019")</f>
        <v/>
      </c>
    </row>
    <row r="75" ht="15" customHeight="1">
      <c r="A75" t="inlineStr">
        <is>
          <t>A 22996-2019</t>
        </is>
      </c>
      <c r="B75" s="1" t="n">
        <v>43591</v>
      </c>
      <c r="C75" s="1" t="n">
        <v>45352</v>
      </c>
      <c r="D75" t="inlineStr">
        <is>
          <t>GÄVLEBORGS LÄN</t>
        </is>
      </c>
      <c r="E75" t="inlineStr">
        <is>
          <t>NORDANSTIG</t>
        </is>
      </c>
      <c r="G75" t="n">
        <v>11.1</v>
      </c>
      <c r="H75" t="n">
        <v>0</v>
      </c>
      <c r="I75" t="n">
        <v>3</v>
      </c>
      <c r="J75" t="n">
        <v>2</v>
      </c>
      <c r="K75" t="n">
        <v>0</v>
      </c>
      <c r="L75" t="n">
        <v>0</v>
      </c>
      <c r="M75" t="n">
        <v>0</v>
      </c>
      <c r="N75" t="n">
        <v>0</v>
      </c>
      <c r="O75" t="n">
        <v>2</v>
      </c>
      <c r="P75" t="n">
        <v>0</v>
      </c>
      <c r="Q75" t="n">
        <v>5</v>
      </c>
      <c r="R75" s="2" t="inlineStr">
        <is>
          <t>Lunglav
Violettgrå tagellav
Korallblylav
Sotriska
Stuplav</t>
        </is>
      </c>
      <c r="S75">
        <f>HYPERLINK("https://klasma.github.io/Logging_2132/artfynd/A 22996-2019 artfynd.xlsx", "A 22996-2019")</f>
        <v/>
      </c>
      <c r="T75">
        <f>HYPERLINK("https://klasma.github.io/Logging_2132/kartor/A 22996-2019 karta.png", "A 22996-2019")</f>
        <v/>
      </c>
      <c r="V75">
        <f>HYPERLINK("https://klasma.github.io/Logging_2132/klagomål/A 22996-2019 FSC-klagomål.docx", "A 22996-2019")</f>
        <v/>
      </c>
      <c r="W75">
        <f>HYPERLINK("https://klasma.github.io/Logging_2132/klagomålsmail/A 22996-2019 FSC-klagomål mail.docx", "A 22996-2019")</f>
        <v/>
      </c>
      <c r="X75">
        <f>HYPERLINK("https://klasma.github.io/Logging_2132/tillsyn/A 22996-2019 tillsynsbegäran.docx", "A 22996-2019")</f>
        <v/>
      </c>
      <c r="Y75">
        <f>HYPERLINK("https://klasma.github.io/Logging_2132/tillsynsmail/A 22996-2019 tillsynsbegäran mail.docx", "A 22996-2019")</f>
        <v/>
      </c>
    </row>
    <row r="76" ht="15" customHeight="1">
      <c r="A76" t="inlineStr">
        <is>
          <t>A 44518-2019</t>
        </is>
      </c>
      <c r="B76" s="1" t="n">
        <v>43711</v>
      </c>
      <c r="C76" s="1" t="n">
        <v>45352</v>
      </c>
      <c r="D76" t="inlineStr">
        <is>
          <t>GÄVLEBORGS LÄN</t>
        </is>
      </c>
      <c r="E76" t="inlineStr">
        <is>
          <t>LJUSDAL</t>
        </is>
      </c>
      <c r="F76" t="inlineStr">
        <is>
          <t>Sveaskog</t>
        </is>
      </c>
      <c r="G76" t="n">
        <v>10.4</v>
      </c>
      <c r="H76" t="n">
        <v>2</v>
      </c>
      <c r="I76" t="n">
        <v>0</v>
      </c>
      <c r="J76" t="n">
        <v>3</v>
      </c>
      <c r="K76" t="n">
        <v>0</v>
      </c>
      <c r="L76" t="n">
        <v>0</v>
      </c>
      <c r="M76" t="n">
        <v>0</v>
      </c>
      <c r="N76" t="n">
        <v>0</v>
      </c>
      <c r="O76" t="n">
        <v>3</v>
      </c>
      <c r="P76" t="n">
        <v>0</v>
      </c>
      <c r="Q76" t="n">
        <v>5</v>
      </c>
      <c r="R76" s="2" t="inlineStr">
        <is>
          <t>Garnlav
Kolflarnlav
Mörk kolflarnlav
Fläcknycklar
Revlummer</t>
        </is>
      </c>
      <c r="S76">
        <f>HYPERLINK("https://klasma.github.io/Logging_2161/artfynd/A 44518-2019 artfynd.xlsx", "A 44518-2019")</f>
        <v/>
      </c>
      <c r="T76">
        <f>HYPERLINK("https://klasma.github.io/Logging_2161/kartor/A 44518-2019 karta.png", "A 44518-2019")</f>
        <v/>
      </c>
      <c r="V76">
        <f>HYPERLINK("https://klasma.github.io/Logging_2161/klagomål/A 44518-2019 FSC-klagomål.docx", "A 44518-2019")</f>
        <v/>
      </c>
      <c r="W76">
        <f>HYPERLINK("https://klasma.github.io/Logging_2161/klagomålsmail/A 44518-2019 FSC-klagomål mail.docx", "A 44518-2019")</f>
        <v/>
      </c>
      <c r="X76">
        <f>HYPERLINK("https://klasma.github.io/Logging_2161/tillsyn/A 44518-2019 tillsynsbegäran.docx", "A 44518-2019")</f>
        <v/>
      </c>
      <c r="Y76">
        <f>HYPERLINK("https://klasma.github.io/Logging_2161/tillsynsmail/A 44518-2019 tillsynsbegäran mail.docx", "A 44518-2019")</f>
        <v/>
      </c>
    </row>
    <row r="77" ht="15" customHeight="1">
      <c r="A77" t="inlineStr">
        <is>
          <t>A 45009-2019</t>
        </is>
      </c>
      <c r="B77" s="1" t="n">
        <v>43713</v>
      </c>
      <c r="C77" s="1" t="n">
        <v>45352</v>
      </c>
      <c r="D77" t="inlineStr">
        <is>
          <t>GÄVLEBORGS LÄN</t>
        </is>
      </c>
      <c r="E77" t="inlineStr">
        <is>
          <t>OVANÅKER</t>
        </is>
      </c>
      <c r="F77" t="inlineStr">
        <is>
          <t>Sveaskog</t>
        </is>
      </c>
      <c r="G77" t="n">
        <v>4.7</v>
      </c>
      <c r="H77" t="n">
        <v>4</v>
      </c>
      <c r="I77" t="n">
        <v>2</v>
      </c>
      <c r="J77" t="n">
        <v>2</v>
      </c>
      <c r="K77" t="n">
        <v>1</v>
      </c>
      <c r="L77" t="n">
        <v>0</v>
      </c>
      <c r="M77" t="n">
        <v>0</v>
      </c>
      <c r="N77" t="n">
        <v>0</v>
      </c>
      <c r="O77" t="n">
        <v>3</v>
      </c>
      <c r="P77" t="n">
        <v>1</v>
      </c>
      <c r="Q77" t="n">
        <v>5</v>
      </c>
      <c r="R77" s="2" t="inlineStr">
        <is>
          <t>Knärot
Lunglav
Talltita
Korallrot
Spindelblomster</t>
        </is>
      </c>
      <c r="S77">
        <f>HYPERLINK("https://klasma.github.io/Logging_2121/artfynd/A 45009-2019 artfynd.xlsx", "A 45009-2019")</f>
        <v/>
      </c>
      <c r="T77">
        <f>HYPERLINK("https://klasma.github.io/Logging_2121/kartor/A 45009-2019 karta.png", "A 45009-2019")</f>
        <v/>
      </c>
      <c r="U77">
        <f>HYPERLINK("https://klasma.github.io/Logging_2121/knärot/A 45009-2019 karta knärot.png", "A 45009-2019")</f>
        <v/>
      </c>
      <c r="V77">
        <f>HYPERLINK("https://klasma.github.io/Logging_2121/klagomål/A 45009-2019 FSC-klagomål.docx", "A 45009-2019")</f>
        <v/>
      </c>
      <c r="W77">
        <f>HYPERLINK("https://klasma.github.io/Logging_2121/klagomålsmail/A 45009-2019 FSC-klagomål mail.docx", "A 45009-2019")</f>
        <v/>
      </c>
      <c r="X77">
        <f>HYPERLINK("https://klasma.github.io/Logging_2121/tillsyn/A 45009-2019 tillsynsbegäran.docx", "A 45009-2019")</f>
        <v/>
      </c>
      <c r="Y77">
        <f>HYPERLINK("https://klasma.github.io/Logging_2121/tillsynsmail/A 45009-2019 tillsynsbegäran mail.docx", "A 45009-2019")</f>
        <v/>
      </c>
      <c r="Z77">
        <f>HYPERLINK("https://klasma.github.io/Logging_2121/fåglar/A 45009-2019 prioriterade fågelarter.docx", "A 45009-2019")</f>
        <v/>
      </c>
    </row>
    <row r="78" ht="15" customHeight="1">
      <c r="A78" t="inlineStr">
        <is>
          <t>A 65976-2019</t>
        </is>
      </c>
      <c r="B78" s="1" t="n">
        <v>43805</v>
      </c>
      <c r="C78" s="1" t="n">
        <v>45352</v>
      </c>
      <c r="D78" t="inlineStr">
        <is>
          <t>GÄVLEBORGS LÄN</t>
        </is>
      </c>
      <c r="E78" t="inlineStr">
        <is>
          <t>SÖDERHAMN</t>
        </is>
      </c>
      <c r="G78" t="n">
        <v>1.8</v>
      </c>
      <c r="H78" t="n">
        <v>0</v>
      </c>
      <c r="I78" t="n">
        <v>1</v>
      </c>
      <c r="J78" t="n">
        <v>3</v>
      </c>
      <c r="K78" t="n">
        <v>1</v>
      </c>
      <c r="L78" t="n">
        <v>0</v>
      </c>
      <c r="M78" t="n">
        <v>0</v>
      </c>
      <c r="N78" t="n">
        <v>0</v>
      </c>
      <c r="O78" t="n">
        <v>4</v>
      </c>
      <c r="P78" t="n">
        <v>1</v>
      </c>
      <c r="Q78" t="n">
        <v>5</v>
      </c>
      <c r="R78" s="2" t="inlineStr">
        <is>
          <t>Violgubbe
Gul taggsvamp
Kandelabersvamp
Koralltaggsvamp
Skarp dropptaggsvamp</t>
        </is>
      </c>
      <c r="S78">
        <f>HYPERLINK("https://klasma.github.io/Logging_2182/artfynd/A 65976-2019 artfynd.xlsx", "A 65976-2019")</f>
        <v/>
      </c>
      <c r="T78">
        <f>HYPERLINK("https://klasma.github.io/Logging_2182/kartor/A 65976-2019 karta.png", "A 65976-2019")</f>
        <v/>
      </c>
      <c r="V78">
        <f>HYPERLINK("https://klasma.github.io/Logging_2182/klagomål/A 65976-2019 FSC-klagomål.docx", "A 65976-2019")</f>
        <v/>
      </c>
      <c r="W78">
        <f>HYPERLINK("https://klasma.github.io/Logging_2182/klagomålsmail/A 65976-2019 FSC-klagomål mail.docx", "A 65976-2019")</f>
        <v/>
      </c>
      <c r="X78">
        <f>HYPERLINK("https://klasma.github.io/Logging_2182/tillsyn/A 65976-2019 tillsynsbegäran.docx", "A 65976-2019")</f>
        <v/>
      </c>
      <c r="Y78">
        <f>HYPERLINK("https://klasma.github.io/Logging_2182/tillsynsmail/A 65976-2019 tillsynsbegäran mail.docx", "A 65976-2019")</f>
        <v/>
      </c>
    </row>
    <row r="79" ht="15" customHeight="1">
      <c r="A79" t="inlineStr">
        <is>
          <t>A 67329-2019</t>
        </is>
      </c>
      <c r="B79" s="1" t="n">
        <v>43812</v>
      </c>
      <c r="C79" s="1" t="n">
        <v>45352</v>
      </c>
      <c r="D79" t="inlineStr">
        <is>
          <t>GÄVLEBORGS LÄN</t>
        </is>
      </c>
      <c r="E79" t="inlineStr">
        <is>
          <t>GÄVLE</t>
        </is>
      </c>
      <c r="F79" t="inlineStr">
        <is>
          <t>Kommuner</t>
        </is>
      </c>
      <c r="G79" t="n">
        <v>16.5</v>
      </c>
      <c r="H79" t="n">
        <v>2</v>
      </c>
      <c r="I79" t="n">
        <v>3</v>
      </c>
      <c r="J79" t="n">
        <v>0</v>
      </c>
      <c r="K79" t="n">
        <v>1</v>
      </c>
      <c r="L79" t="n">
        <v>0</v>
      </c>
      <c r="M79" t="n">
        <v>0</v>
      </c>
      <c r="N79" t="n">
        <v>0</v>
      </c>
      <c r="O79" t="n">
        <v>1</v>
      </c>
      <c r="P79" t="n">
        <v>1</v>
      </c>
      <c r="Q79" t="n">
        <v>5</v>
      </c>
      <c r="R79" s="2" t="inlineStr">
        <is>
          <t>Knärot
Blodticka
Brandticka
Rödgul trumpetsvamp
Blåsippa</t>
        </is>
      </c>
      <c r="S79">
        <f>HYPERLINK("https://klasma.github.io/Logging_2180/artfynd/A 67329-2019 artfynd.xlsx", "A 67329-2019")</f>
        <v/>
      </c>
      <c r="T79">
        <f>HYPERLINK("https://klasma.github.io/Logging_2180/kartor/A 67329-2019 karta.png", "A 67329-2019")</f>
        <v/>
      </c>
      <c r="U79">
        <f>HYPERLINK("https://klasma.github.io/Logging_2180/knärot/A 67329-2019 karta knärot.png", "A 67329-2019")</f>
        <v/>
      </c>
      <c r="V79">
        <f>HYPERLINK("https://klasma.github.io/Logging_2180/klagomål/A 67329-2019 FSC-klagomål.docx", "A 67329-2019")</f>
        <v/>
      </c>
      <c r="W79">
        <f>HYPERLINK("https://klasma.github.io/Logging_2180/klagomålsmail/A 67329-2019 FSC-klagomål mail.docx", "A 67329-2019")</f>
        <v/>
      </c>
      <c r="X79">
        <f>HYPERLINK("https://klasma.github.io/Logging_2180/tillsyn/A 67329-2019 tillsynsbegäran.docx", "A 67329-2019")</f>
        <v/>
      </c>
      <c r="Y79">
        <f>HYPERLINK("https://klasma.github.io/Logging_2180/tillsynsmail/A 67329-2019 tillsynsbegäran mail.docx", "A 67329-2019")</f>
        <v/>
      </c>
    </row>
    <row r="80" ht="15" customHeight="1">
      <c r="A80" t="inlineStr">
        <is>
          <t>A 27617-2020</t>
        </is>
      </c>
      <c r="B80" s="1" t="n">
        <v>43993</v>
      </c>
      <c r="C80" s="1" t="n">
        <v>45352</v>
      </c>
      <c r="D80" t="inlineStr">
        <is>
          <t>GÄVLEBORGS LÄN</t>
        </is>
      </c>
      <c r="E80" t="inlineStr">
        <is>
          <t>BOLLNÄS</t>
        </is>
      </c>
      <c r="G80" t="n">
        <v>3.6</v>
      </c>
      <c r="H80" t="n">
        <v>0</v>
      </c>
      <c r="I80" t="n">
        <v>2</v>
      </c>
      <c r="J80" t="n">
        <v>1</v>
      </c>
      <c r="K80" t="n">
        <v>0</v>
      </c>
      <c r="L80" t="n">
        <v>2</v>
      </c>
      <c r="M80" t="n">
        <v>0</v>
      </c>
      <c r="N80" t="n">
        <v>0</v>
      </c>
      <c r="O80" t="n">
        <v>3</v>
      </c>
      <c r="P80" t="n">
        <v>2</v>
      </c>
      <c r="Q80" t="n">
        <v>5</v>
      </c>
      <c r="R80" s="2" t="inlineStr">
        <is>
          <t>Bredgentiana
Fältgentiana
Scharlakansvaxskivling
Blodvaxskivling
Ängsvaxskivling</t>
        </is>
      </c>
      <c r="S80">
        <f>HYPERLINK("https://klasma.github.io/Logging_2183/artfynd/A 27617-2020 artfynd.xlsx", "A 27617-2020")</f>
        <v/>
      </c>
      <c r="T80">
        <f>HYPERLINK("https://klasma.github.io/Logging_2183/kartor/A 27617-2020 karta.png", "A 27617-2020")</f>
        <v/>
      </c>
      <c r="V80">
        <f>HYPERLINK("https://klasma.github.io/Logging_2183/klagomål/A 27617-2020 FSC-klagomål.docx", "A 27617-2020")</f>
        <v/>
      </c>
      <c r="W80">
        <f>HYPERLINK("https://klasma.github.io/Logging_2183/klagomålsmail/A 27617-2020 FSC-klagomål mail.docx", "A 27617-2020")</f>
        <v/>
      </c>
      <c r="X80">
        <f>HYPERLINK("https://klasma.github.io/Logging_2183/tillsyn/A 27617-2020 tillsynsbegäran.docx", "A 27617-2020")</f>
        <v/>
      </c>
      <c r="Y80">
        <f>HYPERLINK("https://klasma.github.io/Logging_2183/tillsynsmail/A 27617-2020 tillsynsbegäran mail.docx", "A 27617-2020")</f>
        <v/>
      </c>
    </row>
    <row r="81" ht="15" customHeight="1">
      <c r="A81" t="inlineStr">
        <is>
          <t>A 59346-2020</t>
        </is>
      </c>
      <c r="B81" s="1" t="n">
        <v>44148</v>
      </c>
      <c r="C81" s="1" t="n">
        <v>45352</v>
      </c>
      <c r="D81" t="inlineStr">
        <is>
          <t>GÄVLEBORGS LÄN</t>
        </is>
      </c>
      <c r="E81" t="inlineStr">
        <is>
          <t>LJUSDAL</t>
        </is>
      </c>
      <c r="F81" t="inlineStr">
        <is>
          <t>Sveaskog</t>
        </is>
      </c>
      <c r="G81" t="n">
        <v>10.8</v>
      </c>
      <c r="H81" t="n">
        <v>1</v>
      </c>
      <c r="I81" t="n">
        <v>2</v>
      </c>
      <c r="J81" t="n">
        <v>2</v>
      </c>
      <c r="K81" t="n">
        <v>1</v>
      </c>
      <c r="L81" t="n">
        <v>0</v>
      </c>
      <c r="M81" t="n">
        <v>0</v>
      </c>
      <c r="N81" t="n">
        <v>0</v>
      </c>
      <c r="O81" t="n">
        <v>3</v>
      </c>
      <c r="P81" t="n">
        <v>1</v>
      </c>
      <c r="Q81" t="n">
        <v>5</v>
      </c>
      <c r="R81" s="2" t="inlineStr">
        <is>
          <t>Knärot
Blå taggsvamp
Lunglav
Dropptaggsvamp
Zontaggsvamp</t>
        </is>
      </c>
      <c r="S81">
        <f>HYPERLINK("https://klasma.github.io/Logging_2161/artfynd/A 59346-2020 artfynd.xlsx", "A 59346-2020")</f>
        <v/>
      </c>
      <c r="T81">
        <f>HYPERLINK("https://klasma.github.io/Logging_2161/kartor/A 59346-2020 karta.png", "A 59346-2020")</f>
        <v/>
      </c>
      <c r="U81">
        <f>HYPERLINK("https://klasma.github.io/Logging_2161/knärot/A 59346-2020 karta knärot.png", "A 59346-2020")</f>
        <v/>
      </c>
      <c r="V81">
        <f>HYPERLINK("https://klasma.github.io/Logging_2161/klagomål/A 59346-2020 FSC-klagomål.docx", "A 59346-2020")</f>
        <v/>
      </c>
      <c r="W81">
        <f>HYPERLINK("https://klasma.github.io/Logging_2161/klagomålsmail/A 59346-2020 FSC-klagomål mail.docx", "A 59346-2020")</f>
        <v/>
      </c>
      <c r="X81">
        <f>HYPERLINK("https://klasma.github.io/Logging_2161/tillsyn/A 59346-2020 tillsynsbegäran.docx", "A 59346-2020")</f>
        <v/>
      </c>
      <c r="Y81">
        <f>HYPERLINK("https://klasma.github.io/Logging_2161/tillsynsmail/A 59346-2020 tillsynsbegäran mail.docx", "A 59346-2020")</f>
        <v/>
      </c>
    </row>
    <row r="82" ht="15" customHeight="1">
      <c r="A82" t="inlineStr">
        <is>
          <t>A 68600-2020</t>
        </is>
      </c>
      <c r="B82" s="1" t="n">
        <v>44186</v>
      </c>
      <c r="C82" s="1" t="n">
        <v>45352</v>
      </c>
      <c r="D82" t="inlineStr">
        <is>
          <t>GÄVLEBORGS LÄN</t>
        </is>
      </c>
      <c r="E82" t="inlineStr">
        <is>
          <t>HUDIKSVALL</t>
        </is>
      </c>
      <c r="F82" t="inlineStr">
        <is>
          <t>Kommuner</t>
        </is>
      </c>
      <c r="G82" t="n">
        <v>4.6</v>
      </c>
      <c r="H82" t="n">
        <v>1</v>
      </c>
      <c r="I82" t="n">
        <v>0</v>
      </c>
      <c r="J82" t="n">
        <v>4</v>
      </c>
      <c r="K82" t="n">
        <v>1</v>
      </c>
      <c r="L82" t="n">
        <v>0</v>
      </c>
      <c r="M82" t="n">
        <v>0</v>
      </c>
      <c r="N82" t="n">
        <v>0</v>
      </c>
      <c r="O82" t="n">
        <v>5</v>
      </c>
      <c r="P82" t="n">
        <v>1</v>
      </c>
      <c r="Q82" t="n">
        <v>5</v>
      </c>
      <c r="R82" s="2" t="inlineStr">
        <is>
          <t>Sprickporing
Garnlav
Grönsångare
Rosenticka
Ullticka</t>
        </is>
      </c>
      <c r="S82">
        <f>HYPERLINK("https://klasma.github.io/Logging_2184/artfynd/A 68600-2020 artfynd.xlsx", "A 68600-2020")</f>
        <v/>
      </c>
      <c r="T82">
        <f>HYPERLINK("https://klasma.github.io/Logging_2184/kartor/A 68600-2020 karta.png", "A 68600-2020")</f>
        <v/>
      </c>
      <c r="V82">
        <f>HYPERLINK("https://klasma.github.io/Logging_2184/klagomål/A 68600-2020 FSC-klagomål.docx", "A 68600-2020")</f>
        <v/>
      </c>
      <c r="W82">
        <f>HYPERLINK("https://klasma.github.io/Logging_2184/klagomålsmail/A 68600-2020 FSC-klagomål mail.docx", "A 68600-2020")</f>
        <v/>
      </c>
      <c r="X82">
        <f>HYPERLINK("https://klasma.github.io/Logging_2184/tillsyn/A 68600-2020 tillsynsbegäran.docx", "A 68600-2020")</f>
        <v/>
      </c>
      <c r="Y82">
        <f>HYPERLINK("https://klasma.github.io/Logging_2184/tillsynsmail/A 68600-2020 tillsynsbegäran mail.docx", "A 68600-2020")</f>
        <v/>
      </c>
    </row>
    <row r="83" ht="15" customHeight="1">
      <c r="A83" t="inlineStr">
        <is>
          <t>A 49036-2021</t>
        </is>
      </c>
      <c r="B83" s="1" t="n">
        <v>44453</v>
      </c>
      <c r="C83" s="1" t="n">
        <v>45352</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69018-2021</t>
        </is>
      </c>
      <c r="B84" s="1" t="n">
        <v>44530</v>
      </c>
      <c r="C84" s="1" t="n">
        <v>45352</v>
      </c>
      <c r="D84" t="inlineStr">
        <is>
          <t>GÄVLEBORGS LÄN</t>
        </is>
      </c>
      <c r="E84" t="inlineStr">
        <is>
          <t>LJUSDAL</t>
        </is>
      </c>
      <c r="G84" t="n">
        <v>3.3</v>
      </c>
      <c r="H84" t="n">
        <v>2</v>
      </c>
      <c r="I84" t="n">
        <v>1</v>
      </c>
      <c r="J84" t="n">
        <v>2</v>
      </c>
      <c r="K84" t="n">
        <v>1</v>
      </c>
      <c r="L84" t="n">
        <v>0</v>
      </c>
      <c r="M84" t="n">
        <v>0</v>
      </c>
      <c r="N84" t="n">
        <v>0</v>
      </c>
      <c r="O84" t="n">
        <v>3</v>
      </c>
      <c r="P84" t="n">
        <v>1</v>
      </c>
      <c r="Q84" t="n">
        <v>5</v>
      </c>
      <c r="R84" s="2" t="inlineStr">
        <is>
          <t>Knärot
Gammelgransskål
Garnlav
Bårdlav
Revlummer</t>
        </is>
      </c>
      <c r="S84">
        <f>HYPERLINK("https://klasma.github.io/Logging_2161/artfynd/A 69018-2021 artfynd.xlsx", "A 69018-2021")</f>
        <v/>
      </c>
      <c r="T84">
        <f>HYPERLINK("https://klasma.github.io/Logging_2161/kartor/A 69018-2021 karta.png", "A 69018-2021")</f>
        <v/>
      </c>
      <c r="U84">
        <f>HYPERLINK("https://klasma.github.io/Logging_2161/knärot/A 69018-2021 karta knärot.png", "A 69018-2021")</f>
        <v/>
      </c>
      <c r="V84">
        <f>HYPERLINK("https://klasma.github.io/Logging_2161/klagomål/A 69018-2021 FSC-klagomål.docx", "A 69018-2021")</f>
        <v/>
      </c>
      <c r="W84">
        <f>HYPERLINK("https://klasma.github.io/Logging_2161/klagomålsmail/A 69018-2021 FSC-klagomål mail.docx", "A 69018-2021")</f>
        <v/>
      </c>
      <c r="X84">
        <f>HYPERLINK("https://klasma.github.io/Logging_2161/tillsyn/A 69018-2021 tillsynsbegäran.docx", "A 69018-2021")</f>
        <v/>
      </c>
      <c r="Y84">
        <f>HYPERLINK("https://klasma.github.io/Logging_2161/tillsynsmail/A 69018-2021 tillsynsbegäran mail.docx", "A 69018-2021")</f>
        <v/>
      </c>
    </row>
    <row r="85" ht="15" customHeight="1">
      <c r="A85" t="inlineStr">
        <is>
          <t>A 7229-2022</t>
        </is>
      </c>
      <c r="B85" s="1" t="n">
        <v>44606</v>
      </c>
      <c r="C85" s="1" t="n">
        <v>45352</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20560-2022</t>
        </is>
      </c>
      <c r="B86" s="1" t="n">
        <v>44700</v>
      </c>
      <c r="C86" s="1" t="n">
        <v>45352</v>
      </c>
      <c r="D86" t="inlineStr">
        <is>
          <t>GÄVLEBORGS LÄN</t>
        </is>
      </c>
      <c r="E86" t="inlineStr">
        <is>
          <t>HUDIKSVALL</t>
        </is>
      </c>
      <c r="F86" t="inlineStr">
        <is>
          <t>Holmen skog AB</t>
        </is>
      </c>
      <c r="G86" t="n">
        <v>4.1</v>
      </c>
      <c r="H86" t="n">
        <v>2</v>
      </c>
      <c r="I86" t="n">
        <v>3</v>
      </c>
      <c r="J86" t="n">
        <v>0</v>
      </c>
      <c r="K86" t="n">
        <v>0</v>
      </c>
      <c r="L86" t="n">
        <v>0</v>
      </c>
      <c r="M86" t="n">
        <v>0</v>
      </c>
      <c r="N86" t="n">
        <v>0</v>
      </c>
      <c r="O86" t="n">
        <v>0</v>
      </c>
      <c r="P86" t="n">
        <v>0</v>
      </c>
      <c r="Q86" t="n">
        <v>5</v>
      </c>
      <c r="R86" s="2" t="inlineStr">
        <is>
          <t>Svart trolldruva
Tibast
Ögonpyrola
Lopplummer
Revlummer</t>
        </is>
      </c>
      <c r="S86">
        <f>HYPERLINK("https://klasma.github.io/Logging_2184/artfynd/A 20560-2022 artfynd.xlsx", "A 20560-2022")</f>
        <v/>
      </c>
      <c r="T86">
        <f>HYPERLINK("https://klasma.github.io/Logging_2184/kartor/A 20560-2022 karta.png", "A 20560-2022")</f>
        <v/>
      </c>
      <c r="V86">
        <f>HYPERLINK("https://klasma.github.io/Logging_2184/klagomål/A 20560-2022 FSC-klagomål.docx", "A 20560-2022")</f>
        <v/>
      </c>
      <c r="W86">
        <f>HYPERLINK("https://klasma.github.io/Logging_2184/klagomålsmail/A 20560-2022 FSC-klagomål mail.docx", "A 20560-2022")</f>
        <v/>
      </c>
      <c r="X86">
        <f>HYPERLINK("https://klasma.github.io/Logging_2184/tillsyn/A 20560-2022 tillsynsbegäran.docx", "A 20560-2022")</f>
        <v/>
      </c>
      <c r="Y86">
        <f>HYPERLINK("https://klasma.github.io/Logging_2184/tillsynsmail/A 20560-2022 tillsynsbegäran mail.docx", "A 20560-2022")</f>
        <v/>
      </c>
    </row>
    <row r="87" ht="15" customHeight="1">
      <c r="A87" t="inlineStr">
        <is>
          <t>A 29834-2022</t>
        </is>
      </c>
      <c r="B87" s="1" t="n">
        <v>44755</v>
      </c>
      <c r="C87" s="1" t="n">
        <v>45352</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45352</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45352</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45352</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45352</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45352</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45352</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45352</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13740-2023</t>
        </is>
      </c>
      <c r="B95" s="1" t="n">
        <v>45007</v>
      </c>
      <c r="C95" s="1" t="n">
        <v>45352</v>
      </c>
      <c r="D95" t="inlineStr">
        <is>
          <t>GÄVLEBORGS LÄN</t>
        </is>
      </c>
      <c r="E95" t="inlineStr">
        <is>
          <t>HOFORS</t>
        </is>
      </c>
      <c r="F95" t="inlineStr">
        <is>
          <t>Övriga statliga verk och myndigheter</t>
        </is>
      </c>
      <c r="G95" t="n">
        <v>2.7</v>
      </c>
      <c r="H95" t="n">
        <v>2</v>
      </c>
      <c r="I95" t="n">
        <v>1</v>
      </c>
      <c r="J95" t="n">
        <v>3</v>
      </c>
      <c r="K95" t="n">
        <v>1</v>
      </c>
      <c r="L95" t="n">
        <v>0</v>
      </c>
      <c r="M95" t="n">
        <v>0</v>
      </c>
      <c r="N95" t="n">
        <v>0</v>
      </c>
      <c r="O95" t="n">
        <v>4</v>
      </c>
      <c r="P95" t="n">
        <v>1</v>
      </c>
      <c r="Q95" t="n">
        <v>5</v>
      </c>
      <c r="R95" s="2" t="inlineStr">
        <is>
          <t>Knärot
Garnlav
Spillkråka
Ullticka
Vedticka</t>
        </is>
      </c>
      <c r="S95">
        <f>HYPERLINK("https://klasma.github.io/Logging_2104/artfynd/A 13740-2023 artfynd.xlsx", "A 13740-2023")</f>
        <v/>
      </c>
      <c r="T95">
        <f>HYPERLINK("https://klasma.github.io/Logging_2104/kartor/A 13740-2023 karta.png", "A 13740-2023")</f>
        <v/>
      </c>
      <c r="U95">
        <f>HYPERLINK("https://klasma.github.io/Logging_2104/knärot/A 13740-2023 karta knärot.png", "A 13740-2023")</f>
        <v/>
      </c>
      <c r="V95">
        <f>HYPERLINK("https://klasma.github.io/Logging_2104/klagomål/A 13740-2023 FSC-klagomål.docx", "A 13740-2023")</f>
        <v/>
      </c>
      <c r="W95">
        <f>HYPERLINK("https://klasma.github.io/Logging_2104/klagomålsmail/A 13740-2023 FSC-klagomål mail.docx", "A 13740-2023")</f>
        <v/>
      </c>
      <c r="X95">
        <f>HYPERLINK("https://klasma.github.io/Logging_2104/tillsyn/A 13740-2023 tillsynsbegäran.docx", "A 13740-2023")</f>
        <v/>
      </c>
      <c r="Y95">
        <f>HYPERLINK("https://klasma.github.io/Logging_2104/tillsynsmail/A 13740-2023 tillsynsbegäran mail.docx", "A 13740-2023")</f>
        <v/>
      </c>
      <c r="Z95">
        <f>HYPERLINK("https://klasma.github.io/Logging_2104/fåglar/A 13740-2023 prioriterade fågelarter.docx", "A 13740-2023")</f>
        <v/>
      </c>
    </row>
    <row r="96" ht="15" customHeight="1">
      <c r="A96" t="inlineStr">
        <is>
          <t>A 19521-2023</t>
        </is>
      </c>
      <c r="B96" s="1" t="n">
        <v>45050</v>
      </c>
      <c r="C96" s="1" t="n">
        <v>45352</v>
      </c>
      <c r="D96" t="inlineStr">
        <is>
          <t>GÄVLEBORGS LÄN</t>
        </is>
      </c>
      <c r="E96" t="inlineStr">
        <is>
          <t>HUDIKSVALL</t>
        </is>
      </c>
      <c r="F96" t="inlineStr">
        <is>
          <t>Holmen skog AB</t>
        </is>
      </c>
      <c r="G96" t="n">
        <v>9.300000000000001</v>
      </c>
      <c r="H96" t="n">
        <v>2</v>
      </c>
      <c r="I96" t="n">
        <v>1</v>
      </c>
      <c r="J96" t="n">
        <v>2</v>
      </c>
      <c r="K96" t="n">
        <v>0</v>
      </c>
      <c r="L96" t="n">
        <v>0</v>
      </c>
      <c r="M96" t="n">
        <v>0</v>
      </c>
      <c r="N96" t="n">
        <v>0</v>
      </c>
      <c r="O96" t="n">
        <v>2</v>
      </c>
      <c r="P96" t="n">
        <v>0</v>
      </c>
      <c r="Q96" t="n">
        <v>5</v>
      </c>
      <c r="R96" s="2" t="inlineStr">
        <is>
          <t>Kolflarnlav
Lunglav
Bollvitmossa
Tjäder
Vanlig groda</t>
        </is>
      </c>
      <c r="S96">
        <f>HYPERLINK("https://klasma.github.io/Logging_2184/artfynd/A 19521-2023 artfynd.xlsx", "A 19521-2023")</f>
        <v/>
      </c>
      <c r="T96">
        <f>HYPERLINK("https://klasma.github.io/Logging_2184/kartor/A 19521-2023 karta.png", "A 19521-2023")</f>
        <v/>
      </c>
      <c r="V96">
        <f>HYPERLINK("https://klasma.github.io/Logging_2184/klagomål/A 19521-2023 FSC-klagomål.docx", "A 19521-2023")</f>
        <v/>
      </c>
      <c r="W96">
        <f>HYPERLINK("https://klasma.github.io/Logging_2184/klagomålsmail/A 19521-2023 FSC-klagomål mail.docx", "A 19521-2023")</f>
        <v/>
      </c>
      <c r="X96">
        <f>HYPERLINK("https://klasma.github.io/Logging_2184/tillsyn/A 19521-2023 tillsynsbegäran.docx", "A 19521-2023")</f>
        <v/>
      </c>
      <c r="Y96">
        <f>HYPERLINK("https://klasma.github.io/Logging_2184/tillsynsmail/A 19521-2023 tillsynsbegäran mail.docx", "A 19521-2023")</f>
        <v/>
      </c>
      <c r="Z96">
        <f>HYPERLINK("https://klasma.github.io/Logging_2184/fåglar/A 19521-2023 prioriterade fågelarter.docx", "A 19521-2023")</f>
        <v/>
      </c>
    </row>
    <row r="97" ht="15" customHeight="1">
      <c r="A97" t="inlineStr">
        <is>
          <t>A 22767-2023</t>
        </is>
      </c>
      <c r="B97" s="1" t="n">
        <v>45072</v>
      </c>
      <c r="C97" s="1" t="n">
        <v>45352</v>
      </c>
      <c r="D97" t="inlineStr">
        <is>
          <t>GÄVLEBORGS LÄN</t>
        </is>
      </c>
      <c r="E97" t="inlineStr">
        <is>
          <t>SÖDERHAMN</t>
        </is>
      </c>
      <c r="F97" t="inlineStr">
        <is>
          <t>Bergvik skog väst AB</t>
        </is>
      </c>
      <c r="G97" t="n">
        <v>3.2</v>
      </c>
      <c r="H97" t="n">
        <v>1</v>
      </c>
      <c r="I97" t="n">
        <v>3</v>
      </c>
      <c r="J97" t="n">
        <v>1</v>
      </c>
      <c r="K97" t="n">
        <v>0</v>
      </c>
      <c r="L97" t="n">
        <v>0</v>
      </c>
      <c r="M97" t="n">
        <v>0</v>
      </c>
      <c r="N97" t="n">
        <v>0</v>
      </c>
      <c r="O97" t="n">
        <v>1</v>
      </c>
      <c r="P97" t="n">
        <v>0</v>
      </c>
      <c r="Q97" t="n">
        <v>5</v>
      </c>
      <c r="R97" s="2" t="inlineStr">
        <is>
          <t>Ullticka
Bronshjon
Vedticka
Vågbandad barkbock
Revlummer</t>
        </is>
      </c>
      <c r="S97">
        <f>HYPERLINK("https://klasma.github.io/Logging_2182/artfynd/A 22767-2023 artfynd.xlsx", "A 22767-2023")</f>
        <v/>
      </c>
      <c r="T97">
        <f>HYPERLINK("https://klasma.github.io/Logging_2182/kartor/A 22767-2023 karta.png", "A 22767-2023")</f>
        <v/>
      </c>
      <c r="V97">
        <f>HYPERLINK("https://klasma.github.io/Logging_2182/klagomål/A 22767-2023 FSC-klagomål.docx", "A 22767-2023")</f>
        <v/>
      </c>
      <c r="W97">
        <f>HYPERLINK("https://klasma.github.io/Logging_2182/klagomålsmail/A 22767-2023 FSC-klagomål mail.docx", "A 22767-2023")</f>
        <v/>
      </c>
      <c r="X97">
        <f>HYPERLINK("https://klasma.github.io/Logging_2182/tillsyn/A 22767-2023 tillsynsbegäran.docx", "A 22767-2023")</f>
        <v/>
      </c>
      <c r="Y97">
        <f>HYPERLINK("https://klasma.github.io/Logging_2182/tillsynsmail/A 22767-2023 tillsynsbegäran mail.docx", "A 22767-2023")</f>
        <v/>
      </c>
    </row>
    <row r="98" ht="15" customHeight="1">
      <c r="A98" t="inlineStr">
        <is>
          <t>A 25585-2023</t>
        </is>
      </c>
      <c r="B98" s="1" t="n">
        <v>45089</v>
      </c>
      <c r="C98" s="1" t="n">
        <v>45352</v>
      </c>
      <c r="D98" t="inlineStr">
        <is>
          <t>GÄVLEBORGS LÄN</t>
        </is>
      </c>
      <c r="E98" t="inlineStr">
        <is>
          <t>LJUSDAL</t>
        </is>
      </c>
      <c r="G98" t="n">
        <v>6</v>
      </c>
      <c r="H98" t="n">
        <v>3</v>
      </c>
      <c r="I98" t="n">
        <v>0</v>
      </c>
      <c r="J98" t="n">
        <v>4</v>
      </c>
      <c r="K98" t="n">
        <v>1</v>
      </c>
      <c r="L98" t="n">
        <v>0</v>
      </c>
      <c r="M98" t="n">
        <v>0</v>
      </c>
      <c r="N98" t="n">
        <v>0</v>
      </c>
      <c r="O98" t="n">
        <v>5</v>
      </c>
      <c r="P98" t="n">
        <v>1</v>
      </c>
      <c r="Q98" t="n">
        <v>5</v>
      </c>
      <c r="R98" s="2" t="inlineStr">
        <is>
          <t>Knärot
Granticka
Skogshare
Spillkråka
Tretåig hackspett</t>
        </is>
      </c>
      <c r="S98">
        <f>HYPERLINK("https://klasma.github.io/Logging_2161/artfynd/A 25585-2023 artfynd.xlsx", "A 25585-2023")</f>
        <v/>
      </c>
      <c r="T98">
        <f>HYPERLINK("https://klasma.github.io/Logging_2161/kartor/A 25585-2023 karta.png", "A 25585-2023")</f>
        <v/>
      </c>
      <c r="U98">
        <f>HYPERLINK("https://klasma.github.io/Logging_2161/knärot/A 25585-2023 karta knärot.png", "A 25585-2023")</f>
        <v/>
      </c>
      <c r="V98">
        <f>HYPERLINK("https://klasma.github.io/Logging_2161/klagomål/A 25585-2023 FSC-klagomål.docx", "A 25585-2023")</f>
        <v/>
      </c>
      <c r="W98">
        <f>HYPERLINK("https://klasma.github.io/Logging_2161/klagomålsmail/A 25585-2023 FSC-klagomål mail.docx", "A 25585-2023")</f>
        <v/>
      </c>
      <c r="X98">
        <f>HYPERLINK("https://klasma.github.io/Logging_2161/tillsyn/A 25585-2023 tillsynsbegäran.docx", "A 25585-2023")</f>
        <v/>
      </c>
      <c r="Y98">
        <f>HYPERLINK("https://klasma.github.io/Logging_2161/tillsynsmail/A 25585-2023 tillsynsbegäran mail.docx", "A 25585-2023")</f>
        <v/>
      </c>
      <c r="Z98">
        <f>HYPERLINK("https://klasma.github.io/Logging_2161/fåglar/A 25585-2023 prioriterade fågelarter.docx", "A 25585-2023")</f>
        <v/>
      </c>
    </row>
    <row r="99" ht="15" customHeight="1">
      <c r="A99" t="inlineStr">
        <is>
          <t>A 25953-2023</t>
        </is>
      </c>
      <c r="B99" s="1" t="n">
        <v>45090</v>
      </c>
      <c r="C99" s="1" t="n">
        <v>45352</v>
      </c>
      <c r="D99" t="inlineStr">
        <is>
          <t>GÄVLEBORGS LÄN</t>
        </is>
      </c>
      <c r="E99" t="inlineStr">
        <is>
          <t>LJUSDAL</t>
        </is>
      </c>
      <c r="G99" t="n">
        <v>1.9</v>
      </c>
      <c r="H99" t="n">
        <v>3</v>
      </c>
      <c r="I99" t="n">
        <v>0</v>
      </c>
      <c r="J99" t="n">
        <v>4</v>
      </c>
      <c r="K99" t="n">
        <v>1</v>
      </c>
      <c r="L99" t="n">
        <v>0</v>
      </c>
      <c r="M99" t="n">
        <v>0</v>
      </c>
      <c r="N99" t="n">
        <v>0</v>
      </c>
      <c r="O99" t="n">
        <v>5</v>
      </c>
      <c r="P99" t="n">
        <v>1</v>
      </c>
      <c r="Q99" t="n">
        <v>5</v>
      </c>
      <c r="R99" s="2" t="inlineStr">
        <is>
          <t>Knärot
Rosenticka
Talltita
Tretåig hackspett
Ullticka</t>
        </is>
      </c>
      <c r="S99">
        <f>HYPERLINK("https://klasma.github.io/Logging_2161/artfynd/A 25953-2023 artfynd.xlsx", "A 25953-2023")</f>
        <v/>
      </c>
      <c r="T99">
        <f>HYPERLINK("https://klasma.github.io/Logging_2161/kartor/A 25953-2023 karta.png", "A 25953-2023")</f>
        <v/>
      </c>
      <c r="U99">
        <f>HYPERLINK("https://klasma.github.io/Logging_2161/knärot/A 25953-2023 karta knärot.png", "A 25953-2023")</f>
        <v/>
      </c>
      <c r="V99">
        <f>HYPERLINK("https://klasma.github.io/Logging_2161/klagomål/A 25953-2023 FSC-klagomål.docx", "A 25953-2023")</f>
        <v/>
      </c>
      <c r="W99">
        <f>HYPERLINK("https://klasma.github.io/Logging_2161/klagomålsmail/A 25953-2023 FSC-klagomål mail.docx", "A 25953-2023")</f>
        <v/>
      </c>
      <c r="X99">
        <f>HYPERLINK("https://klasma.github.io/Logging_2161/tillsyn/A 25953-2023 tillsynsbegäran.docx", "A 25953-2023")</f>
        <v/>
      </c>
      <c r="Y99">
        <f>HYPERLINK("https://klasma.github.io/Logging_2161/tillsynsmail/A 25953-2023 tillsynsbegäran mail.docx", "A 25953-2023")</f>
        <v/>
      </c>
      <c r="Z99">
        <f>HYPERLINK("https://klasma.github.io/Logging_2161/fåglar/A 25953-2023 prioriterade fågelarter.docx", "A 25953-2023")</f>
        <v/>
      </c>
    </row>
    <row r="100" ht="15" customHeight="1">
      <c r="A100" t="inlineStr">
        <is>
          <t>A 47142-2023</t>
        </is>
      </c>
      <c r="B100" s="1" t="n">
        <v>45201</v>
      </c>
      <c r="C100" s="1" t="n">
        <v>45352</v>
      </c>
      <c r="D100" t="inlineStr">
        <is>
          <t>GÄVLEBORGS LÄN</t>
        </is>
      </c>
      <c r="E100" t="inlineStr">
        <is>
          <t>LJUSDAL</t>
        </is>
      </c>
      <c r="F100" t="inlineStr">
        <is>
          <t>Sveaskog</t>
        </is>
      </c>
      <c r="G100" t="n">
        <v>2.8</v>
      </c>
      <c r="H100" t="n">
        <v>1</v>
      </c>
      <c r="I100" t="n">
        <v>2</v>
      </c>
      <c r="J100" t="n">
        <v>3</v>
      </c>
      <c r="K100" t="n">
        <v>0</v>
      </c>
      <c r="L100" t="n">
        <v>0</v>
      </c>
      <c r="M100" t="n">
        <v>0</v>
      </c>
      <c r="N100" t="n">
        <v>0</v>
      </c>
      <c r="O100" t="n">
        <v>3</v>
      </c>
      <c r="P100" t="n">
        <v>0</v>
      </c>
      <c r="Q100" t="n">
        <v>5</v>
      </c>
      <c r="R100" s="2" t="inlineStr">
        <is>
          <t>Garnlav
Kolflarnlav
Lunglav
Gullgröppa
Plattlummer</t>
        </is>
      </c>
      <c r="S100">
        <f>HYPERLINK("https://klasma.github.io/Logging_2161/artfynd/A 47142-2023 artfynd.xlsx", "A 47142-2023")</f>
        <v/>
      </c>
      <c r="T100">
        <f>HYPERLINK("https://klasma.github.io/Logging_2161/kartor/A 47142-2023 karta.png", "A 47142-2023")</f>
        <v/>
      </c>
      <c r="V100">
        <f>HYPERLINK("https://klasma.github.io/Logging_2161/klagomål/A 47142-2023 FSC-klagomål.docx", "A 47142-2023")</f>
        <v/>
      </c>
      <c r="W100">
        <f>HYPERLINK("https://klasma.github.io/Logging_2161/klagomålsmail/A 47142-2023 FSC-klagomål mail.docx", "A 47142-2023")</f>
        <v/>
      </c>
      <c r="X100">
        <f>HYPERLINK("https://klasma.github.io/Logging_2161/tillsyn/A 47142-2023 tillsynsbegäran.docx", "A 47142-2023")</f>
        <v/>
      </c>
      <c r="Y100">
        <f>HYPERLINK("https://klasma.github.io/Logging_2161/tillsynsmail/A 47142-2023 tillsynsbegäran mail.docx", "A 47142-2023")</f>
        <v/>
      </c>
    </row>
    <row r="101" ht="15" customHeight="1">
      <c r="A101" t="inlineStr">
        <is>
          <t>A 49799-2023</t>
        </is>
      </c>
      <c r="B101" s="1" t="n">
        <v>45212</v>
      </c>
      <c r="C101" s="1" t="n">
        <v>45352</v>
      </c>
      <c r="D101" t="inlineStr">
        <is>
          <t>GÄVLEBORGS LÄN</t>
        </is>
      </c>
      <c r="E101" t="inlineStr">
        <is>
          <t>HUDIKSVALL</t>
        </is>
      </c>
      <c r="G101" t="n">
        <v>4</v>
      </c>
      <c r="H101" t="n">
        <v>0</v>
      </c>
      <c r="I101" t="n">
        <v>1</v>
      </c>
      <c r="J101" t="n">
        <v>4</v>
      </c>
      <c r="K101" t="n">
        <v>0</v>
      </c>
      <c r="L101" t="n">
        <v>0</v>
      </c>
      <c r="M101" t="n">
        <v>0</v>
      </c>
      <c r="N101" t="n">
        <v>0</v>
      </c>
      <c r="O101" t="n">
        <v>4</v>
      </c>
      <c r="P101" t="n">
        <v>0</v>
      </c>
      <c r="Q101" t="n">
        <v>5</v>
      </c>
      <c r="R101" s="2" t="inlineStr">
        <is>
          <t>Rosenticka
Ullticka
Violettgrå tagellav
Vitgrynig nållav
Vedticka</t>
        </is>
      </c>
      <c r="S101">
        <f>HYPERLINK("https://klasma.github.io/Logging_2184/artfynd/A 49799-2023 artfynd.xlsx", "A 49799-2023")</f>
        <v/>
      </c>
      <c r="T101">
        <f>HYPERLINK("https://klasma.github.io/Logging_2184/kartor/A 49799-2023 karta.png", "A 49799-2023")</f>
        <v/>
      </c>
      <c r="V101">
        <f>HYPERLINK("https://klasma.github.io/Logging_2184/klagomål/A 49799-2023 FSC-klagomål.docx", "A 49799-2023")</f>
        <v/>
      </c>
      <c r="W101">
        <f>HYPERLINK("https://klasma.github.io/Logging_2184/klagomålsmail/A 49799-2023 FSC-klagomål mail.docx", "A 49799-2023")</f>
        <v/>
      </c>
      <c r="X101">
        <f>HYPERLINK("https://klasma.github.io/Logging_2184/tillsyn/A 49799-2023 tillsynsbegäran.docx", "A 49799-2023")</f>
        <v/>
      </c>
      <c r="Y101">
        <f>HYPERLINK("https://klasma.github.io/Logging_2184/tillsynsmail/A 49799-2023 tillsynsbegäran mail.docx", "A 49799-2023")</f>
        <v/>
      </c>
    </row>
    <row r="102" ht="15" customHeight="1">
      <c r="A102" t="inlineStr">
        <is>
          <t>A 51955-2023</t>
        </is>
      </c>
      <c r="B102" s="1" t="n">
        <v>45223</v>
      </c>
      <c r="C102" s="1" t="n">
        <v>45352</v>
      </c>
      <c r="D102" t="inlineStr">
        <is>
          <t>GÄVLEBORGS LÄN</t>
        </is>
      </c>
      <c r="E102" t="inlineStr">
        <is>
          <t>LJUSDAL</t>
        </is>
      </c>
      <c r="F102" t="inlineStr">
        <is>
          <t>Sveaskog</t>
        </is>
      </c>
      <c r="G102" t="n">
        <v>33.5</v>
      </c>
      <c r="H102" t="n">
        <v>0</v>
      </c>
      <c r="I102" t="n">
        <v>1</v>
      </c>
      <c r="J102" t="n">
        <v>3</v>
      </c>
      <c r="K102" t="n">
        <v>1</v>
      </c>
      <c r="L102" t="n">
        <v>0</v>
      </c>
      <c r="M102" t="n">
        <v>0</v>
      </c>
      <c r="N102" t="n">
        <v>0</v>
      </c>
      <c r="O102" t="n">
        <v>4</v>
      </c>
      <c r="P102" t="n">
        <v>1</v>
      </c>
      <c r="Q102" t="n">
        <v>5</v>
      </c>
      <c r="R102" s="2" t="inlineStr">
        <is>
          <t>Gräddporing
Kolflarnlav
Mörk kolflarnlav
Vedflamlav
Dropptaggsvamp</t>
        </is>
      </c>
      <c r="S102">
        <f>HYPERLINK("https://klasma.github.io/Logging_2161/artfynd/A 51955-2023 artfynd.xlsx", "A 51955-2023")</f>
        <v/>
      </c>
      <c r="T102">
        <f>HYPERLINK("https://klasma.github.io/Logging_2161/kartor/A 51955-2023 karta.png", "A 51955-2023")</f>
        <v/>
      </c>
      <c r="V102">
        <f>HYPERLINK("https://klasma.github.io/Logging_2161/klagomål/A 51955-2023 FSC-klagomål.docx", "A 51955-2023")</f>
        <v/>
      </c>
      <c r="W102">
        <f>HYPERLINK("https://klasma.github.io/Logging_2161/klagomålsmail/A 51955-2023 FSC-klagomål mail.docx", "A 51955-2023")</f>
        <v/>
      </c>
      <c r="X102">
        <f>HYPERLINK("https://klasma.github.io/Logging_2161/tillsyn/A 51955-2023 tillsynsbegäran.docx", "A 51955-2023")</f>
        <v/>
      </c>
      <c r="Y102">
        <f>HYPERLINK("https://klasma.github.io/Logging_2161/tillsynsmail/A 51955-2023 tillsynsbegäran mail.docx", "A 51955-2023")</f>
        <v/>
      </c>
    </row>
    <row r="103" ht="15" customHeight="1">
      <c r="A103" t="inlineStr">
        <is>
          <t>A 1101-2024</t>
        </is>
      </c>
      <c r="B103" s="1" t="n">
        <v>45302</v>
      </c>
      <c r="C103" s="1" t="n">
        <v>45352</v>
      </c>
      <c r="D103" t="inlineStr">
        <is>
          <t>GÄVLEBORGS LÄN</t>
        </is>
      </c>
      <c r="E103" t="inlineStr">
        <is>
          <t>GÄVLE</t>
        </is>
      </c>
      <c r="F103" t="inlineStr">
        <is>
          <t>Bergvik skog väst AB</t>
        </is>
      </c>
      <c r="G103" t="n">
        <v>6.5</v>
      </c>
      <c r="H103" t="n">
        <v>0</v>
      </c>
      <c r="I103" t="n">
        <v>1</v>
      </c>
      <c r="J103" t="n">
        <v>4</v>
      </c>
      <c r="K103" t="n">
        <v>0</v>
      </c>
      <c r="L103" t="n">
        <v>0</v>
      </c>
      <c r="M103" t="n">
        <v>0</v>
      </c>
      <c r="N103" t="n">
        <v>0</v>
      </c>
      <c r="O103" t="n">
        <v>4</v>
      </c>
      <c r="P103" t="n">
        <v>0</v>
      </c>
      <c r="Q103" t="n">
        <v>5</v>
      </c>
      <c r="R103" s="2" t="inlineStr">
        <is>
          <t>Blanksvart spiklav
Svartvit taggsvamp
Vedskivlav
Vedtrappmossa
Dropptaggsvamp</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6077-2024</t>
        </is>
      </c>
      <c r="B104" s="1" t="n">
        <v>45336</v>
      </c>
      <c r="C104" s="1" t="n">
        <v>45352</v>
      </c>
      <c r="D104" t="inlineStr">
        <is>
          <t>GÄVLEBORGS LÄN</t>
        </is>
      </c>
      <c r="E104" t="inlineStr">
        <is>
          <t>LJUSDAL</t>
        </is>
      </c>
      <c r="G104" t="n">
        <v>11.6</v>
      </c>
      <c r="H104" t="n">
        <v>0</v>
      </c>
      <c r="I104" t="n">
        <v>2</v>
      </c>
      <c r="J104" t="n">
        <v>3</v>
      </c>
      <c r="K104" t="n">
        <v>0</v>
      </c>
      <c r="L104" t="n">
        <v>0</v>
      </c>
      <c r="M104" t="n">
        <v>0</v>
      </c>
      <c r="N104" t="n">
        <v>0</v>
      </c>
      <c r="O104" t="n">
        <v>3</v>
      </c>
      <c r="P104" t="n">
        <v>0</v>
      </c>
      <c r="Q104" t="n">
        <v>5</v>
      </c>
      <c r="R104" s="2" t="inlineStr">
        <is>
          <t>Gränsticka
Rosenticka
Ullticka
Skinnlav
Stuplav</t>
        </is>
      </c>
      <c r="S104">
        <f>HYPERLINK("https://klasma.github.io/Logging_2161/artfynd/A 6077-2024 artfynd.xlsx", "A 6077-2024")</f>
        <v/>
      </c>
      <c r="T104">
        <f>HYPERLINK("https://klasma.github.io/Logging_2161/kartor/A 6077-2024 karta.png", "A 6077-2024")</f>
        <v/>
      </c>
      <c r="V104">
        <f>HYPERLINK("https://klasma.github.io/Logging_2161/klagomål/A 6077-2024 FSC-klagomål.docx", "A 6077-2024")</f>
        <v/>
      </c>
      <c r="W104">
        <f>HYPERLINK("https://klasma.github.io/Logging_2161/klagomålsmail/A 6077-2024 FSC-klagomål mail.docx", "A 6077-2024")</f>
        <v/>
      </c>
      <c r="X104">
        <f>HYPERLINK("https://klasma.github.io/Logging_2161/tillsyn/A 6077-2024 tillsynsbegäran.docx", "A 6077-2024")</f>
        <v/>
      </c>
      <c r="Y104">
        <f>HYPERLINK("https://klasma.github.io/Logging_2161/tillsynsmail/A 6077-2024 tillsynsbegäran mail.docx", "A 6077-2024")</f>
        <v/>
      </c>
    </row>
    <row r="105" ht="15" customHeight="1">
      <c r="A105" t="inlineStr">
        <is>
          <t>A 46239-2018</t>
        </is>
      </c>
      <c r="B105" s="1" t="n">
        <v>43367</v>
      </c>
      <c r="C105" s="1" t="n">
        <v>45352</v>
      </c>
      <c r="D105" t="inlineStr">
        <is>
          <t>GÄVLEBORGS LÄN</t>
        </is>
      </c>
      <c r="E105" t="inlineStr">
        <is>
          <t>LJUSDAL</t>
        </is>
      </c>
      <c r="G105" t="n">
        <v>113.5</v>
      </c>
      <c r="H105" t="n">
        <v>3</v>
      </c>
      <c r="I105" t="n">
        <v>0</v>
      </c>
      <c r="J105" t="n">
        <v>2</v>
      </c>
      <c r="K105" t="n">
        <v>0</v>
      </c>
      <c r="L105" t="n">
        <v>0</v>
      </c>
      <c r="M105" t="n">
        <v>1</v>
      </c>
      <c r="N105" t="n">
        <v>0</v>
      </c>
      <c r="O105" t="n">
        <v>3</v>
      </c>
      <c r="P105" t="n">
        <v>1</v>
      </c>
      <c r="Q105" t="n">
        <v>4</v>
      </c>
      <c r="R105" s="2" t="inlineStr">
        <is>
          <t>Ortolansparv
Buskskvätta
Slåtterfibbla
Nattviol</t>
        </is>
      </c>
      <c r="S105">
        <f>HYPERLINK("https://klasma.github.io/Logging_2161/artfynd/A 46239-2018 artfynd.xlsx", "A 46239-2018")</f>
        <v/>
      </c>
      <c r="T105">
        <f>HYPERLINK("https://klasma.github.io/Logging_2161/kartor/A 46239-2018 karta.png", "A 46239-2018")</f>
        <v/>
      </c>
      <c r="V105">
        <f>HYPERLINK("https://klasma.github.io/Logging_2161/klagomål/A 46239-2018 FSC-klagomål.docx", "A 46239-2018")</f>
        <v/>
      </c>
      <c r="W105">
        <f>HYPERLINK("https://klasma.github.io/Logging_2161/klagomålsmail/A 46239-2018 FSC-klagomål mail.docx", "A 46239-2018")</f>
        <v/>
      </c>
      <c r="X105">
        <f>HYPERLINK("https://klasma.github.io/Logging_2161/tillsyn/A 46239-2018 tillsynsbegäran.docx", "A 46239-2018")</f>
        <v/>
      </c>
      <c r="Y105">
        <f>HYPERLINK("https://klasma.github.io/Logging_2161/tillsynsmail/A 46239-2018 tillsynsbegäran mail.docx", "A 46239-2018")</f>
        <v/>
      </c>
      <c r="Z105">
        <f>HYPERLINK("https://klasma.github.io/Logging_2161/fåglar/A 46239-2018 prioriterade fågelarter.docx", "A 46239-2018")</f>
        <v/>
      </c>
    </row>
    <row r="106" ht="15" customHeight="1">
      <c r="A106" t="inlineStr">
        <is>
          <t>A 57120-2018</t>
        </is>
      </c>
      <c r="B106" s="1" t="n">
        <v>43403</v>
      </c>
      <c r="C106" s="1" t="n">
        <v>45352</v>
      </c>
      <c r="D106" t="inlineStr">
        <is>
          <t>GÄVLEBORGS LÄN</t>
        </is>
      </c>
      <c r="E106" t="inlineStr">
        <is>
          <t>HUDIKSVALL</t>
        </is>
      </c>
      <c r="F106" t="inlineStr">
        <is>
          <t>Holmen skog AB</t>
        </is>
      </c>
      <c r="G106" t="n">
        <v>6.8</v>
      </c>
      <c r="H106" t="n">
        <v>1</v>
      </c>
      <c r="I106" t="n">
        <v>0</v>
      </c>
      <c r="J106" t="n">
        <v>4</v>
      </c>
      <c r="K106" t="n">
        <v>0</v>
      </c>
      <c r="L106" t="n">
        <v>0</v>
      </c>
      <c r="M106" t="n">
        <v>0</v>
      </c>
      <c r="N106" t="n">
        <v>0</v>
      </c>
      <c r="O106" t="n">
        <v>4</v>
      </c>
      <c r="P106" t="n">
        <v>0</v>
      </c>
      <c r="Q106" t="n">
        <v>4</v>
      </c>
      <c r="R106" s="2" t="inlineStr">
        <is>
          <t>Kortskaftad ärgspik
Tallticka
Tretåig hackspett
Ullticka</t>
        </is>
      </c>
      <c r="S106">
        <f>HYPERLINK("https://klasma.github.io/Logging_2184/artfynd/A 57120-2018 artfynd.xlsx", "A 57120-2018")</f>
        <v/>
      </c>
      <c r="T106">
        <f>HYPERLINK("https://klasma.github.io/Logging_2184/kartor/A 57120-2018 karta.png", "A 57120-2018")</f>
        <v/>
      </c>
      <c r="V106">
        <f>HYPERLINK("https://klasma.github.io/Logging_2184/klagomål/A 57120-2018 FSC-klagomål.docx", "A 57120-2018")</f>
        <v/>
      </c>
      <c r="W106">
        <f>HYPERLINK("https://klasma.github.io/Logging_2184/klagomålsmail/A 57120-2018 FSC-klagomål mail.docx", "A 57120-2018")</f>
        <v/>
      </c>
      <c r="X106">
        <f>HYPERLINK("https://klasma.github.io/Logging_2184/tillsyn/A 57120-2018 tillsynsbegäran.docx", "A 57120-2018")</f>
        <v/>
      </c>
      <c r="Y106">
        <f>HYPERLINK("https://klasma.github.io/Logging_2184/tillsynsmail/A 57120-2018 tillsynsbegäran mail.docx", "A 57120-2018")</f>
        <v/>
      </c>
      <c r="Z106">
        <f>HYPERLINK("https://klasma.github.io/Logging_2184/fåglar/A 57120-2018 prioriterade fågelarter.docx", "A 57120-2018")</f>
        <v/>
      </c>
    </row>
    <row r="107" ht="15" customHeight="1">
      <c r="A107" t="inlineStr">
        <is>
          <t>A 67528-2018</t>
        </is>
      </c>
      <c r="B107" s="1" t="n">
        <v>43432</v>
      </c>
      <c r="C107" s="1" t="n">
        <v>45352</v>
      </c>
      <c r="D107" t="inlineStr">
        <is>
          <t>GÄVLEBORGS LÄN</t>
        </is>
      </c>
      <c r="E107" t="inlineStr">
        <is>
          <t>LJUSDAL</t>
        </is>
      </c>
      <c r="F107" t="inlineStr">
        <is>
          <t>Sveaskog</t>
        </is>
      </c>
      <c r="G107" t="n">
        <v>509.1</v>
      </c>
      <c r="H107" t="n">
        <v>1</v>
      </c>
      <c r="I107" t="n">
        <v>1</v>
      </c>
      <c r="J107" t="n">
        <v>2</v>
      </c>
      <c r="K107" t="n">
        <v>0</v>
      </c>
      <c r="L107" t="n">
        <v>0</v>
      </c>
      <c r="M107" t="n">
        <v>1</v>
      </c>
      <c r="N107" t="n">
        <v>0</v>
      </c>
      <c r="O107" t="n">
        <v>3</v>
      </c>
      <c r="P107" t="n">
        <v>1</v>
      </c>
      <c r="Q107" t="n">
        <v>4</v>
      </c>
      <c r="R107" s="2" t="inlineStr">
        <is>
          <t>Ortolansparv
Brunag
Svedjenäva
Tibast</t>
        </is>
      </c>
      <c r="S107">
        <f>HYPERLINK("https://klasma.github.io/Logging_2161/artfynd/A 67528-2018 artfynd.xlsx", "A 67528-2018")</f>
        <v/>
      </c>
      <c r="T107">
        <f>HYPERLINK("https://klasma.github.io/Logging_2161/kartor/A 67528-2018 karta.png", "A 67528-2018")</f>
        <v/>
      </c>
      <c r="V107">
        <f>HYPERLINK("https://klasma.github.io/Logging_2161/klagomål/A 67528-2018 FSC-klagomål.docx", "A 67528-2018")</f>
        <v/>
      </c>
      <c r="W107">
        <f>HYPERLINK("https://klasma.github.io/Logging_2161/klagomålsmail/A 67528-2018 FSC-klagomål mail.docx", "A 67528-2018")</f>
        <v/>
      </c>
      <c r="X107">
        <f>HYPERLINK("https://klasma.github.io/Logging_2161/tillsyn/A 67528-2018 tillsynsbegäran.docx", "A 67528-2018")</f>
        <v/>
      </c>
      <c r="Y107">
        <f>HYPERLINK("https://klasma.github.io/Logging_2161/tillsynsmail/A 67528-2018 tillsynsbegäran mail.docx", "A 67528-2018")</f>
        <v/>
      </c>
      <c r="Z107">
        <f>HYPERLINK("https://klasma.github.io/Logging_2161/fåglar/A 67528-2018 prioriterade fågelarter.docx", "A 67528-2018")</f>
        <v/>
      </c>
    </row>
    <row r="108" ht="15" customHeight="1">
      <c r="A108" t="inlineStr">
        <is>
          <t>A 47377-2019</t>
        </is>
      </c>
      <c r="B108" s="1" t="n">
        <v>43721</v>
      </c>
      <c r="C108" s="1" t="n">
        <v>45352</v>
      </c>
      <c r="D108" t="inlineStr">
        <is>
          <t>GÄVLEBORGS LÄN</t>
        </is>
      </c>
      <c r="E108" t="inlineStr">
        <is>
          <t>GÄVLE</t>
        </is>
      </c>
      <c r="F108" t="inlineStr">
        <is>
          <t>Bergvik skog öst AB</t>
        </is>
      </c>
      <c r="G108" t="n">
        <v>21.7</v>
      </c>
      <c r="H108" t="n">
        <v>0</v>
      </c>
      <c r="I108" t="n">
        <v>0</v>
      </c>
      <c r="J108" t="n">
        <v>4</v>
      </c>
      <c r="K108" t="n">
        <v>0</v>
      </c>
      <c r="L108" t="n">
        <v>0</v>
      </c>
      <c r="M108" t="n">
        <v>0</v>
      </c>
      <c r="N108" t="n">
        <v>0</v>
      </c>
      <c r="O108" t="n">
        <v>4</v>
      </c>
      <c r="P108" t="n">
        <v>0</v>
      </c>
      <c r="Q108" t="n">
        <v>4</v>
      </c>
      <c r="R108" s="2" t="inlineStr">
        <is>
          <t>Brunklöver
Kolflarnlav
Svävflugedagsvärmare
Violettkantad guldvinge</t>
        </is>
      </c>
      <c r="S108">
        <f>HYPERLINK("https://klasma.github.io/Logging_2180/artfynd/A 47377-2019 artfynd.xlsx", "A 47377-2019")</f>
        <v/>
      </c>
      <c r="T108">
        <f>HYPERLINK("https://klasma.github.io/Logging_2180/kartor/A 47377-2019 karta.png", "A 47377-2019")</f>
        <v/>
      </c>
      <c r="V108">
        <f>HYPERLINK("https://klasma.github.io/Logging_2180/klagomål/A 47377-2019 FSC-klagomål.docx", "A 47377-2019")</f>
        <v/>
      </c>
      <c r="W108">
        <f>HYPERLINK("https://klasma.github.io/Logging_2180/klagomålsmail/A 47377-2019 FSC-klagomål mail.docx", "A 47377-2019")</f>
        <v/>
      </c>
      <c r="X108">
        <f>HYPERLINK("https://klasma.github.io/Logging_2180/tillsyn/A 47377-2019 tillsynsbegäran.docx", "A 47377-2019")</f>
        <v/>
      </c>
      <c r="Y108">
        <f>HYPERLINK("https://klasma.github.io/Logging_2180/tillsynsmail/A 47377-2019 tillsynsbegäran mail.docx", "A 47377-2019")</f>
        <v/>
      </c>
    </row>
    <row r="109" ht="15" customHeight="1">
      <c r="A109" t="inlineStr">
        <is>
          <t>A 55426-2019</t>
        </is>
      </c>
      <c r="B109" s="1" t="n">
        <v>43756</v>
      </c>
      <c r="C109" s="1" t="n">
        <v>45352</v>
      </c>
      <c r="D109" t="inlineStr">
        <is>
          <t>GÄVLEBORGS LÄN</t>
        </is>
      </c>
      <c r="E109" t="inlineStr">
        <is>
          <t>SÖDERHAMN</t>
        </is>
      </c>
      <c r="G109" t="n">
        <v>2</v>
      </c>
      <c r="H109" t="n">
        <v>4</v>
      </c>
      <c r="I109" t="n">
        <v>0</v>
      </c>
      <c r="J109" t="n">
        <v>3</v>
      </c>
      <c r="K109" t="n">
        <v>0</v>
      </c>
      <c r="L109" t="n">
        <v>1</v>
      </c>
      <c r="M109" t="n">
        <v>0</v>
      </c>
      <c r="N109" t="n">
        <v>0</v>
      </c>
      <c r="O109" t="n">
        <v>4</v>
      </c>
      <c r="P109" t="n">
        <v>1</v>
      </c>
      <c r="Q109" t="n">
        <v>4</v>
      </c>
      <c r="R109" s="2" t="inlineStr">
        <is>
          <t>Tornseglare
Busksångare
Rödvingetrast
Skrattmås</t>
        </is>
      </c>
      <c r="S109">
        <f>HYPERLINK("https://klasma.github.io/Logging_2182/artfynd/A 55426-2019 artfynd.xlsx", "A 55426-2019")</f>
        <v/>
      </c>
      <c r="T109">
        <f>HYPERLINK("https://klasma.github.io/Logging_2182/kartor/A 55426-2019 karta.png", "A 55426-2019")</f>
        <v/>
      </c>
      <c r="V109">
        <f>HYPERLINK("https://klasma.github.io/Logging_2182/klagomål/A 55426-2019 FSC-klagomål.docx", "A 55426-2019")</f>
        <v/>
      </c>
      <c r="W109">
        <f>HYPERLINK("https://klasma.github.io/Logging_2182/klagomålsmail/A 55426-2019 FSC-klagomål mail.docx", "A 55426-2019")</f>
        <v/>
      </c>
      <c r="X109">
        <f>HYPERLINK("https://klasma.github.io/Logging_2182/tillsyn/A 55426-2019 tillsynsbegäran.docx", "A 55426-2019")</f>
        <v/>
      </c>
      <c r="Y109">
        <f>HYPERLINK("https://klasma.github.io/Logging_2182/tillsynsmail/A 55426-2019 tillsynsbegäran mail.docx", "A 55426-2019")</f>
        <v/>
      </c>
      <c r="Z109">
        <f>HYPERLINK("https://klasma.github.io/Logging_2182/fåglar/A 55426-2019 prioriterade fågelarter.docx", "A 55426-2019")</f>
        <v/>
      </c>
    </row>
    <row r="110" ht="15" customHeight="1">
      <c r="A110" t="inlineStr">
        <is>
          <t>A 7569-2020</t>
        </is>
      </c>
      <c r="B110" s="1" t="n">
        <v>43872</v>
      </c>
      <c r="C110" s="1" t="n">
        <v>45352</v>
      </c>
      <c r="D110" t="inlineStr">
        <is>
          <t>GÄVLEBORGS LÄN</t>
        </is>
      </c>
      <c r="E110" t="inlineStr">
        <is>
          <t>LJUSDAL</t>
        </is>
      </c>
      <c r="G110" t="n">
        <v>5.5</v>
      </c>
      <c r="H110" t="n">
        <v>0</v>
      </c>
      <c r="I110" t="n">
        <v>0</v>
      </c>
      <c r="J110" t="n">
        <v>4</v>
      </c>
      <c r="K110" t="n">
        <v>0</v>
      </c>
      <c r="L110" t="n">
        <v>0</v>
      </c>
      <c r="M110" t="n">
        <v>0</v>
      </c>
      <c r="N110" t="n">
        <v>0</v>
      </c>
      <c r="O110" t="n">
        <v>4</v>
      </c>
      <c r="P110" t="n">
        <v>0</v>
      </c>
      <c r="Q110" t="n">
        <v>4</v>
      </c>
      <c r="R110" s="2" t="inlineStr">
        <is>
          <t>Blanksvart spiklav
Garnlav
Mörk kolflarnlav
Skrovellav</t>
        </is>
      </c>
      <c r="S110">
        <f>HYPERLINK("https://klasma.github.io/Logging_2161/artfynd/A 7569-2020 artfynd.xlsx", "A 7569-2020")</f>
        <v/>
      </c>
      <c r="T110">
        <f>HYPERLINK("https://klasma.github.io/Logging_2161/kartor/A 7569-2020 karta.png", "A 7569-2020")</f>
        <v/>
      </c>
      <c r="V110">
        <f>HYPERLINK("https://klasma.github.io/Logging_2161/klagomål/A 7569-2020 FSC-klagomål.docx", "A 7569-2020")</f>
        <v/>
      </c>
      <c r="W110">
        <f>HYPERLINK("https://klasma.github.io/Logging_2161/klagomålsmail/A 7569-2020 FSC-klagomål mail.docx", "A 7569-2020")</f>
        <v/>
      </c>
      <c r="X110">
        <f>HYPERLINK("https://klasma.github.io/Logging_2161/tillsyn/A 7569-2020 tillsynsbegäran.docx", "A 7569-2020")</f>
        <v/>
      </c>
      <c r="Y110">
        <f>HYPERLINK("https://klasma.github.io/Logging_2161/tillsynsmail/A 7569-2020 tillsynsbegäran mail.docx", "A 7569-2020")</f>
        <v/>
      </c>
    </row>
    <row r="111" ht="15" customHeight="1">
      <c r="A111" t="inlineStr">
        <is>
          <t>A 45074-2020</t>
        </is>
      </c>
      <c r="B111" s="1" t="n">
        <v>44088</v>
      </c>
      <c r="C111" s="1" t="n">
        <v>45352</v>
      </c>
      <c r="D111" t="inlineStr">
        <is>
          <t>GÄVLEBORGS LÄN</t>
        </is>
      </c>
      <c r="E111" t="inlineStr">
        <is>
          <t>OCKELBO</t>
        </is>
      </c>
      <c r="G111" t="n">
        <v>3.8</v>
      </c>
      <c r="H111" t="n">
        <v>0</v>
      </c>
      <c r="I111" t="n">
        <v>0</v>
      </c>
      <c r="J111" t="n">
        <v>3</v>
      </c>
      <c r="K111" t="n">
        <v>1</v>
      </c>
      <c r="L111" t="n">
        <v>0</v>
      </c>
      <c r="M111" t="n">
        <v>0</v>
      </c>
      <c r="N111" t="n">
        <v>0</v>
      </c>
      <c r="O111" t="n">
        <v>4</v>
      </c>
      <c r="P111" t="n">
        <v>1</v>
      </c>
      <c r="Q111" t="n">
        <v>4</v>
      </c>
      <c r="R111" s="2" t="inlineStr">
        <is>
          <t>Ostticka
Tallticka
Ullticka
Vedskivlav</t>
        </is>
      </c>
      <c r="S111">
        <f>HYPERLINK("https://klasma.github.io/Logging_2101/artfynd/A 45074-2020 artfynd.xlsx", "A 45074-2020")</f>
        <v/>
      </c>
      <c r="T111">
        <f>HYPERLINK("https://klasma.github.io/Logging_2101/kartor/A 45074-2020 karta.png", "A 45074-2020")</f>
        <v/>
      </c>
      <c r="V111">
        <f>HYPERLINK("https://klasma.github.io/Logging_2101/klagomål/A 45074-2020 FSC-klagomål.docx", "A 45074-2020")</f>
        <v/>
      </c>
      <c r="W111">
        <f>HYPERLINK("https://klasma.github.io/Logging_2101/klagomålsmail/A 45074-2020 FSC-klagomål mail.docx", "A 45074-2020")</f>
        <v/>
      </c>
      <c r="X111">
        <f>HYPERLINK("https://klasma.github.io/Logging_2101/tillsyn/A 45074-2020 tillsynsbegäran.docx", "A 45074-2020")</f>
        <v/>
      </c>
      <c r="Y111">
        <f>HYPERLINK("https://klasma.github.io/Logging_2101/tillsynsmail/A 45074-2020 tillsynsbegäran mail.docx", "A 45074-2020")</f>
        <v/>
      </c>
    </row>
    <row r="112" ht="15" customHeight="1">
      <c r="A112" t="inlineStr">
        <is>
          <t>A 50160-2020</t>
        </is>
      </c>
      <c r="B112" s="1" t="n">
        <v>44109</v>
      </c>
      <c r="C112" s="1" t="n">
        <v>45352</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64590-2020</t>
        </is>
      </c>
      <c r="B113" s="1" t="n">
        <v>44169</v>
      </c>
      <c r="C113" s="1" t="n">
        <v>45352</v>
      </c>
      <c r="D113" t="inlineStr">
        <is>
          <t>GÄVLEBORGS LÄN</t>
        </is>
      </c>
      <c r="E113" t="inlineStr">
        <is>
          <t>OCKELBO</t>
        </is>
      </c>
      <c r="F113" t="inlineStr">
        <is>
          <t>Bergvik skog väst AB</t>
        </is>
      </c>
      <c r="G113" t="n">
        <v>2.8</v>
      </c>
      <c r="H113" t="n">
        <v>1</v>
      </c>
      <c r="I113" t="n">
        <v>0</v>
      </c>
      <c r="J113" t="n">
        <v>3</v>
      </c>
      <c r="K113" t="n">
        <v>0</v>
      </c>
      <c r="L113" t="n">
        <v>0</v>
      </c>
      <c r="M113" t="n">
        <v>0</v>
      </c>
      <c r="N113" t="n">
        <v>0</v>
      </c>
      <c r="O113" t="n">
        <v>3</v>
      </c>
      <c r="P113" t="n">
        <v>0</v>
      </c>
      <c r="Q113" t="n">
        <v>4</v>
      </c>
      <c r="R113" s="2" t="inlineStr">
        <is>
          <t>Garnlav
Motaggsvamp
Vedskivlav
Revlummer</t>
        </is>
      </c>
      <c r="S113">
        <f>HYPERLINK("https://klasma.github.io/Logging_2101/artfynd/A 64590-2020 artfynd.xlsx", "A 64590-2020")</f>
        <v/>
      </c>
      <c r="T113">
        <f>HYPERLINK("https://klasma.github.io/Logging_2101/kartor/A 64590-2020 karta.png", "A 64590-2020")</f>
        <v/>
      </c>
      <c r="V113">
        <f>HYPERLINK("https://klasma.github.io/Logging_2101/klagomål/A 64590-2020 FSC-klagomål.docx", "A 64590-2020")</f>
        <v/>
      </c>
      <c r="W113">
        <f>HYPERLINK("https://klasma.github.io/Logging_2101/klagomålsmail/A 64590-2020 FSC-klagomål mail.docx", "A 64590-2020")</f>
        <v/>
      </c>
      <c r="X113">
        <f>HYPERLINK("https://klasma.github.io/Logging_2101/tillsyn/A 64590-2020 tillsynsbegäran.docx", "A 64590-2020")</f>
        <v/>
      </c>
      <c r="Y113">
        <f>HYPERLINK("https://klasma.github.io/Logging_2101/tillsynsmail/A 64590-2020 tillsynsbegäran mail.docx", "A 64590-2020")</f>
        <v/>
      </c>
    </row>
    <row r="114" ht="15" customHeight="1">
      <c r="A114" t="inlineStr">
        <is>
          <t>A 48181-2021</t>
        </is>
      </c>
      <c r="B114" s="1" t="n">
        <v>44449</v>
      </c>
      <c r="C114" s="1" t="n">
        <v>45352</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45352</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45352</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45352</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45352</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44589-2022</t>
        </is>
      </c>
      <c r="B119" s="1" t="n">
        <v>44840</v>
      </c>
      <c r="C119" s="1" t="n">
        <v>45352</v>
      </c>
      <c r="D119" t="inlineStr">
        <is>
          <t>GÄVLEBORGS LÄN</t>
        </is>
      </c>
      <c r="E119" t="inlineStr">
        <is>
          <t>NORDANSTIG</t>
        </is>
      </c>
      <c r="F119" t="inlineStr">
        <is>
          <t>Holmen skog AB</t>
        </is>
      </c>
      <c r="G119" t="n">
        <v>8.199999999999999</v>
      </c>
      <c r="H119" t="n">
        <v>0</v>
      </c>
      <c r="I119" t="n">
        <v>1</v>
      </c>
      <c r="J119" t="n">
        <v>3</v>
      </c>
      <c r="K119" t="n">
        <v>0</v>
      </c>
      <c r="L119" t="n">
        <v>0</v>
      </c>
      <c r="M119" t="n">
        <v>0</v>
      </c>
      <c r="N119" t="n">
        <v>0</v>
      </c>
      <c r="O119" t="n">
        <v>3</v>
      </c>
      <c r="P119" t="n">
        <v>0</v>
      </c>
      <c r="Q119" t="n">
        <v>4</v>
      </c>
      <c r="R119" s="2" t="inlineStr">
        <is>
          <t>Gammelgransskål
Vedtrappmossa
Vitgrynig nållav
Bollvitmossa</t>
        </is>
      </c>
      <c r="S119">
        <f>HYPERLINK("https://klasma.github.io/Logging_2132/artfynd/A 44589-2022 artfynd.xlsx", "A 44589-2022")</f>
        <v/>
      </c>
      <c r="T119">
        <f>HYPERLINK("https://klasma.github.io/Logging_2132/kartor/A 44589-2022 karta.png", "A 44589-2022")</f>
        <v/>
      </c>
      <c r="V119">
        <f>HYPERLINK("https://klasma.github.io/Logging_2132/klagomål/A 44589-2022 FSC-klagomål.docx", "A 44589-2022")</f>
        <v/>
      </c>
      <c r="W119">
        <f>HYPERLINK("https://klasma.github.io/Logging_2132/klagomålsmail/A 44589-2022 FSC-klagomål mail.docx", "A 44589-2022")</f>
        <v/>
      </c>
      <c r="X119">
        <f>HYPERLINK("https://klasma.github.io/Logging_2132/tillsyn/A 44589-2022 tillsynsbegäran.docx", "A 44589-2022")</f>
        <v/>
      </c>
      <c r="Y119">
        <f>HYPERLINK("https://klasma.github.io/Logging_2132/tillsynsmail/A 44589-2022 tillsynsbegäran mail.docx", "A 44589-2022")</f>
        <v/>
      </c>
    </row>
    <row r="120" ht="15" customHeight="1">
      <c r="A120" t="inlineStr">
        <is>
          <t>A 55473-2022</t>
        </is>
      </c>
      <c r="B120" s="1" t="n">
        <v>44887</v>
      </c>
      <c r="C120" s="1" t="n">
        <v>45352</v>
      </c>
      <c r="D120" t="inlineStr">
        <is>
          <t>GÄVLEBORGS LÄN</t>
        </is>
      </c>
      <c r="E120" t="inlineStr">
        <is>
          <t>OVANÅKER</t>
        </is>
      </c>
      <c r="G120" t="n">
        <v>7.9</v>
      </c>
      <c r="H120" t="n">
        <v>0</v>
      </c>
      <c r="I120" t="n">
        <v>1</v>
      </c>
      <c r="J120" t="n">
        <v>3</v>
      </c>
      <c r="K120" t="n">
        <v>0</v>
      </c>
      <c r="L120" t="n">
        <v>0</v>
      </c>
      <c r="M120" t="n">
        <v>0</v>
      </c>
      <c r="N120" t="n">
        <v>0</v>
      </c>
      <c r="O120" t="n">
        <v>3</v>
      </c>
      <c r="P120" t="n">
        <v>0</v>
      </c>
      <c r="Q120" t="n">
        <v>4</v>
      </c>
      <c r="R120" s="2" t="inlineStr">
        <is>
          <t>Dvärgbägarlav
Kolflarnlav
Mörk kolflarnlav
Dropptaggsvamp</t>
        </is>
      </c>
      <c r="S120">
        <f>HYPERLINK("https://klasma.github.io/Logging_2121/artfynd/A 55473-2022 artfynd.xlsx", "A 55473-2022")</f>
        <v/>
      </c>
      <c r="T120">
        <f>HYPERLINK("https://klasma.github.io/Logging_2121/kartor/A 55473-2022 karta.png", "A 55473-2022")</f>
        <v/>
      </c>
      <c r="V120">
        <f>HYPERLINK("https://klasma.github.io/Logging_2121/klagomål/A 55473-2022 FSC-klagomål.docx", "A 55473-2022")</f>
        <v/>
      </c>
      <c r="W120">
        <f>HYPERLINK("https://klasma.github.io/Logging_2121/klagomålsmail/A 55473-2022 FSC-klagomål mail.docx", "A 55473-2022")</f>
        <v/>
      </c>
      <c r="X120">
        <f>HYPERLINK("https://klasma.github.io/Logging_2121/tillsyn/A 55473-2022 tillsynsbegäran.docx", "A 55473-2022")</f>
        <v/>
      </c>
      <c r="Y120">
        <f>HYPERLINK("https://klasma.github.io/Logging_2121/tillsynsmail/A 55473-2022 tillsynsbegäran mail.docx", "A 55473-2022")</f>
        <v/>
      </c>
    </row>
    <row r="121" ht="15" customHeight="1">
      <c r="A121" t="inlineStr">
        <is>
          <t>A 18274-2023</t>
        </is>
      </c>
      <c r="B121" s="1" t="n">
        <v>45041</v>
      </c>
      <c r="C121" s="1" t="n">
        <v>45352</v>
      </c>
      <c r="D121" t="inlineStr">
        <is>
          <t>GÄVLEBORGS LÄN</t>
        </is>
      </c>
      <c r="E121" t="inlineStr">
        <is>
          <t>SÖDERHAMN</t>
        </is>
      </c>
      <c r="F121" t="inlineStr">
        <is>
          <t>Bergvik skog väst AB</t>
        </is>
      </c>
      <c r="G121" t="n">
        <v>10.6</v>
      </c>
      <c r="H121" t="n">
        <v>4</v>
      </c>
      <c r="I121" t="n">
        <v>0</v>
      </c>
      <c r="J121" t="n">
        <v>4</v>
      </c>
      <c r="K121" t="n">
        <v>0</v>
      </c>
      <c r="L121" t="n">
        <v>0</v>
      </c>
      <c r="M121" t="n">
        <v>0</v>
      </c>
      <c r="N121" t="n">
        <v>0</v>
      </c>
      <c r="O121" t="n">
        <v>4</v>
      </c>
      <c r="P121" t="n">
        <v>0</v>
      </c>
      <c r="Q121" t="n">
        <v>4</v>
      </c>
      <c r="R121" s="2" t="inlineStr">
        <is>
          <t>Mindre hackspett
Rödvingetrast
Talltita
Ärtsångare</t>
        </is>
      </c>
      <c r="S121">
        <f>HYPERLINK("https://klasma.github.io/Logging_2182/artfynd/A 18274-2023 artfynd.xlsx", "A 18274-2023")</f>
        <v/>
      </c>
      <c r="T121">
        <f>HYPERLINK("https://klasma.github.io/Logging_2182/kartor/A 18274-2023 karta.png", "A 18274-2023")</f>
        <v/>
      </c>
      <c r="V121">
        <f>HYPERLINK("https://klasma.github.io/Logging_2182/klagomål/A 18274-2023 FSC-klagomål.docx", "A 18274-2023")</f>
        <v/>
      </c>
      <c r="W121">
        <f>HYPERLINK("https://klasma.github.io/Logging_2182/klagomålsmail/A 18274-2023 FSC-klagomål mail.docx", "A 18274-2023")</f>
        <v/>
      </c>
      <c r="X121">
        <f>HYPERLINK("https://klasma.github.io/Logging_2182/tillsyn/A 18274-2023 tillsynsbegäran.docx", "A 18274-2023")</f>
        <v/>
      </c>
      <c r="Y121">
        <f>HYPERLINK("https://klasma.github.io/Logging_2182/tillsynsmail/A 18274-2023 tillsynsbegäran mail.docx", "A 18274-2023")</f>
        <v/>
      </c>
      <c r="Z121">
        <f>HYPERLINK("https://klasma.github.io/Logging_2182/fåglar/A 18274-2023 prioriterade fågelarter.docx", "A 18274-2023")</f>
        <v/>
      </c>
    </row>
    <row r="122" ht="15" customHeight="1">
      <c r="A122" t="inlineStr">
        <is>
          <t>A 22978-2023</t>
        </is>
      </c>
      <c r="B122" s="1" t="n">
        <v>45072</v>
      </c>
      <c r="C122" s="1" t="n">
        <v>45352</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45352</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45352</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45352</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45352</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45196-2023</t>
        </is>
      </c>
      <c r="B127" s="1" t="n">
        <v>45191</v>
      </c>
      <c r="C127" s="1" t="n">
        <v>45352</v>
      </c>
      <c r="D127" t="inlineStr">
        <is>
          <t>GÄVLEBORGS LÄN</t>
        </is>
      </c>
      <c r="E127" t="inlineStr">
        <is>
          <t>LJUSDAL</t>
        </is>
      </c>
      <c r="F127" t="inlineStr">
        <is>
          <t>Sveaskog</t>
        </is>
      </c>
      <c r="G127" t="n">
        <v>1.8</v>
      </c>
      <c r="H127" t="n">
        <v>1</v>
      </c>
      <c r="I127" t="n">
        <v>1</v>
      </c>
      <c r="J127" t="n">
        <v>3</v>
      </c>
      <c r="K127" t="n">
        <v>0</v>
      </c>
      <c r="L127" t="n">
        <v>0</v>
      </c>
      <c r="M127" t="n">
        <v>0</v>
      </c>
      <c r="N127" t="n">
        <v>0</v>
      </c>
      <c r="O127" t="n">
        <v>3</v>
      </c>
      <c r="P127" t="n">
        <v>0</v>
      </c>
      <c r="Q127" t="n">
        <v>4</v>
      </c>
      <c r="R127" s="2" t="inlineStr">
        <is>
          <t>Kolflarnlav
Lunglav
Mörk kolflarnlav
Plattlummer</t>
        </is>
      </c>
      <c r="S127">
        <f>HYPERLINK("https://klasma.github.io/Logging_2161/artfynd/A 45196-2023 artfynd.xlsx", "A 45196-2023")</f>
        <v/>
      </c>
      <c r="T127">
        <f>HYPERLINK("https://klasma.github.io/Logging_2161/kartor/A 45196-2023 karta.png", "A 45196-2023")</f>
        <v/>
      </c>
      <c r="V127">
        <f>HYPERLINK("https://klasma.github.io/Logging_2161/klagomål/A 45196-2023 FSC-klagomål.docx", "A 45196-2023")</f>
        <v/>
      </c>
      <c r="W127">
        <f>HYPERLINK("https://klasma.github.io/Logging_2161/klagomålsmail/A 45196-2023 FSC-klagomål mail.docx", "A 45196-2023")</f>
        <v/>
      </c>
      <c r="X127">
        <f>HYPERLINK("https://klasma.github.io/Logging_2161/tillsyn/A 45196-2023 tillsynsbegäran.docx", "A 45196-2023")</f>
        <v/>
      </c>
      <c r="Y127">
        <f>HYPERLINK("https://klasma.github.io/Logging_2161/tillsynsmail/A 45196-2023 tillsynsbegäran mail.docx", "A 45196-2023")</f>
        <v/>
      </c>
    </row>
    <row r="128" ht="15" customHeight="1">
      <c r="A128" t="inlineStr">
        <is>
          <t>A 50924-2023</t>
        </is>
      </c>
      <c r="B128" s="1" t="n">
        <v>45218</v>
      </c>
      <c r="C128" s="1" t="n">
        <v>45352</v>
      </c>
      <c r="D128" t="inlineStr">
        <is>
          <t>GÄVLEBORGS LÄN</t>
        </is>
      </c>
      <c r="E128" t="inlineStr">
        <is>
          <t>HUDIKSVALL</t>
        </is>
      </c>
      <c r="G128" t="n">
        <v>6.4</v>
      </c>
      <c r="H128" t="n">
        <v>1</v>
      </c>
      <c r="I128" t="n">
        <v>1</v>
      </c>
      <c r="J128" t="n">
        <v>2</v>
      </c>
      <c r="K128" t="n">
        <v>0</v>
      </c>
      <c r="L128" t="n">
        <v>0</v>
      </c>
      <c r="M128" t="n">
        <v>0</v>
      </c>
      <c r="N128" t="n">
        <v>0</v>
      </c>
      <c r="O128" t="n">
        <v>2</v>
      </c>
      <c r="P128" t="n">
        <v>0</v>
      </c>
      <c r="Q128" t="n">
        <v>4</v>
      </c>
      <c r="R128" s="2" t="inlineStr">
        <is>
          <t>Motaggsvamp
Skogshare
Nästlav
Fläcknycklar</t>
        </is>
      </c>
      <c r="S128">
        <f>HYPERLINK("https://klasma.github.io/Logging_2184/artfynd/A 50924-2023 artfynd.xlsx", "A 50924-2023")</f>
        <v/>
      </c>
      <c r="T128">
        <f>HYPERLINK("https://klasma.github.io/Logging_2184/kartor/A 50924-2023 karta.png", "A 50924-2023")</f>
        <v/>
      </c>
      <c r="V128">
        <f>HYPERLINK("https://klasma.github.io/Logging_2184/klagomål/A 50924-2023 FSC-klagomål.docx", "A 50924-2023")</f>
        <v/>
      </c>
      <c r="W128">
        <f>HYPERLINK("https://klasma.github.io/Logging_2184/klagomålsmail/A 50924-2023 FSC-klagomål mail.docx", "A 50924-2023")</f>
        <v/>
      </c>
      <c r="X128">
        <f>HYPERLINK("https://klasma.github.io/Logging_2184/tillsyn/A 50924-2023 tillsynsbegäran.docx", "A 50924-2023")</f>
        <v/>
      </c>
      <c r="Y128">
        <f>HYPERLINK("https://klasma.github.io/Logging_2184/tillsynsmail/A 50924-2023 tillsynsbegäran mail.docx", "A 50924-2023")</f>
        <v/>
      </c>
    </row>
    <row r="129" ht="15" customHeight="1">
      <c r="A129" t="inlineStr">
        <is>
          <t>A 51415-2023</t>
        </is>
      </c>
      <c r="B129" s="1" t="n">
        <v>45219</v>
      </c>
      <c r="C129" s="1" t="n">
        <v>45352</v>
      </c>
      <c r="D129" t="inlineStr">
        <is>
          <t>GÄVLEBORGS LÄN</t>
        </is>
      </c>
      <c r="E129" t="inlineStr">
        <is>
          <t>LJUSDAL</t>
        </is>
      </c>
      <c r="F129" t="inlineStr">
        <is>
          <t>Sveaskog</t>
        </is>
      </c>
      <c r="G129" t="n">
        <v>11.9</v>
      </c>
      <c r="H129" t="n">
        <v>0</v>
      </c>
      <c r="I129" t="n">
        <v>0</v>
      </c>
      <c r="J129" t="n">
        <v>4</v>
      </c>
      <c r="K129" t="n">
        <v>0</v>
      </c>
      <c r="L129" t="n">
        <v>0</v>
      </c>
      <c r="M129" t="n">
        <v>0</v>
      </c>
      <c r="N129" t="n">
        <v>0</v>
      </c>
      <c r="O129" t="n">
        <v>4</v>
      </c>
      <c r="P129" t="n">
        <v>0</v>
      </c>
      <c r="Q129" t="n">
        <v>4</v>
      </c>
      <c r="R129" s="2" t="inlineStr">
        <is>
          <t>Kolflarnlav
Motaggsvamp
Skrovlig taggsvamp
Vedflamlav</t>
        </is>
      </c>
      <c r="S129">
        <f>HYPERLINK("https://klasma.github.io/Logging_2161/artfynd/A 51415-2023 artfynd.xlsx", "A 51415-2023")</f>
        <v/>
      </c>
      <c r="T129">
        <f>HYPERLINK("https://klasma.github.io/Logging_2161/kartor/A 51415-2023 karta.png", "A 51415-2023")</f>
        <v/>
      </c>
      <c r="V129">
        <f>HYPERLINK("https://klasma.github.io/Logging_2161/klagomål/A 51415-2023 FSC-klagomål.docx", "A 51415-2023")</f>
        <v/>
      </c>
      <c r="W129">
        <f>HYPERLINK("https://klasma.github.io/Logging_2161/klagomålsmail/A 51415-2023 FSC-klagomål mail.docx", "A 51415-2023")</f>
        <v/>
      </c>
      <c r="X129">
        <f>HYPERLINK("https://klasma.github.io/Logging_2161/tillsyn/A 51415-2023 tillsynsbegäran.docx", "A 51415-2023")</f>
        <v/>
      </c>
      <c r="Y129">
        <f>HYPERLINK("https://klasma.github.io/Logging_2161/tillsynsmail/A 51415-2023 tillsynsbegäran mail.docx", "A 51415-2023")</f>
        <v/>
      </c>
    </row>
    <row r="130" ht="15" customHeight="1">
      <c r="A130" t="inlineStr">
        <is>
          <t>A 52131-2023</t>
        </is>
      </c>
      <c r="B130" s="1" t="n">
        <v>45223</v>
      </c>
      <c r="C130" s="1" t="n">
        <v>45352</v>
      </c>
      <c r="D130" t="inlineStr">
        <is>
          <t>GÄVLEBORGS LÄN</t>
        </is>
      </c>
      <c r="E130" t="inlineStr">
        <is>
          <t>LJUSDAL</t>
        </is>
      </c>
      <c r="F130" t="inlineStr">
        <is>
          <t>SCA</t>
        </is>
      </c>
      <c r="G130" t="n">
        <v>3.9</v>
      </c>
      <c r="H130" t="n">
        <v>4</v>
      </c>
      <c r="I130" t="n">
        <v>1</v>
      </c>
      <c r="J130" t="n">
        <v>1</v>
      </c>
      <c r="K130" t="n">
        <v>0</v>
      </c>
      <c r="L130" t="n">
        <v>0</v>
      </c>
      <c r="M130" t="n">
        <v>0</v>
      </c>
      <c r="N130" t="n">
        <v>0</v>
      </c>
      <c r="O130" t="n">
        <v>1</v>
      </c>
      <c r="P130" t="n">
        <v>0</v>
      </c>
      <c r="Q130" t="n">
        <v>4</v>
      </c>
      <c r="R130" s="2" t="inlineStr">
        <is>
          <t>Järpe
Korallrot
Fläcknycklar
Revlummer</t>
        </is>
      </c>
      <c r="S130">
        <f>HYPERLINK("https://klasma.github.io/Logging_2161/artfynd/A 52131-2023 artfynd.xlsx", "A 52131-2023")</f>
        <v/>
      </c>
      <c r="T130">
        <f>HYPERLINK("https://klasma.github.io/Logging_2161/kartor/A 52131-2023 karta.png", "A 52131-2023")</f>
        <v/>
      </c>
      <c r="V130">
        <f>HYPERLINK("https://klasma.github.io/Logging_2161/klagomål/A 52131-2023 FSC-klagomål.docx", "A 52131-2023")</f>
        <v/>
      </c>
      <c r="W130">
        <f>HYPERLINK("https://klasma.github.io/Logging_2161/klagomålsmail/A 52131-2023 FSC-klagomål mail.docx", "A 52131-2023")</f>
        <v/>
      </c>
      <c r="X130">
        <f>HYPERLINK("https://klasma.github.io/Logging_2161/tillsyn/A 52131-2023 tillsynsbegäran.docx", "A 52131-2023")</f>
        <v/>
      </c>
      <c r="Y130">
        <f>HYPERLINK("https://klasma.github.io/Logging_2161/tillsynsmail/A 52131-2023 tillsynsbegäran mail.docx", "A 52131-2023")</f>
        <v/>
      </c>
      <c r="Z130">
        <f>HYPERLINK("https://klasma.github.io/Logging_2161/fåglar/A 52131-2023 prioriterade fågelarter.docx", "A 52131-2023")</f>
        <v/>
      </c>
    </row>
    <row r="131" ht="15" customHeight="1">
      <c r="A131" t="inlineStr">
        <is>
          <t>A 53249-2023</t>
        </is>
      </c>
      <c r="B131" s="1" t="n">
        <v>45229</v>
      </c>
      <c r="C131" s="1" t="n">
        <v>45352</v>
      </c>
      <c r="D131" t="inlineStr">
        <is>
          <t>GÄVLEBORGS LÄN</t>
        </is>
      </c>
      <c r="E131" t="inlineStr">
        <is>
          <t>LJUSDAL</t>
        </is>
      </c>
      <c r="F131" t="inlineStr">
        <is>
          <t>Sveaskog</t>
        </is>
      </c>
      <c r="G131" t="n">
        <v>3.2</v>
      </c>
      <c r="H131" t="n">
        <v>0</v>
      </c>
      <c r="I131" t="n">
        <v>0</v>
      </c>
      <c r="J131" t="n">
        <v>4</v>
      </c>
      <c r="K131" t="n">
        <v>0</v>
      </c>
      <c r="L131" t="n">
        <v>0</v>
      </c>
      <c r="M131" t="n">
        <v>0</v>
      </c>
      <c r="N131" t="n">
        <v>0</v>
      </c>
      <c r="O131" t="n">
        <v>4</v>
      </c>
      <c r="P131" t="n">
        <v>0</v>
      </c>
      <c r="Q131" t="n">
        <v>4</v>
      </c>
      <c r="R131" s="2" t="inlineStr">
        <is>
          <t>Kolflarnlav
Motaggsvamp
Orange taggsvamp
Vedflamlav</t>
        </is>
      </c>
      <c r="S131">
        <f>HYPERLINK("https://klasma.github.io/Logging_2161/artfynd/A 53249-2023 artfynd.xlsx", "A 53249-2023")</f>
        <v/>
      </c>
      <c r="T131">
        <f>HYPERLINK("https://klasma.github.io/Logging_2161/kartor/A 53249-2023 karta.png", "A 53249-2023")</f>
        <v/>
      </c>
      <c r="V131">
        <f>HYPERLINK("https://klasma.github.io/Logging_2161/klagomål/A 53249-2023 FSC-klagomål.docx", "A 53249-2023")</f>
        <v/>
      </c>
      <c r="W131">
        <f>HYPERLINK("https://klasma.github.io/Logging_2161/klagomålsmail/A 53249-2023 FSC-klagomål mail.docx", "A 53249-2023")</f>
        <v/>
      </c>
      <c r="X131">
        <f>HYPERLINK("https://klasma.github.io/Logging_2161/tillsyn/A 53249-2023 tillsynsbegäran.docx", "A 53249-2023")</f>
        <v/>
      </c>
      <c r="Y131">
        <f>HYPERLINK("https://klasma.github.io/Logging_2161/tillsynsmail/A 53249-2023 tillsynsbegäran mail.docx", "A 53249-2023")</f>
        <v/>
      </c>
    </row>
    <row r="132" ht="15" customHeight="1">
      <c r="A132" t="inlineStr">
        <is>
          <t>A 56774-2023</t>
        </is>
      </c>
      <c r="B132" s="1" t="n">
        <v>45244</v>
      </c>
      <c r="C132" s="1" t="n">
        <v>45352</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56774-2023 artfynd.xlsx", "A 56774-2023")</f>
        <v/>
      </c>
      <c r="T132">
        <f>HYPERLINK("https://klasma.github.io/Logging_2161/kartor/A 56774-2023 karta.png", "A 56774-2023")</f>
        <v/>
      </c>
      <c r="V132">
        <f>HYPERLINK("https://klasma.github.io/Logging_2161/klagomål/A 56774-2023 FSC-klagomål.docx", "A 56774-2023")</f>
        <v/>
      </c>
      <c r="W132">
        <f>HYPERLINK("https://klasma.github.io/Logging_2161/klagomålsmail/A 56774-2023 FSC-klagomål mail.docx", "A 56774-2023")</f>
        <v/>
      </c>
      <c r="X132">
        <f>HYPERLINK("https://klasma.github.io/Logging_2161/tillsyn/A 56774-2023 tillsynsbegäran.docx", "A 56774-2023")</f>
        <v/>
      </c>
      <c r="Y132">
        <f>HYPERLINK("https://klasma.github.io/Logging_2161/tillsynsmail/A 56774-2023 tillsynsbegäran mail.docx", "A 56774-2023")</f>
        <v/>
      </c>
    </row>
    <row r="133" ht="15" customHeight="1">
      <c r="A133" t="inlineStr">
        <is>
          <t>A 56787-2023</t>
        </is>
      </c>
      <c r="B133" s="1" t="n">
        <v>45244</v>
      </c>
      <c r="C133" s="1" t="n">
        <v>45352</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56787-2023 artfynd.xlsx", "A 56787-2023")</f>
        <v/>
      </c>
      <c r="T133">
        <f>HYPERLINK("https://klasma.github.io/Logging_2161/kartor/A 56787-2023 karta.png", "A 56787-2023")</f>
        <v/>
      </c>
      <c r="V133">
        <f>HYPERLINK("https://klasma.github.io/Logging_2161/klagomål/A 56787-2023 FSC-klagomål.docx", "A 56787-2023")</f>
        <v/>
      </c>
      <c r="W133">
        <f>HYPERLINK("https://klasma.github.io/Logging_2161/klagomålsmail/A 56787-2023 FSC-klagomål mail.docx", "A 56787-2023")</f>
        <v/>
      </c>
      <c r="X133">
        <f>HYPERLINK("https://klasma.github.io/Logging_2161/tillsyn/A 56787-2023 tillsynsbegäran.docx", "A 56787-2023")</f>
        <v/>
      </c>
      <c r="Y133">
        <f>HYPERLINK("https://klasma.github.io/Logging_2161/tillsynsmail/A 56787-2023 tillsynsbegäran mail.docx", "A 56787-2023")</f>
        <v/>
      </c>
    </row>
    <row r="134" ht="15" customHeight="1">
      <c r="A134" t="inlineStr">
        <is>
          <t>A 56800-2023</t>
        </is>
      </c>
      <c r="B134" s="1" t="n">
        <v>45244</v>
      </c>
      <c r="C134" s="1" t="n">
        <v>45352</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59800-2023</t>
        </is>
      </c>
      <c r="B135" s="1" t="n">
        <v>45257</v>
      </c>
      <c r="C135" s="1" t="n">
        <v>45352</v>
      </c>
      <c r="D135" t="inlineStr">
        <is>
          <t>GÄVLEBORGS LÄN</t>
        </is>
      </c>
      <c r="E135" t="inlineStr">
        <is>
          <t>GÄVLE</t>
        </is>
      </c>
      <c r="G135" t="n">
        <v>6.3</v>
      </c>
      <c r="H135" t="n">
        <v>0</v>
      </c>
      <c r="I135" t="n">
        <v>2</v>
      </c>
      <c r="J135" t="n">
        <v>2</v>
      </c>
      <c r="K135" t="n">
        <v>0</v>
      </c>
      <c r="L135" t="n">
        <v>0</v>
      </c>
      <c r="M135" t="n">
        <v>0</v>
      </c>
      <c r="N135" t="n">
        <v>0</v>
      </c>
      <c r="O135" t="n">
        <v>2</v>
      </c>
      <c r="P135" t="n">
        <v>0</v>
      </c>
      <c r="Q135" t="n">
        <v>4</v>
      </c>
      <c r="R135" s="2" t="inlineStr">
        <is>
          <t>Motaggsvamp
Ullticka
Dropptaggsvamp
Skarp dropptaggsvamp</t>
        </is>
      </c>
      <c r="S135">
        <f>HYPERLINK("https://klasma.github.io/Logging_2180/artfynd/A 59800-2023 artfynd.xlsx", "A 59800-2023")</f>
        <v/>
      </c>
      <c r="T135">
        <f>HYPERLINK("https://klasma.github.io/Logging_2180/kartor/A 59800-2023 karta.png", "A 59800-2023")</f>
        <v/>
      </c>
      <c r="V135">
        <f>HYPERLINK("https://klasma.github.io/Logging_2180/klagomål/A 59800-2023 FSC-klagomål.docx", "A 59800-2023")</f>
        <v/>
      </c>
      <c r="W135">
        <f>HYPERLINK("https://klasma.github.io/Logging_2180/klagomålsmail/A 59800-2023 FSC-klagomål mail.docx", "A 59800-2023")</f>
        <v/>
      </c>
      <c r="X135">
        <f>HYPERLINK("https://klasma.github.io/Logging_2180/tillsyn/A 59800-2023 tillsynsbegäran.docx", "A 59800-2023")</f>
        <v/>
      </c>
      <c r="Y135">
        <f>HYPERLINK("https://klasma.github.io/Logging_2180/tillsynsmail/A 59800-2023 tillsynsbegäran mail.docx", "A 59800-2023")</f>
        <v/>
      </c>
    </row>
    <row r="136" ht="15" customHeight="1">
      <c r="A136" t="inlineStr">
        <is>
          <t>A 60906-2023</t>
        </is>
      </c>
      <c r="B136" s="1" t="n">
        <v>45261</v>
      </c>
      <c r="C136" s="1" t="n">
        <v>45352</v>
      </c>
      <c r="D136" t="inlineStr">
        <is>
          <t>GÄVLEBORGS LÄN</t>
        </is>
      </c>
      <c r="E136" t="inlineStr">
        <is>
          <t>NORDANSTIG</t>
        </is>
      </c>
      <c r="F136" t="inlineStr">
        <is>
          <t>Holmen skog AB</t>
        </is>
      </c>
      <c r="G136" t="n">
        <v>1.4</v>
      </c>
      <c r="H136" t="n">
        <v>0</v>
      </c>
      <c r="I136" t="n">
        <v>4</v>
      </c>
      <c r="J136" t="n">
        <v>0</v>
      </c>
      <c r="K136" t="n">
        <v>0</v>
      </c>
      <c r="L136" t="n">
        <v>0</v>
      </c>
      <c r="M136" t="n">
        <v>0</v>
      </c>
      <c r="N136" t="n">
        <v>0</v>
      </c>
      <c r="O136" t="n">
        <v>0</v>
      </c>
      <c r="P136" t="n">
        <v>0</v>
      </c>
      <c r="Q136" t="n">
        <v>4</v>
      </c>
      <c r="R136" s="2" t="inlineStr">
        <is>
          <t>Gulnål
Skogshakmossa
Strutbräken
Stubbspretmossa</t>
        </is>
      </c>
      <c r="S136">
        <f>HYPERLINK("https://klasma.github.io/Logging_2132/artfynd/A 60906-2023 artfynd.xlsx", "A 60906-2023")</f>
        <v/>
      </c>
      <c r="T136">
        <f>HYPERLINK("https://klasma.github.io/Logging_2132/kartor/A 60906-2023 karta.png", "A 60906-2023")</f>
        <v/>
      </c>
      <c r="V136">
        <f>HYPERLINK("https://klasma.github.io/Logging_2132/klagomål/A 60906-2023 FSC-klagomål.docx", "A 60906-2023")</f>
        <v/>
      </c>
      <c r="W136">
        <f>HYPERLINK("https://klasma.github.io/Logging_2132/klagomålsmail/A 60906-2023 FSC-klagomål mail.docx", "A 60906-2023")</f>
        <v/>
      </c>
      <c r="X136">
        <f>HYPERLINK("https://klasma.github.io/Logging_2132/tillsyn/A 60906-2023 tillsynsbegäran.docx", "A 60906-2023")</f>
        <v/>
      </c>
      <c r="Y136">
        <f>HYPERLINK("https://klasma.github.io/Logging_2132/tillsynsmail/A 60906-2023 tillsynsbegäran mail.docx", "A 60906-2023")</f>
        <v/>
      </c>
    </row>
    <row r="137" ht="15" customHeight="1">
      <c r="A137" t="inlineStr">
        <is>
          <t>A 1100-2024</t>
        </is>
      </c>
      <c r="B137" s="1" t="n">
        <v>45302</v>
      </c>
      <c r="C137" s="1" t="n">
        <v>45352</v>
      </c>
      <c r="D137" t="inlineStr">
        <is>
          <t>GÄVLEBORGS LÄN</t>
        </is>
      </c>
      <c r="E137" t="inlineStr">
        <is>
          <t>GÄVLE</t>
        </is>
      </c>
      <c r="F137" t="inlineStr">
        <is>
          <t>Bergvik skog väst AB</t>
        </is>
      </c>
      <c r="G137" t="n">
        <v>3.9</v>
      </c>
      <c r="H137" t="n">
        <v>0</v>
      </c>
      <c r="I137" t="n">
        <v>2</v>
      </c>
      <c r="J137" t="n">
        <v>2</v>
      </c>
      <c r="K137" t="n">
        <v>0</v>
      </c>
      <c r="L137" t="n">
        <v>0</v>
      </c>
      <c r="M137" t="n">
        <v>0</v>
      </c>
      <c r="N137" t="n">
        <v>0</v>
      </c>
      <c r="O137" t="n">
        <v>2</v>
      </c>
      <c r="P137" t="n">
        <v>0</v>
      </c>
      <c r="Q137" t="n">
        <v>4</v>
      </c>
      <c r="R137" s="2" t="inlineStr">
        <is>
          <t>Svart taggsvamp
Vedskivlav
Dropptaggsvamp
Vågbandad barkbock</t>
        </is>
      </c>
      <c r="S137">
        <f>HYPERLINK("https://klasma.github.io/Logging_2180/artfynd/A 1100-2024 artfynd.xlsx", "A 1100-2024")</f>
        <v/>
      </c>
      <c r="T137">
        <f>HYPERLINK("https://klasma.github.io/Logging_2180/kartor/A 1100-2024 karta.png", "A 1100-2024")</f>
        <v/>
      </c>
      <c r="V137">
        <f>HYPERLINK("https://klasma.github.io/Logging_2180/klagomål/A 1100-2024 FSC-klagomål.docx", "A 1100-2024")</f>
        <v/>
      </c>
      <c r="W137">
        <f>HYPERLINK("https://klasma.github.io/Logging_2180/klagomålsmail/A 1100-2024 FSC-klagomål mail.docx", "A 1100-2024")</f>
        <v/>
      </c>
      <c r="X137">
        <f>HYPERLINK("https://klasma.github.io/Logging_2180/tillsyn/A 1100-2024 tillsynsbegäran.docx", "A 1100-2024")</f>
        <v/>
      </c>
      <c r="Y137">
        <f>HYPERLINK("https://klasma.github.io/Logging_2180/tillsynsmail/A 1100-2024 tillsynsbegäran mail.docx", "A 1100-2024")</f>
        <v/>
      </c>
    </row>
    <row r="138" ht="15" customHeight="1">
      <c r="A138" t="inlineStr">
        <is>
          <t>A 43562-2018</t>
        </is>
      </c>
      <c r="B138" s="1" t="n">
        <v>43357</v>
      </c>
      <c r="C138" s="1" t="n">
        <v>45352</v>
      </c>
      <c r="D138" t="inlineStr">
        <is>
          <t>GÄVLEBORGS LÄN</t>
        </is>
      </c>
      <c r="E138" t="inlineStr">
        <is>
          <t>LJUSDAL</t>
        </is>
      </c>
      <c r="G138" t="n">
        <v>64.59999999999999</v>
      </c>
      <c r="H138" t="n">
        <v>3</v>
      </c>
      <c r="I138" t="n">
        <v>0</v>
      </c>
      <c r="J138" t="n">
        <v>3</v>
      </c>
      <c r="K138" t="n">
        <v>0</v>
      </c>
      <c r="L138" t="n">
        <v>0</v>
      </c>
      <c r="M138" t="n">
        <v>0</v>
      </c>
      <c r="N138" t="n">
        <v>0</v>
      </c>
      <c r="O138" t="n">
        <v>3</v>
      </c>
      <c r="P138" t="n">
        <v>0</v>
      </c>
      <c r="Q138" t="n">
        <v>3</v>
      </c>
      <c r="R138" s="2" t="inlineStr">
        <is>
          <t>Björktrast
Rödvingetrast
Tretåig hackspett</t>
        </is>
      </c>
      <c r="S138">
        <f>HYPERLINK("https://klasma.github.io/Logging_2161/artfynd/A 43562-2018 artfynd.xlsx", "A 43562-2018")</f>
        <v/>
      </c>
      <c r="T138">
        <f>HYPERLINK("https://klasma.github.io/Logging_2161/kartor/A 43562-2018 karta.png", "A 43562-2018")</f>
        <v/>
      </c>
      <c r="V138">
        <f>HYPERLINK("https://klasma.github.io/Logging_2161/klagomål/A 43562-2018 FSC-klagomål.docx", "A 43562-2018")</f>
        <v/>
      </c>
      <c r="W138">
        <f>HYPERLINK("https://klasma.github.io/Logging_2161/klagomålsmail/A 43562-2018 FSC-klagomål mail.docx", "A 43562-2018")</f>
        <v/>
      </c>
      <c r="X138">
        <f>HYPERLINK("https://klasma.github.io/Logging_2161/tillsyn/A 43562-2018 tillsynsbegäran.docx", "A 43562-2018")</f>
        <v/>
      </c>
      <c r="Y138">
        <f>HYPERLINK("https://klasma.github.io/Logging_2161/tillsynsmail/A 43562-2018 tillsynsbegäran mail.docx", "A 43562-2018")</f>
        <v/>
      </c>
      <c r="Z138">
        <f>HYPERLINK("https://klasma.github.io/Logging_2161/fåglar/A 43562-2018 prioriterade fågelarter.docx", "A 43562-2018")</f>
        <v/>
      </c>
    </row>
    <row r="139" ht="15" customHeight="1">
      <c r="A139" t="inlineStr">
        <is>
          <t>A 21895-2019</t>
        </is>
      </c>
      <c r="B139" s="1" t="n">
        <v>43584</v>
      </c>
      <c r="C139" s="1" t="n">
        <v>45352</v>
      </c>
      <c r="D139" t="inlineStr">
        <is>
          <t>GÄVLEBORGS LÄN</t>
        </is>
      </c>
      <c r="E139" t="inlineStr">
        <is>
          <t>HUDIKSVALL</t>
        </is>
      </c>
      <c r="F139" t="inlineStr">
        <is>
          <t>Holmen skog AB</t>
        </is>
      </c>
      <c r="G139" t="n">
        <v>5.6</v>
      </c>
      <c r="H139" t="n">
        <v>1</v>
      </c>
      <c r="I139" t="n">
        <v>1</v>
      </c>
      <c r="J139" t="n">
        <v>0</v>
      </c>
      <c r="K139" t="n">
        <v>2</v>
      </c>
      <c r="L139" t="n">
        <v>0</v>
      </c>
      <c r="M139" t="n">
        <v>0</v>
      </c>
      <c r="N139" t="n">
        <v>0</v>
      </c>
      <c r="O139" t="n">
        <v>2</v>
      </c>
      <c r="P139" t="n">
        <v>2</v>
      </c>
      <c r="Q139" t="n">
        <v>3</v>
      </c>
      <c r="R139" s="2" t="inlineStr">
        <is>
          <t>Blackticka
Knärot
Bågpraktmossa</t>
        </is>
      </c>
      <c r="S139">
        <f>HYPERLINK("https://klasma.github.io/Logging_2184/artfynd/A 21895-2019 artfynd.xlsx", "A 21895-2019")</f>
        <v/>
      </c>
      <c r="T139">
        <f>HYPERLINK("https://klasma.github.io/Logging_2184/kartor/A 21895-2019 karta.png", "A 21895-2019")</f>
        <v/>
      </c>
      <c r="U139">
        <f>HYPERLINK("https://klasma.github.io/Logging_2184/knärot/A 21895-2019 karta knärot.png", "A 21895-2019")</f>
        <v/>
      </c>
      <c r="V139">
        <f>HYPERLINK("https://klasma.github.io/Logging_2184/klagomål/A 21895-2019 FSC-klagomål.docx", "A 21895-2019")</f>
        <v/>
      </c>
      <c r="W139">
        <f>HYPERLINK("https://klasma.github.io/Logging_2184/klagomålsmail/A 21895-2019 FSC-klagomål mail.docx", "A 21895-2019")</f>
        <v/>
      </c>
      <c r="X139">
        <f>HYPERLINK("https://klasma.github.io/Logging_2184/tillsyn/A 21895-2019 tillsynsbegäran.docx", "A 21895-2019")</f>
        <v/>
      </c>
      <c r="Y139">
        <f>HYPERLINK("https://klasma.github.io/Logging_2184/tillsynsmail/A 21895-2019 tillsynsbegäran mail.docx", "A 21895-2019")</f>
        <v/>
      </c>
    </row>
    <row r="140" ht="15" customHeight="1">
      <c r="A140" t="inlineStr">
        <is>
          <t>A 27404-2019</t>
        </is>
      </c>
      <c r="B140" s="1" t="n">
        <v>43616</v>
      </c>
      <c r="C140" s="1" t="n">
        <v>45352</v>
      </c>
      <c r="D140" t="inlineStr">
        <is>
          <t>GÄVLEBORGS LÄN</t>
        </is>
      </c>
      <c r="E140" t="inlineStr">
        <is>
          <t>OVANÅKER</t>
        </is>
      </c>
      <c r="F140" t="inlineStr">
        <is>
          <t>Bergvik skog väst AB</t>
        </is>
      </c>
      <c r="G140" t="n">
        <v>1.3</v>
      </c>
      <c r="H140" t="n">
        <v>0</v>
      </c>
      <c r="I140" t="n">
        <v>1</v>
      </c>
      <c r="J140" t="n">
        <v>2</v>
      </c>
      <c r="K140" t="n">
        <v>0</v>
      </c>
      <c r="L140" t="n">
        <v>0</v>
      </c>
      <c r="M140" t="n">
        <v>0</v>
      </c>
      <c r="N140" t="n">
        <v>0</v>
      </c>
      <c r="O140" t="n">
        <v>2</v>
      </c>
      <c r="P140" t="n">
        <v>0</v>
      </c>
      <c r="Q140" t="n">
        <v>3</v>
      </c>
      <c r="R140" s="2" t="inlineStr">
        <is>
          <t>Tallticka
Vedskivlav
Mindre märgborre</t>
        </is>
      </c>
      <c r="S140">
        <f>HYPERLINK("https://klasma.github.io/Logging_2121/artfynd/A 27404-2019 artfynd.xlsx", "A 27404-2019")</f>
        <v/>
      </c>
      <c r="T140">
        <f>HYPERLINK("https://klasma.github.io/Logging_2121/kartor/A 27404-2019 karta.png", "A 27404-2019")</f>
        <v/>
      </c>
      <c r="V140">
        <f>HYPERLINK("https://klasma.github.io/Logging_2121/klagomål/A 27404-2019 FSC-klagomål.docx", "A 27404-2019")</f>
        <v/>
      </c>
      <c r="W140">
        <f>HYPERLINK("https://klasma.github.io/Logging_2121/klagomålsmail/A 27404-2019 FSC-klagomål mail.docx", "A 27404-2019")</f>
        <v/>
      </c>
      <c r="X140">
        <f>HYPERLINK("https://klasma.github.io/Logging_2121/tillsyn/A 27404-2019 tillsynsbegäran.docx", "A 27404-2019")</f>
        <v/>
      </c>
      <c r="Y140">
        <f>HYPERLINK("https://klasma.github.io/Logging_2121/tillsynsmail/A 27404-2019 tillsynsbegäran mail.docx", "A 27404-2019")</f>
        <v/>
      </c>
    </row>
    <row r="141" ht="15" customHeight="1">
      <c r="A141" t="inlineStr">
        <is>
          <t>A 29664-2019</t>
        </is>
      </c>
      <c r="B141" s="1" t="n">
        <v>43628</v>
      </c>
      <c r="C141" s="1" t="n">
        <v>45352</v>
      </c>
      <c r="D141" t="inlineStr">
        <is>
          <t>GÄVLEBORGS LÄN</t>
        </is>
      </c>
      <c r="E141" t="inlineStr">
        <is>
          <t>LJUSDAL</t>
        </is>
      </c>
      <c r="F141" t="inlineStr">
        <is>
          <t>Holmen skog AB</t>
        </is>
      </c>
      <c r="G141" t="n">
        <v>3.1</v>
      </c>
      <c r="H141" t="n">
        <v>1</v>
      </c>
      <c r="I141" t="n">
        <v>1</v>
      </c>
      <c r="J141" t="n">
        <v>1</v>
      </c>
      <c r="K141" t="n">
        <v>1</v>
      </c>
      <c r="L141" t="n">
        <v>0</v>
      </c>
      <c r="M141" t="n">
        <v>0</v>
      </c>
      <c r="N141" t="n">
        <v>0</v>
      </c>
      <c r="O141" t="n">
        <v>2</v>
      </c>
      <c r="P141" t="n">
        <v>1</v>
      </c>
      <c r="Q141" t="n">
        <v>3</v>
      </c>
      <c r="R141" s="2" t="inlineStr">
        <is>
          <t>Knärot
Ullticka
Dropptaggsvamp</t>
        </is>
      </c>
      <c r="S141">
        <f>HYPERLINK("https://klasma.github.io/Logging_2161/artfynd/A 29664-2019 artfynd.xlsx", "A 29664-2019")</f>
        <v/>
      </c>
      <c r="T141">
        <f>HYPERLINK("https://klasma.github.io/Logging_2161/kartor/A 29664-2019 karta.png", "A 29664-2019")</f>
        <v/>
      </c>
      <c r="U141">
        <f>HYPERLINK("https://klasma.github.io/Logging_2161/knärot/A 29664-2019 karta knärot.png", "A 29664-2019")</f>
        <v/>
      </c>
      <c r="V141">
        <f>HYPERLINK("https://klasma.github.io/Logging_2161/klagomål/A 29664-2019 FSC-klagomål.docx", "A 29664-2019")</f>
        <v/>
      </c>
      <c r="W141">
        <f>HYPERLINK("https://klasma.github.io/Logging_2161/klagomålsmail/A 29664-2019 FSC-klagomål mail.docx", "A 29664-2019")</f>
        <v/>
      </c>
      <c r="X141">
        <f>HYPERLINK("https://klasma.github.io/Logging_2161/tillsyn/A 29664-2019 tillsynsbegäran.docx", "A 29664-2019")</f>
        <v/>
      </c>
      <c r="Y141">
        <f>HYPERLINK("https://klasma.github.io/Logging_2161/tillsynsmail/A 29664-2019 tillsynsbegäran mail.docx", "A 29664-2019")</f>
        <v/>
      </c>
    </row>
    <row r="142" ht="15" customHeight="1">
      <c r="A142" t="inlineStr">
        <is>
          <t>A 30590-2019</t>
        </is>
      </c>
      <c r="B142" s="1" t="n">
        <v>43635</v>
      </c>
      <c r="C142" s="1" t="n">
        <v>45352</v>
      </c>
      <c r="D142" t="inlineStr">
        <is>
          <t>GÄVLEBORGS LÄN</t>
        </is>
      </c>
      <c r="E142" t="inlineStr">
        <is>
          <t>HOFORS</t>
        </is>
      </c>
      <c r="F142" t="inlineStr">
        <is>
          <t>Sveaskog</t>
        </is>
      </c>
      <c r="G142" t="n">
        <v>7.2</v>
      </c>
      <c r="H142" t="n">
        <v>2</v>
      </c>
      <c r="I142" t="n">
        <v>1</v>
      </c>
      <c r="J142" t="n">
        <v>1</v>
      </c>
      <c r="K142" t="n">
        <v>1</v>
      </c>
      <c r="L142" t="n">
        <v>0</v>
      </c>
      <c r="M142" t="n">
        <v>0</v>
      </c>
      <c r="N142" t="n">
        <v>0</v>
      </c>
      <c r="O142" t="n">
        <v>2</v>
      </c>
      <c r="P142" t="n">
        <v>1</v>
      </c>
      <c r="Q142" t="n">
        <v>3</v>
      </c>
      <c r="R142" s="2" t="inlineStr">
        <is>
          <t>Knärot
Kortskaftad ärgspik
Plattlummer</t>
        </is>
      </c>
      <c r="S142">
        <f>HYPERLINK("https://klasma.github.io/Logging_2104/artfynd/A 30590-2019 artfynd.xlsx", "A 30590-2019")</f>
        <v/>
      </c>
      <c r="T142">
        <f>HYPERLINK("https://klasma.github.io/Logging_2104/kartor/A 30590-2019 karta.png", "A 30590-2019")</f>
        <v/>
      </c>
      <c r="U142">
        <f>HYPERLINK("https://klasma.github.io/Logging_2104/knärot/A 30590-2019 karta knärot.png", "A 30590-2019")</f>
        <v/>
      </c>
      <c r="V142">
        <f>HYPERLINK("https://klasma.github.io/Logging_2104/klagomål/A 30590-2019 FSC-klagomål.docx", "A 30590-2019")</f>
        <v/>
      </c>
      <c r="W142">
        <f>HYPERLINK("https://klasma.github.io/Logging_2104/klagomålsmail/A 30590-2019 FSC-klagomål mail.docx", "A 30590-2019")</f>
        <v/>
      </c>
      <c r="X142">
        <f>HYPERLINK("https://klasma.github.io/Logging_2104/tillsyn/A 30590-2019 tillsynsbegäran.docx", "A 30590-2019")</f>
        <v/>
      </c>
      <c r="Y142">
        <f>HYPERLINK("https://klasma.github.io/Logging_2104/tillsynsmail/A 30590-2019 tillsynsbegäran mail.docx", "A 30590-2019")</f>
        <v/>
      </c>
    </row>
    <row r="143" ht="15" customHeight="1">
      <c r="A143" t="inlineStr">
        <is>
          <t>A 67390-2019</t>
        </is>
      </c>
      <c r="B143" s="1" t="n">
        <v>43812</v>
      </c>
      <c r="C143" s="1" t="n">
        <v>45352</v>
      </c>
      <c r="D143" t="inlineStr">
        <is>
          <t>GÄVLEBORGS LÄN</t>
        </is>
      </c>
      <c r="E143" t="inlineStr">
        <is>
          <t>GÄVLE</t>
        </is>
      </c>
      <c r="F143" t="inlineStr">
        <is>
          <t>Kommuner</t>
        </is>
      </c>
      <c r="G143" t="n">
        <v>7.8</v>
      </c>
      <c r="H143" t="n">
        <v>1</v>
      </c>
      <c r="I143" t="n">
        <v>3</v>
      </c>
      <c r="J143" t="n">
        <v>0</v>
      </c>
      <c r="K143" t="n">
        <v>0</v>
      </c>
      <c r="L143" t="n">
        <v>0</v>
      </c>
      <c r="M143" t="n">
        <v>0</v>
      </c>
      <c r="N143" t="n">
        <v>0</v>
      </c>
      <c r="O143" t="n">
        <v>0</v>
      </c>
      <c r="P143" t="n">
        <v>0</v>
      </c>
      <c r="Q143" t="n">
        <v>3</v>
      </c>
      <c r="R143" s="2" t="inlineStr">
        <is>
          <t>Grön sköldmossa
Mörk husmossa
Skogshakmossa</t>
        </is>
      </c>
      <c r="S143">
        <f>HYPERLINK("https://klasma.github.io/Logging_2180/artfynd/A 67390-2019 artfynd.xlsx", "A 67390-2019")</f>
        <v/>
      </c>
      <c r="T143">
        <f>HYPERLINK("https://klasma.github.io/Logging_2180/kartor/A 67390-2019 karta.png", "A 67390-2019")</f>
        <v/>
      </c>
      <c r="V143">
        <f>HYPERLINK("https://klasma.github.io/Logging_2180/klagomål/A 67390-2019 FSC-klagomål.docx", "A 67390-2019")</f>
        <v/>
      </c>
      <c r="W143">
        <f>HYPERLINK("https://klasma.github.io/Logging_2180/klagomålsmail/A 67390-2019 FSC-klagomål mail.docx", "A 67390-2019")</f>
        <v/>
      </c>
      <c r="X143">
        <f>HYPERLINK("https://klasma.github.io/Logging_2180/tillsyn/A 67390-2019 tillsynsbegäran.docx", "A 67390-2019")</f>
        <v/>
      </c>
      <c r="Y143">
        <f>HYPERLINK("https://klasma.github.io/Logging_2180/tillsynsmail/A 67390-2019 tillsynsbegäran mail.docx", "A 67390-2019")</f>
        <v/>
      </c>
    </row>
    <row r="144" ht="15" customHeight="1">
      <c r="A144" t="inlineStr">
        <is>
          <t>A 3258-2020</t>
        </is>
      </c>
      <c r="B144" s="1" t="n">
        <v>43852</v>
      </c>
      <c r="C144" s="1" t="n">
        <v>45352</v>
      </c>
      <c r="D144" t="inlineStr">
        <is>
          <t>GÄVLEBORGS LÄN</t>
        </is>
      </c>
      <c r="E144" t="inlineStr">
        <is>
          <t>LJUSDAL</t>
        </is>
      </c>
      <c r="F144" t="inlineStr">
        <is>
          <t>Sveaskog</t>
        </is>
      </c>
      <c r="G144" t="n">
        <v>4.3</v>
      </c>
      <c r="H144" t="n">
        <v>1</v>
      </c>
      <c r="I144" t="n">
        <v>1</v>
      </c>
      <c r="J144" t="n">
        <v>1</v>
      </c>
      <c r="K144" t="n">
        <v>1</v>
      </c>
      <c r="L144" t="n">
        <v>0</v>
      </c>
      <c r="M144" t="n">
        <v>0</v>
      </c>
      <c r="N144" t="n">
        <v>0</v>
      </c>
      <c r="O144" t="n">
        <v>2</v>
      </c>
      <c r="P144" t="n">
        <v>1</v>
      </c>
      <c r="Q144" t="n">
        <v>3</v>
      </c>
      <c r="R144" s="2" t="inlineStr">
        <is>
          <t>Knärot
Tallticka
Dropptaggsvamp</t>
        </is>
      </c>
      <c r="S144">
        <f>HYPERLINK("https://klasma.github.io/Logging_2161/artfynd/A 3258-2020 artfynd.xlsx", "A 3258-2020")</f>
        <v/>
      </c>
      <c r="T144">
        <f>HYPERLINK("https://klasma.github.io/Logging_2161/kartor/A 3258-2020 karta.png", "A 3258-2020")</f>
        <v/>
      </c>
      <c r="U144">
        <f>HYPERLINK("https://klasma.github.io/Logging_2161/knärot/A 3258-2020 karta knärot.png", "A 3258-2020")</f>
        <v/>
      </c>
      <c r="V144">
        <f>HYPERLINK("https://klasma.github.io/Logging_2161/klagomål/A 3258-2020 FSC-klagomål.docx", "A 3258-2020")</f>
        <v/>
      </c>
      <c r="W144">
        <f>HYPERLINK("https://klasma.github.io/Logging_2161/klagomålsmail/A 3258-2020 FSC-klagomål mail.docx", "A 3258-2020")</f>
        <v/>
      </c>
      <c r="X144">
        <f>HYPERLINK("https://klasma.github.io/Logging_2161/tillsyn/A 3258-2020 tillsynsbegäran.docx", "A 3258-2020")</f>
        <v/>
      </c>
      <c r="Y144">
        <f>HYPERLINK("https://klasma.github.io/Logging_2161/tillsynsmail/A 3258-2020 tillsynsbegäran mail.docx", "A 3258-2020")</f>
        <v/>
      </c>
    </row>
    <row r="145" ht="15" customHeight="1">
      <c r="A145" t="inlineStr">
        <is>
          <t>A 7558-2020</t>
        </is>
      </c>
      <c r="B145" s="1" t="n">
        <v>43872</v>
      </c>
      <c r="C145" s="1" t="n">
        <v>45352</v>
      </c>
      <c r="D145" t="inlineStr">
        <is>
          <t>GÄVLEBORGS LÄN</t>
        </is>
      </c>
      <c r="E145" t="inlineStr">
        <is>
          <t>LJUSDAL</t>
        </is>
      </c>
      <c r="G145" t="n">
        <v>2.9</v>
      </c>
      <c r="H145" t="n">
        <v>0</v>
      </c>
      <c r="I145" t="n">
        <v>1</v>
      </c>
      <c r="J145" t="n">
        <v>2</v>
      </c>
      <c r="K145" t="n">
        <v>0</v>
      </c>
      <c r="L145" t="n">
        <v>0</v>
      </c>
      <c r="M145" t="n">
        <v>0</v>
      </c>
      <c r="N145" t="n">
        <v>0</v>
      </c>
      <c r="O145" t="n">
        <v>2</v>
      </c>
      <c r="P145" t="n">
        <v>0</v>
      </c>
      <c r="Q145" t="n">
        <v>3</v>
      </c>
      <c r="R145" s="2" t="inlineStr">
        <is>
          <t>Dvärgbägarlav
Vedskivlav
Dropptaggsvamp</t>
        </is>
      </c>
      <c r="S145">
        <f>HYPERLINK("https://klasma.github.io/Logging_2161/artfynd/A 7558-2020 artfynd.xlsx", "A 7558-2020")</f>
        <v/>
      </c>
      <c r="T145">
        <f>HYPERLINK("https://klasma.github.io/Logging_2161/kartor/A 7558-2020 karta.png", "A 7558-2020")</f>
        <v/>
      </c>
      <c r="V145">
        <f>HYPERLINK("https://klasma.github.io/Logging_2161/klagomål/A 7558-2020 FSC-klagomål.docx", "A 7558-2020")</f>
        <v/>
      </c>
      <c r="W145">
        <f>HYPERLINK("https://klasma.github.io/Logging_2161/klagomålsmail/A 7558-2020 FSC-klagomål mail.docx", "A 7558-2020")</f>
        <v/>
      </c>
      <c r="X145">
        <f>HYPERLINK("https://klasma.github.io/Logging_2161/tillsyn/A 7558-2020 tillsynsbegäran.docx", "A 7558-2020")</f>
        <v/>
      </c>
      <c r="Y145">
        <f>HYPERLINK("https://klasma.github.io/Logging_2161/tillsynsmail/A 7558-2020 tillsynsbegäran mail.docx", "A 7558-2020")</f>
        <v/>
      </c>
    </row>
    <row r="146" ht="15" customHeight="1">
      <c r="A146" t="inlineStr">
        <is>
          <t>A 24470-2020</t>
        </is>
      </c>
      <c r="B146" s="1" t="n">
        <v>43977</v>
      </c>
      <c r="C146" s="1" t="n">
        <v>45352</v>
      </c>
      <c r="D146" t="inlineStr">
        <is>
          <t>GÄVLEBORGS LÄN</t>
        </is>
      </c>
      <c r="E146" t="inlineStr">
        <is>
          <t>LJUSDAL</t>
        </is>
      </c>
      <c r="F146" t="inlineStr">
        <is>
          <t>Naturvårdsverket</t>
        </is>
      </c>
      <c r="G146" t="n">
        <v>2.5</v>
      </c>
      <c r="H146" t="n">
        <v>1</v>
      </c>
      <c r="I146" t="n">
        <v>0</v>
      </c>
      <c r="J146" t="n">
        <v>2</v>
      </c>
      <c r="K146" t="n">
        <v>0</v>
      </c>
      <c r="L146" t="n">
        <v>0</v>
      </c>
      <c r="M146" t="n">
        <v>0</v>
      </c>
      <c r="N146" t="n">
        <v>0</v>
      </c>
      <c r="O146" t="n">
        <v>2</v>
      </c>
      <c r="P146" t="n">
        <v>0</v>
      </c>
      <c r="Q146" t="n">
        <v>3</v>
      </c>
      <c r="R146" s="2" t="inlineStr">
        <is>
          <t>Garnlav
Mörk kolflarnlav
Nattviol</t>
        </is>
      </c>
      <c r="S146">
        <f>HYPERLINK("https://klasma.github.io/Logging_2161/artfynd/A 24470-2020 artfynd.xlsx", "A 24470-2020")</f>
        <v/>
      </c>
      <c r="T146">
        <f>HYPERLINK("https://klasma.github.io/Logging_2161/kartor/A 24470-2020 karta.png", "A 24470-2020")</f>
        <v/>
      </c>
      <c r="V146">
        <f>HYPERLINK("https://klasma.github.io/Logging_2161/klagomål/A 24470-2020 FSC-klagomål.docx", "A 24470-2020")</f>
        <v/>
      </c>
      <c r="W146">
        <f>HYPERLINK("https://klasma.github.io/Logging_2161/klagomålsmail/A 24470-2020 FSC-klagomål mail.docx", "A 24470-2020")</f>
        <v/>
      </c>
      <c r="X146">
        <f>HYPERLINK("https://klasma.github.io/Logging_2161/tillsyn/A 24470-2020 tillsynsbegäran.docx", "A 24470-2020")</f>
        <v/>
      </c>
      <c r="Y146">
        <f>HYPERLINK("https://klasma.github.io/Logging_2161/tillsynsmail/A 24470-2020 tillsynsbegäran mail.docx", "A 24470-2020")</f>
        <v/>
      </c>
    </row>
    <row r="147" ht="15" customHeight="1">
      <c r="A147" t="inlineStr">
        <is>
          <t>A 33767-2020</t>
        </is>
      </c>
      <c r="B147" s="1" t="n">
        <v>44026</v>
      </c>
      <c r="C147" s="1" t="n">
        <v>45352</v>
      </c>
      <c r="D147" t="inlineStr">
        <is>
          <t>GÄVLEBORGS LÄN</t>
        </is>
      </c>
      <c r="E147" t="inlineStr">
        <is>
          <t>SÖDERHAMN</t>
        </is>
      </c>
      <c r="G147" t="n">
        <v>5.3</v>
      </c>
      <c r="H147" t="n">
        <v>2</v>
      </c>
      <c r="I147" t="n">
        <v>1</v>
      </c>
      <c r="J147" t="n">
        <v>0</v>
      </c>
      <c r="K147" t="n">
        <v>1</v>
      </c>
      <c r="L147" t="n">
        <v>0</v>
      </c>
      <c r="M147" t="n">
        <v>0</v>
      </c>
      <c r="N147" t="n">
        <v>0</v>
      </c>
      <c r="O147" t="n">
        <v>1</v>
      </c>
      <c r="P147" t="n">
        <v>1</v>
      </c>
      <c r="Q147" t="n">
        <v>3</v>
      </c>
      <c r="R147" s="2" t="inlineStr">
        <is>
          <t>Knärot
Bollvitmossa
Revlummer</t>
        </is>
      </c>
      <c r="S147">
        <f>HYPERLINK("https://klasma.github.io/Logging_2182/artfynd/A 33767-2020 artfynd.xlsx", "A 33767-2020")</f>
        <v/>
      </c>
      <c r="T147">
        <f>HYPERLINK("https://klasma.github.io/Logging_2182/kartor/A 33767-2020 karta.png", "A 33767-2020")</f>
        <v/>
      </c>
      <c r="U147">
        <f>HYPERLINK("https://klasma.github.io/Logging_2182/knärot/A 33767-2020 karta knärot.png", "A 33767-2020")</f>
        <v/>
      </c>
      <c r="V147">
        <f>HYPERLINK("https://klasma.github.io/Logging_2182/klagomål/A 33767-2020 FSC-klagomål.docx", "A 33767-2020")</f>
        <v/>
      </c>
      <c r="W147">
        <f>HYPERLINK("https://klasma.github.io/Logging_2182/klagomålsmail/A 33767-2020 FSC-klagomål mail.docx", "A 33767-2020")</f>
        <v/>
      </c>
      <c r="X147">
        <f>HYPERLINK("https://klasma.github.io/Logging_2182/tillsyn/A 33767-2020 tillsynsbegäran.docx", "A 33767-2020")</f>
        <v/>
      </c>
      <c r="Y147">
        <f>HYPERLINK("https://klasma.github.io/Logging_2182/tillsynsmail/A 33767-2020 tillsynsbegäran mail.docx", "A 33767-2020")</f>
        <v/>
      </c>
    </row>
    <row r="148" ht="15" customHeight="1">
      <c r="A148" t="inlineStr">
        <is>
          <t>A 56429-2020</t>
        </is>
      </c>
      <c r="B148" s="1" t="n">
        <v>44137</v>
      </c>
      <c r="C148" s="1" t="n">
        <v>45352</v>
      </c>
      <c r="D148" t="inlineStr">
        <is>
          <t>GÄVLEBORGS LÄN</t>
        </is>
      </c>
      <c r="E148" t="inlineStr">
        <is>
          <t>HUDIKSVALL</t>
        </is>
      </c>
      <c r="F148" t="inlineStr">
        <is>
          <t>Holmen skog AB</t>
        </is>
      </c>
      <c r="G148" t="n">
        <v>11.1</v>
      </c>
      <c r="H148" t="n">
        <v>0</v>
      </c>
      <c r="I148" t="n">
        <v>2</v>
      </c>
      <c r="J148" t="n">
        <v>1</v>
      </c>
      <c r="K148" t="n">
        <v>0</v>
      </c>
      <c r="L148" t="n">
        <v>0</v>
      </c>
      <c r="M148" t="n">
        <v>0</v>
      </c>
      <c r="N148" t="n">
        <v>0</v>
      </c>
      <c r="O148" t="n">
        <v>1</v>
      </c>
      <c r="P148" t="n">
        <v>0</v>
      </c>
      <c r="Q148" t="n">
        <v>3</v>
      </c>
      <c r="R148" s="2" t="inlineStr">
        <is>
          <t>Garnlav
Bollvitmossa
Nästlav</t>
        </is>
      </c>
      <c r="S148">
        <f>HYPERLINK("https://klasma.github.io/Logging_2184/artfynd/A 56429-2020 artfynd.xlsx", "A 56429-2020")</f>
        <v/>
      </c>
      <c r="T148">
        <f>HYPERLINK("https://klasma.github.io/Logging_2184/kartor/A 56429-2020 karta.png", "A 56429-2020")</f>
        <v/>
      </c>
      <c r="V148">
        <f>HYPERLINK("https://klasma.github.io/Logging_2184/klagomål/A 56429-2020 FSC-klagomål.docx", "A 56429-2020")</f>
        <v/>
      </c>
      <c r="W148">
        <f>HYPERLINK("https://klasma.github.io/Logging_2184/klagomålsmail/A 56429-2020 FSC-klagomål mail.docx", "A 56429-2020")</f>
        <v/>
      </c>
      <c r="X148">
        <f>HYPERLINK("https://klasma.github.io/Logging_2184/tillsyn/A 56429-2020 tillsynsbegäran.docx", "A 56429-2020")</f>
        <v/>
      </c>
      <c r="Y148">
        <f>HYPERLINK("https://klasma.github.io/Logging_2184/tillsynsmail/A 56429-2020 tillsynsbegäran mail.docx", "A 56429-2020")</f>
        <v/>
      </c>
    </row>
    <row r="149" ht="15" customHeight="1">
      <c r="A149" t="inlineStr">
        <is>
          <t>A 56674-2020</t>
        </is>
      </c>
      <c r="B149" s="1" t="n">
        <v>44137</v>
      </c>
      <c r="C149" s="1" t="n">
        <v>45352</v>
      </c>
      <c r="D149" t="inlineStr">
        <is>
          <t>GÄVLEBORGS LÄN</t>
        </is>
      </c>
      <c r="E149" t="inlineStr">
        <is>
          <t>LJUSDAL</t>
        </is>
      </c>
      <c r="G149" t="n">
        <v>11</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56674-2020 artfynd.xlsx", "A 56674-2020")</f>
        <v/>
      </c>
      <c r="T149">
        <f>HYPERLINK("https://klasma.github.io/Logging_2161/kartor/A 56674-2020 karta.png", "A 56674-2020")</f>
        <v/>
      </c>
      <c r="U149">
        <f>HYPERLINK("https://klasma.github.io/Logging_2161/knärot/A 56674-2020 karta knärot.png", "A 56674-2020")</f>
        <v/>
      </c>
      <c r="V149">
        <f>HYPERLINK("https://klasma.github.io/Logging_2161/klagomål/A 56674-2020 FSC-klagomål.docx", "A 56674-2020")</f>
        <v/>
      </c>
      <c r="W149">
        <f>HYPERLINK("https://klasma.github.io/Logging_2161/klagomålsmail/A 56674-2020 FSC-klagomål mail.docx", "A 56674-2020")</f>
        <v/>
      </c>
      <c r="X149">
        <f>HYPERLINK("https://klasma.github.io/Logging_2161/tillsyn/A 56674-2020 tillsynsbegäran.docx", "A 56674-2020")</f>
        <v/>
      </c>
      <c r="Y149">
        <f>HYPERLINK("https://klasma.github.io/Logging_2161/tillsynsmail/A 56674-2020 tillsynsbegäran mail.docx", "A 56674-2020")</f>
        <v/>
      </c>
    </row>
    <row r="150" ht="15" customHeight="1">
      <c r="A150" t="inlineStr">
        <is>
          <t>A 60162-2020</t>
        </is>
      </c>
      <c r="B150" s="1" t="n">
        <v>44152</v>
      </c>
      <c r="C150" s="1" t="n">
        <v>45352</v>
      </c>
      <c r="D150" t="inlineStr">
        <is>
          <t>GÄVLEBORGS LÄN</t>
        </is>
      </c>
      <c r="E150" t="inlineStr">
        <is>
          <t>LJUSDAL</t>
        </is>
      </c>
      <c r="F150" t="inlineStr">
        <is>
          <t>Sveaskog</t>
        </is>
      </c>
      <c r="G150" t="n">
        <v>8.4</v>
      </c>
      <c r="H150" t="n">
        <v>0</v>
      </c>
      <c r="I150" t="n">
        <v>0</v>
      </c>
      <c r="J150" t="n">
        <v>3</v>
      </c>
      <c r="K150" t="n">
        <v>0</v>
      </c>
      <c r="L150" t="n">
        <v>0</v>
      </c>
      <c r="M150" t="n">
        <v>0</v>
      </c>
      <c r="N150" t="n">
        <v>0</v>
      </c>
      <c r="O150" t="n">
        <v>3</v>
      </c>
      <c r="P150" t="n">
        <v>0</v>
      </c>
      <c r="Q150" t="n">
        <v>3</v>
      </c>
      <c r="R150" s="2" t="inlineStr">
        <is>
          <t>Kolflarnlav
Lunglav
Skrovellav</t>
        </is>
      </c>
      <c r="S150">
        <f>HYPERLINK("https://klasma.github.io/Logging_2161/artfynd/A 60162-2020 artfynd.xlsx", "A 60162-2020")</f>
        <v/>
      </c>
      <c r="T150">
        <f>HYPERLINK("https://klasma.github.io/Logging_2161/kartor/A 60162-2020 karta.png", "A 60162-2020")</f>
        <v/>
      </c>
      <c r="V150">
        <f>HYPERLINK("https://klasma.github.io/Logging_2161/klagomål/A 60162-2020 FSC-klagomål.docx", "A 60162-2020")</f>
        <v/>
      </c>
      <c r="W150">
        <f>HYPERLINK("https://klasma.github.io/Logging_2161/klagomålsmail/A 60162-2020 FSC-klagomål mail.docx", "A 60162-2020")</f>
        <v/>
      </c>
      <c r="X150">
        <f>HYPERLINK("https://klasma.github.io/Logging_2161/tillsyn/A 60162-2020 tillsynsbegäran.docx", "A 60162-2020")</f>
        <v/>
      </c>
      <c r="Y150">
        <f>HYPERLINK("https://klasma.github.io/Logging_2161/tillsynsmail/A 60162-2020 tillsynsbegäran mail.docx", "A 60162-2020")</f>
        <v/>
      </c>
    </row>
    <row r="151" ht="15" customHeight="1">
      <c r="A151" t="inlineStr">
        <is>
          <t>A 64591-2020</t>
        </is>
      </c>
      <c r="B151" s="1" t="n">
        <v>44169</v>
      </c>
      <c r="C151" s="1" t="n">
        <v>45352</v>
      </c>
      <c r="D151" t="inlineStr">
        <is>
          <t>GÄVLEBORGS LÄN</t>
        </is>
      </c>
      <c r="E151" t="inlineStr">
        <is>
          <t>LJUSDAL</t>
        </is>
      </c>
      <c r="F151" t="inlineStr">
        <is>
          <t>Bergvik skog väst AB</t>
        </is>
      </c>
      <c r="G151" t="n">
        <v>3.5</v>
      </c>
      <c r="H151" t="n">
        <v>0</v>
      </c>
      <c r="I151" t="n">
        <v>2</v>
      </c>
      <c r="J151" t="n">
        <v>1</v>
      </c>
      <c r="K151" t="n">
        <v>0</v>
      </c>
      <c r="L151" t="n">
        <v>0</v>
      </c>
      <c r="M151" t="n">
        <v>0</v>
      </c>
      <c r="N151" t="n">
        <v>0</v>
      </c>
      <c r="O151" t="n">
        <v>1</v>
      </c>
      <c r="P151" t="n">
        <v>0</v>
      </c>
      <c r="Q151" t="n">
        <v>3</v>
      </c>
      <c r="R151" s="2" t="inlineStr">
        <is>
          <t>Kandelabersvamp
Aspvedgnagare
Skinnlav</t>
        </is>
      </c>
      <c r="S151">
        <f>HYPERLINK("https://klasma.github.io/Logging_2161/artfynd/A 64591-2020 artfynd.xlsx", "A 64591-2020")</f>
        <v/>
      </c>
      <c r="T151">
        <f>HYPERLINK("https://klasma.github.io/Logging_2161/kartor/A 64591-2020 karta.png", "A 64591-2020")</f>
        <v/>
      </c>
      <c r="V151">
        <f>HYPERLINK("https://klasma.github.io/Logging_2161/klagomål/A 64591-2020 FSC-klagomål.docx", "A 64591-2020")</f>
        <v/>
      </c>
      <c r="W151">
        <f>HYPERLINK("https://klasma.github.io/Logging_2161/klagomålsmail/A 64591-2020 FSC-klagomål mail.docx", "A 64591-2020")</f>
        <v/>
      </c>
      <c r="X151">
        <f>HYPERLINK("https://klasma.github.io/Logging_2161/tillsyn/A 64591-2020 tillsynsbegäran.docx", "A 64591-2020")</f>
        <v/>
      </c>
      <c r="Y151">
        <f>HYPERLINK("https://klasma.github.io/Logging_2161/tillsynsmail/A 64591-2020 tillsynsbegäran mail.docx", "A 64591-2020")</f>
        <v/>
      </c>
    </row>
    <row r="152" ht="15" customHeight="1">
      <c r="A152" t="inlineStr">
        <is>
          <t>A 21238-2021</t>
        </is>
      </c>
      <c r="B152" s="1" t="n">
        <v>44320</v>
      </c>
      <c r="C152" s="1" t="n">
        <v>45352</v>
      </c>
      <c r="D152" t="inlineStr">
        <is>
          <t>GÄVLEBORGS LÄN</t>
        </is>
      </c>
      <c r="E152" t="inlineStr">
        <is>
          <t>OVANÅKER</t>
        </is>
      </c>
      <c r="F152" t="inlineStr">
        <is>
          <t>Sveaskog</t>
        </is>
      </c>
      <c r="G152" t="n">
        <v>1.7</v>
      </c>
      <c r="H152" t="n">
        <v>0</v>
      </c>
      <c r="I152" t="n">
        <v>0</v>
      </c>
      <c r="J152" t="n">
        <v>3</v>
      </c>
      <c r="K152" t="n">
        <v>0</v>
      </c>
      <c r="L152" t="n">
        <v>0</v>
      </c>
      <c r="M152" t="n">
        <v>0</v>
      </c>
      <c r="N152" t="n">
        <v>0</v>
      </c>
      <c r="O152" t="n">
        <v>3</v>
      </c>
      <c r="P152" t="n">
        <v>0</v>
      </c>
      <c r="Q152" t="n">
        <v>3</v>
      </c>
      <c r="R152" s="2" t="inlineStr">
        <is>
          <t>Dvärgbägarlav
Gammelgransskål
Kolflarnlav</t>
        </is>
      </c>
      <c r="S152">
        <f>HYPERLINK("https://klasma.github.io/Logging_2121/artfynd/A 21238-2021 artfynd.xlsx", "A 21238-2021")</f>
        <v/>
      </c>
      <c r="T152">
        <f>HYPERLINK("https://klasma.github.io/Logging_2121/kartor/A 21238-2021 karta.png", "A 21238-2021")</f>
        <v/>
      </c>
      <c r="V152">
        <f>HYPERLINK("https://klasma.github.io/Logging_2121/klagomål/A 21238-2021 FSC-klagomål.docx", "A 21238-2021")</f>
        <v/>
      </c>
      <c r="W152">
        <f>HYPERLINK("https://klasma.github.io/Logging_2121/klagomålsmail/A 21238-2021 FSC-klagomål mail.docx", "A 21238-2021")</f>
        <v/>
      </c>
      <c r="X152">
        <f>HYPERLINK("https://klasma.github.io/Logging_2121/tillsyn/A 21238-2021 tillsynsbegäran.docx", "A 21238-2021")</f>
        <v/>
      </c>
      <c r="Y152">
        <f>HYPERLINK("https://klasma.github.io/Logging_2121/tillsynsmail/A 21238-2021 tillsynsbegäran mail.docx", "A 21238-2021")</f>
        <v/>
      </c>
    </row>
    <row r="153" ht="15" customHeight="1">
      <c r="A153" t="inlineStr">
        <is>
          <t>A 22461-2021</t>
        </is>
      </c>
      <c r="B153" s="1" t="n">
        <v>44326</v>
      </c>
      <c r="C153" s="1" t="n">
        <v>45352</v>
      </c>
      <c r="D153" t="inlineStr">
        <is>
          <t>GÄVLEBORGS LÄN</t>
        </is>
      </c>
      <c r="E153" t="inlineStr">
        <is>
          <t>LJUSDAL</t>
        </is>
      </c>
      <c r="F153" t="inlineStr">
        <is>
          <t>Sveaskog</t>
        </is>
      </c>
      <c r="G153" t="n">
        <v>7.1</v>
      </c>
      <c r="H153" t="n">
        <v>1</v>
      </c>
      <c r="I153" t="n">
        <v>1</v>
      </c>
      <c r="J153" t="n">
        <v>1</v>
      </c>
      <c r="K153" t="n">
        <v>0</v>
      </c>
      <c r="L153" t="n">
        <v>0</v>
      </c>
      <c r="M153" t="n">
        <v>0</v>
      </c>
      <c r="N153" t="n">
        <v>0</v>
      </c>
      <c r="O153" t="n">
        <v>1</v>
      </c>
      <c r="P153" t="n">
        <v>0</v>
      </c>
      <c r="Q153" t="n">
        <v>3</v>
      </c>
      <c r="R153" s="2" t="inlineStr">
        <is>
          <t>Lunglav
Stuplav
Revlummer</t>
        </is>
      </c>
      <c r="S153">
        <f>HYPERLINK("https://klasma.github.io/Logging_2161/artfynd/A 22461-2021 artfynd.xlsx", "A 22461-2021")</f>
        <v/>
      </c>
      <c r="T153">
        <f>HYPERLINK("https://klasma.github.io/Logging_2161/kartor/A 22461-2021 karta.png", "A 22461-2021")</f>
        <v/>
      </c>
      <c r="V153">
        <f>HYPERLINK("https://klasma.github.io/Logging_2161/klagomål/A 22461-2021 FSC-klagomål.docx", "A 22461-2021")</f>
        <v/>
      </c>
      <c r="W153">
        <f>HYPERLINK("https://klasma.github.io/Logging_2161/klagomålsmail/A 22461-2021 FSC-klagomål mail.docx", "A 22461-2021")</f>
        <v/>
      </c>
      <c r="X153">
        <f>HYPERLINK("https://klasma.github.io/Logging_2161/tillsyn/A 22461-2021 tillsynsbegäran.docx", "A 22461-2021")</f>
        <v/>
      </c>
      <c r="Y153">
        <f>HYPERLINK("https://klasma.github.io/Logging_2161/tillsynsmail/A 22461-2021 tillsynsbegäran mail.docx", "A 22461-2021")</f>
        <v/>
      </c>
    </row>
    <row r="154" ht="15" customHeight="1">
      <c r="A154" t="inlineStr">
        <is>
          <t>A 34590-2021</t>
        </is>
      </c>
      <c r="B154" s="1" t="n">
        <v>44382</v>
      </c>
      <c r="C154" s="1" t="n">
        <v>45352</v>
      </c>
      <c r="D154" t="inlineStr">
        <is>
          <t>GÄVLEBORGS LÄN</t>
        </is>
      </c>
      <c r="E154" t="inlineStr">
        <is>
          <t>BOLLNÄS</t>
        </is>
      </c>
      <c r="F154" t="inlineStr">
        <is>
          <t>Bergvik skog väst AB</t>
        </is>
      </c>
      <c r="G154" t="n">
        <v>5.6</v>
      </c>
      <c r="H154" t="n">
        <v>2</v>
      </c>
      <c r="I154" t="n">
        <v>1</v>
      </c>
      <c r="J154" t="n">
        <v>0</v>
      </c>
      <c r="K154" t="n">
        <v>0</v>
      </c>
      <c r="L154" t="n">
        <v>0</v>
      </c>
      <c r="M154" t="n">
        <v>0</v>
      </c>
      <c r="N154" t="n">
        <v>0</v>
      </c>
      <c r="O154" t="n">
        <v>0</v>
      </c>
      <c r="P154" t="n">
        <v>0</v>
      </c>
      <c r="Q154" t="n">
        <v>3</v>
      </c>
      <c r="R154" s="2" t="inlineStr">
        <is>
          <t>Tibast
Brudsporre
Fläcknycklar</t>
        </is>
      </c>
      <c r="S154">
        <f>HYPERLINK("https://klasma.github.io/Logging_2183/artfynd/A 34590-2021 artfynd.xlsx", "A 34590-2021")</f>
        <v/>
      </c>
      <c r="T154">
        <f>HYPERLINK("https://klasma.github.io/Logging_2183/kartor/A 34590-2021 karta.png", "A 34590-2021")</f>
        <v/>
      </c>
      <c r="V154">
        <f>HYPERLINK("https://klasma.github.io/Logging_2183/klagomål/A 34590-2021 FSC-klagomål.docx", "A 34590-2021")</f>
        <v/>
      </c>
      <c r="W154">
        <f>HYPERLINK("https://klasma.github.io/Logging_2183/klagomålsmail/A 34590-2021 FSC-klagomål mail.docx", "A 34590-2021")</f>
        <v/>
      </c>
      <c r="X154">
        <f>HYPERLINK("https://klasma.github.io/Logging_2183/tillsyn/A 34590-2021 tillsynsbegäran.docx", "A 34590-2021")</f>
        <v/>
      </c>
      <c r="Y154">
        <f>HYPERLINK("https://klasma.github.io/Logging_2183/tillsynsmail/A 34590-2021 tillsynsbegäran mail.docx", "A 34590-2021")</f>
        <v/>
      </c>
    </row>
    <row r="155" ht="15" customHeight="1">
      <c r="A155" t="inlineStr">
        <is>
          <t>A 49922-2021</t>
        </is>
      </c>
      <c r="B155" s="1" t="n">
        <v>44455</v>
      </c>
      <c r="C155" s="1" t="n">
        <v>45352</v>
      </c>
      <c r="D155" t="inlineStr">
        <is>
          <t>GÄVLEBORGS LÄN</t>
        </is>
      </c>
      <c r="E155" t="inlineStr">
        <is>
          <t>HUDIKSVALL</t>
        </is>
      </c>
      <c r="G155" t="n">
        <v>4.5</v>
      </c>
      <c r="H155" t="n">
        <v>0</v>
      </c>
      <c r="I155" t="n">
        <v>3</v>
      </c>
      <c r="J155" t="n">
        <v>0</v>
      </c>
      <c r="K155" t="n">
        <v>0</v>
      </c>
      <c r="L155" t="n">
        <v>0</v>
      </c>
      <c r="M155" t="n">
        <v>0</v>
      </c>
      <c r="N155" t="n">
        <v>0</v>
      </c>
      <c r="O155" t="n">
        <v>0</v>
      </c>
      <c r="P155" t="n">
        <v>0</v>
      </c>
      <c r="Q155" t="n">
        <v>3</v>
      </c>
      <c r="R155" s="2" t="inlineStr">
        <is>
          <t>Kattfotslav
Korallblylav
Skinnlav</t>
        </is>
      </c>
      <c r="S155">
        <f>HYPERLINK("https://klasma.github.io/Logging_2184/artfynd/A 49922-2021 artfynd.xlsx", "A 49922-2021")</f>
        <v/>
      </c>
      <c r="T155">
        <f>HYPERLINK("https://klasma.github.io/Logging_2184/kartor/A 49922-2021 karta.png", "A 49922-2021")</f>
        <v/>
      </c>
      <c r="V155">
        <f>HYPERLINK("https://klasma.github.io/Logging_2184/klagomål/A 49922-2021 FSC-klagomål.docx", "A 49922-2021")</f>
        <v/>
      </c>
      <c r="W155">
        <f>HYPERLINK("https://klasma.github.io/Logging_2184/klagomålsmail/A 49922-2021 FSC-klagomål mail.docx", "A 49922-2021")</f>
        <v/>
      </c>
      <c r="X155">
        <f>HYPERLINK("https://klasma.github.io/Logging_2184/tillsyn/A 49922-2021 tillsynsbegäran.docx", "A 49922-2021")</f>
        <v/>
      </c>
      <c r="Y155">
        <f>HYPERLINK("https://klasma.github.io/Logging_2184/tillsynsmail/A 49922-2021 tillsynsbegäran mail.docx", "A 49922-2021")</f>
        <v/>
      </c>
    </row>
    <row r="156" ht="15" customHeight="1">
      <c r="A156" t="inlineStr">
        <is>
          <t>A 8446-2022</t>
        </is>
      </c>
      <c r="B156" s="1" t="n">
        <v>44612</v>
      </c>
      <c r="C156" s="1" t="n">
        <v>45352</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10436-2022</t>
        </is>
      </c>
      <c r="B157" s="1" t="n">
        <v>44623</v>
      </c>
      <c r="C157" s="1" t="n">
        <v>45352</v>
      </c>
      <c r="D157" t="inlineStr">
        <is>
          <t>GÄVLEBORGS LÄN</t>
        </is>
      </c>
      <c r="E157" t="inlineStr">
        <is>
          <t>HOFORS</t>
        </is>
      </c>
      <c r="G157" t="n">
        <v>6.3</v>
      </c>
      <c r="H157" t="n">
        <v>1</v>
      </c>
      <c r="I157" t="n">
        <v>2</v>
      </c>
      <c r="J157" t="n">
        <v>0</v>
      </c>
      <c r="K157" t="n">
        <v>1</v>
      </c>
      <c r="L157" t="n">
        <v>0</v>
      </c>
      <c r="M157" t="n">
        <v>0</v>
      </c>
      <c r="N157" t="n">
        <v>0</v>
      </c>
      <c r="O157" t="n">
        <v>1</v>
      </c>
      <c r="P157" t="n">
        <v>1</v>
      </c>
      <c r="Q157" t="n">
        <v>3</v>
      </c>
      <c r="R157" s="2" t="inlineStr">
        <is>
          <t>Knärot
Björksplintborre
Vedticka</t>
        </is>
      </c>
      <c r="S157">
        <f>HYPERLINK("https://klasma.github.io/Logging_2104/artfynd/A 10436-2022 artfynd.xlsx", "A 10436-2022")</f>
        <v/>
      </c>
      <c r="T157">
        <f>HYPERLINK("https://klasma.github.io/Logging_2104/kartor/A 10436-2022 karta.png", "A 10436-2022")</f>
        <v/>
      </c>
      <c r="U157">
        <f>HYPERLINK("https://klasma.github.io/Logging_2104/knärot/A 10436-2022 karta knärot.png", "A 10436-2022")</f>
        <v/>
      </c>
      <c r="V157">
        <f>HYPERLINK("https://klasma.github.io/Logging_2104/klagomål/A 10436-2022 FSC-klagomål.docx", "A 10436-2022")</f>
        <v/>
      </c>
      <c r="W157">
        <f>HYPERLINK("https://klasma.github.io/Logging_2104/klagomålsmail/A 10436-2022 FSC-klagomål mail.docx", "A 10436-2022")</f>
        <v/>
      </c>
      <c r="X157">
        <f>HYPERLINK("https://klasma.github.io/Logging_2104/tillsyn/A 10436-2022 tillsynsbegäran.docx", "A 10436-2022")</f>
        <v/>
      </c>
      <c r="Y157">
        <f>HYPERLINK("https://klasma.github.io/Logging_2104/tillsynsmail/A 10436-2022 tillsynsbegäran mail.docx", "A 10436-2022")</f>
        <v/>
      </c>
    </row>
    <row r="158" ht="15" customHeight="1">
      <c r="A158" t="inlineStr">
        <is>
          <t>A 14181-2022</t>
        </is>
      </c>
      <c r="B158" s="1" t="n">
        <v>44651</v>
      </c>
      <c r="C158" s="1" t="n">
        <v>45352</v>
      </c>
      <c r="D158" t="inlineStr">
        <is>
          <t>GÄVLEBORGS LÄN</t>
        </is>
      </c>
      <c r="E158" t="inlineStr">
        <is>
          <t>SÖDERHAMN</t>
        </is>
      </c>
      <c r="F158" t="inlineStr">
        <is>
          <t>Bergvik skog väst AB</t>
        </is>
      </c>
      <c r="G158" t="n">
        <v>4.1</v>
      </c>
      <c r="H158" t="n">
        <v>0</v>
      </c>
      <c r="I158" t="n">
        <v>2</v>
      </c>
      <c r="J158" t="n">
        <v>1</v>
      </c>
      <c r="K158" t="n">
        <v>0</v>
      </c>
      <c r="L158" t="n">
        <v>0</v>
      </c>
      <c r="M158" t="n">
        <v>0</v>
      </c>
      <c r="N158" t="n">
        <v>0</v>
      </c>
      <c r="O158" t="n">
        <v>1</v>
      </c>
      <c r="P158" t="n">
        <v>0</v>
      </c>
      <c r="Q158" t="n">
        <v>3</v>
      </c>
      <c r="R158" s="2" t="inlineStr">
        <is>
          <t>Ullticka
Kattfotslav
Vågbandad barkbock</t>
        </is>
      </c>
      <c r="S158">
        <f>HYPERLINK("https://klasma.github.io/Logging_2182/artfynd/A 14181-2022 artfynd.xlsx", "A 14181-2022")</f>
        <v/>
      </c>
      <c r="T158">
        <f>HYPERLINK("https://klasma.github.io/Logging_2182/kartor/A 14181-2022 karta.png", "A 14181-2022")</f>
        <v/>
      </c>
      <c r="V158">
        <f>HYPERLINK("https://klasma.github.io/Logging_2182/klagomål/A 14181-2022 FSC-klagomål.docx", "A 14181-2022")</f>
        <v/>
      </c>
      <c r="W158">
        <f>HYPERLINK("https://klasma.github.io/Logging_2182/klagomålsmail/A 14181-2022 FSC-klagomål mail.docx", "A 14181-2022")</f>
        <v/>
      </c>
      <c r="X158">
        <f>HYPERLINK("https://klasma.github.io/Logging_2182/tillsyn/A 14181-2022 tillsynsbegäran.docx", "A 14181-2022")</f>
        <v/>
      </c>
      <c r="Y158">
        <f>HYPERLINK("https://klasma.github.io/Logging_2182/tillsynsmail/A 14181-2022 tillsynsbegäran mail.docx", "A 14181-2022")</f>
        <v/>
      </c>
    </row>
    <row r="159" ht="15" customHeight="1">
      <c r="A159" t="inlineStr">
        <is>
          <t>A 21538-2022</t>
        </is>
      </c>
      <c r="B159" s="1" t="n">
        <v>44706</v>
      </c>
      <c r="C159" s="1" t="n">
        <v>45352</v>
      </c>
      <c r="D159" t="inlineStr">
        <is>
          <t>GÄVLEBORGS LÄN</t>
        </is>
      </c>
      <c r="E159" t="inlineStr">
        <is>
          <t>LJUSDAL</t>
        </is>
      </c>
      <c r="F159" t="inlineStr">
        <is>
          <t>Sveaskog</t>
        </is>
      </c>
      <c r="G159" t="n">
        <v>2.3</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21538-2022 artfynd.xlsx", "A 21538-2022")</f>
        <v/>
      </c>
      <c r="T159">
        <f>HYPERLINK("https://klasma.github.io/Logging_2161/kartor/A 21538-2022 karta.png", "A 21538-2022")</f>
        <v/>
      </c>
      <c r="V159">
        <f>HYPERLINK("https://klasma.github.io/Logging_2161/klagomål/A 21538-2022 FSC-klagomål.docx", "A 21538-2022")</f>
        <v/>
      </c>
      <c r="W159">
        <f>HYPERLINK("https://klasma.github.io/Logging_2161/klagomålsmail/A 21538-2022 FSC-klagomål mail.docx", "A 21538-2022")</f>
        <v/>
      </c>
      <c r="X159">
        <f>HYPERLINK("https://klasma.github.io/Logging_2161/tillsyn/A 21538-2022 tillsynsbegäran.docx", "A 21538-2022")</f>
        <v/>
      </c>
      <c r="Y159">
        <f>HYPERLINK("https://klasma.github.io/Logging_2161/tillsynsmail/A 21538-2022 tillsynsbegäran mail.docx", "A 21538-2022")</f>
        <v/>
      </c>
    </row>
    <row r="160" ht="15" customHeight="1">
      <c r="A160" t="inlineStr">
        <is>
          <t>A 21797-2022</t>
        </is>
      </c>
      <c r="B160" s="1" t="n">
        <v>44708</v>
      </c>
      <c r="C160" s="1" t="n">
        <v>45352</v>
      </c>
      <c r="D160" t="inlineStr">
        <is>
          <t>GÄVLEBORGS LÄN</t>
        </is>
      </c>
      <c r="E160" t="inlineStr">
        <is>
          <t>LJUSDAL</t>
        </is>
      </c>
      <c r="F160" t="inlineStr">
        <is>
          <t>Holmen skog AB</t>
        </is>
      </c>
      <c r="G160" t="n">
        <v>2.5</v>
      </c>
      <c r="H160" t="n">
        <v>0</v>
      </c>
      <c r="I160" t="n">
        <v>2</v>
      </c>
      <c r="J160" t="n">
        <v>1</v>
      </c>
      <c r="K160" t="n">
        <v>0</v>
      </c>
      <c r="L160" t="n">
        <v>0</v>
      </c>
      <c r="M160" t="n">
        <v>0</v>
      </c>
      <c r="N160" t="n">
        <v>0</v>
      </c>
      <c r="O160" t="n">
        <v>1</v>
      </c>
      <c r="P160" t="n">
        <v>0</v>
      </c>
      <c r="Q160" t="n">
        <v>3</v>
      </c>
      <c r="R160" s="2" t="inlineStr">
        <is>
          <t>Ullticka
Skinnlav
Vedticka</t>
        </is>
      </c>
      <c r="S160">
        <f>HYPERLINK("https://klasma.github.io/Logging_2161/artfynd/A 21797-2022 artfynd.xlsx", "A 21797-2022")</f>
        <v/>
      </c>
      <c r="T160">
        <f>HYPERLINK("https://klasma.github.io/Logging_2161/kartor/A 21797-2022 karta.png", "A 21797-2022")</f>
        <v/>
      </c>
      <c r="V160">
        <f>HYPERLINK("https://klasma.github.io/Logging_2161/klagomål/A 21797-2022 FSC-klagomål.docx", "A 21797-2022")</f>
        <v/>
      </c>
      <c r="W160">
        <f>HYPERLINK("https://klasma.github.io/Logging_2161/klagomålsmail/A 21797-2022 FSC-klagomål mail.docx", "A 21797-2022")</f>
        <v/>
      </c>
      <c r="X160">
        <f>HYPERLINK("https://klasma.github.io/Logging_2161/tillsyn/A 21797-2022 tillsynsbegäran.docx", "A 21797-2022")</f>
        <v/>
      </c>
      <c r="Y160">
        <f>HYPERLINK("https://klasma.github.io/Logging_2161/tillsynsmail/A 21797-2022 tillsynsbegäran mail.docx", "A 21797-2022")</f>
        <v/>
      </c>
    </row>
    <row r="161" ht="15" customHeight="1">
      <c r="A161" t="inlineStr">
        <is>
          <t>A 25129-2022</t>
        </is>
      </c>
      <c r="B161" s="1" t="n">
        <v>44729</v>
      </c>
      <c r="C161" s="1" t="n">
        <v>45352</v>
      </c>
      <c r="D161" t="inlineStr">
        <is>
          <t>GÄVLEBORGS LÄN</t>
        </is>
      </c>
      <c r="E161" t="inlineStr">
        <is>
          <t>BOLLNÄS</t>
        </is>
      </c>
      <c r="F161" t="inlineStr">
        <is>
          <t>Bergvik skog väst AB</t>
        </is>
      </c>
      <c r="G161" t="n">
        <v>27.4</v>
      </c>
      <c r="H161" t="n">
        <v>0</v>
      </c>
      <c r="I161" t="n">
        <v>1</v>
      </c>
      <c r="J161" t="n">
        <v>2</v>
      </c>
      <c r="K161" t="n">
        <v>0</v>
      </c>
      <c r="L161" t="n">
        <v>0</v>
      </c>
      <c r="M161" t="n">
        <v>0</v>
      </c>
      <c r="N161" t="n">
        <v>0</v>
      </c>
      <c r="O161" t="n">
        <v>2</v>
      </c>
      <c r="P161" t="n">
        <v>0</v>
      </c>
      <c r="Q161" t="n">
        <v>3</v>
      </c>
      <c r="R161" s="2" t="inlineStr">
        <is>
          <t>Garnlav
Kortskaftad ärgspik
Nästlav</t>
        </is>
      </c>
      <c r="S161">
        <f>HYPERLINK("https://klasma.github.io/Logging_2183/artfynd/A 25129-2022 artfynd.xlsx", "A 25129-2022")</f>
        <v/>
      </c>
      <c r="T161">
        <f>HYPERLINK("https://klasma.github.io/Logging_2183/kartor/A 25129-2022 karta.png", "A 25129-2022")</f>
        <v/>
      </c>
      <c r="V161">
        <f>HYPERLINK("https://klasma.github.io/Logging_2183/klagomål/A 25129-2022 FSC-klagomål.docx", "A 25129-2022")</f>
        <v/>
      </c>
      <c r="W161">
        <f>HYPERLINK("https://klasma.github.io/Logging_2183/klagomålsmail/A 25129-2022 FSC-klagomål mail.docx", "A 25129-2022")</f>
        <v/>
      </c>
      <c r="X161">
        <f>HYPERLINK("https://klasma.github.io/Logging_2183/tillsyn/A 25129-2022 tillsynsbegäran.docx", "A 25129-2022")</f>
        <v/>
      </c>
      <c r="Y161">
        <f>HYPERLINK("https://klasma.github.io/Logging_2183/tillsynsmail/A 25129-2022 tillsynsbegäran mail.docx", "A 25129-2022")</f>
        <v/>
      </c>
    </row>
    <row r="162" ht="15" customHeight="1">
      <c r="A162" t="inlineStr">
        <is>
          <t>A 26055-2022</t>
        </is>
      </c>
      <c r="B162" s="1" t="n">
        <v>44734</v>
      </c>
      <c r="C162" s="1" t="n">
        <v>45352</v>
      </c>
      <c r="D162" t="inlineStr">
        <is>
          <t>GÄVLEBORGS LÄN</t>
        </is>
      </c>
      <c r="E162" t="inlineStr">
        <is>
          <t>LJUSDAL</t>
        </is>
      </c>
      <c r="F162" t="inlineStr">
        <is>
          <t>Bergvik skog väst AB</t>
        </is>
      </c>
      <c r="G162" t="n">
        <v>23.3</v>
      </c>
      <c r="H162" t="n">
        <v>0</v>
      </c>
      <c r="I162" t="n">
        <v>0</v>
      </c>
      <c r="J162" t="n">
        <v>2</v>
      </c>
      <c r="K162" t="n">
        <v>1</v>
      </c>
      <c r="L162" t="n">
        <v>0</v>
      </c>
      <c r="M162" t="n">
        <v>0</v>
      </c>
      <c r="N162" t="n">
        <v>0</v>
      </c>
      <c r="O162" t="n">
        <v>3</v>
      </c>
      <c r="P162" t="n">
        <v>1</v>
      </c>
      <c r="Q162" t="n">
        <v>3</v>
      </c>
      <c r="R162" s="2" t="inlineStr">
        <is>
          <t>Aspfjädermossa
Stiftgelélav
Vedtrappmossa</t>
        </is>
      </c>
      <c r="S162">
        <f>HYPERLINK("https://klasma.github.io/Logging_2161/artfynd/A 26055-2022 artfynd.xlsx", "A 26055-2022")</f>
        <v/>
      </c>
      <c r="T162">
        <f>HYPERLINK("https://klasma.github.io/Logging_2161/kartor/A 26055-2022 karta.png", "A 26055-2022")</f>
        <v/>
      </c>
      <c r="V162">
        <f>HYPERLINK("https://klasma.github.io/Logging_2161/klagomål/A 26055-2022 FSC-klagomål.docx", "A 26055-2022")</f>
        <v/>
      </c>
      <c r="W162">
        <f>HYPERLINK("https://klasma.github.io/Logging_2161/klagomålsmail/A 26055-2022 FSC-klagomål mail.docx", "A 26055-2022")</f>
        <v/>
      </c>
      <c r="X162">
        <f>HYPERLINK("https://klasma.github.io/Logging_2161/tillsyn/A 26055-2022 tillsynsbegäran.docx", "A 26055-2022")</f>
        <v/>
      </c>
      <c r="Y162">
        <f>HYPERLINK("https://klasma.github.io/Logging_2161/tillsynsmail/A 26055-2022 tillsynsbegäran mail.docx", "A 26055-2022")</f>
        <v/>
      </c>
    </row>
    <row r="163" ht="15" customHeight="1">
      <c r="A163" t="inlineStr">
        <is>
          <t>A 40292-2022</t>
        </is>
      </c>
      <c r="B163" s="1" t="n">
        <v>44821</v>
      </c>
      <c r="C163" s="1" t="n">
        <v>45352</v>
      </c>
      <c r="D163" t="inlineStr">
        <is>
          <t>GÄVLEBORGS LÄN</t>
        </is>
      </c>
      <c r="E163" t="inlineStr">
        <is>
          <t>LJUSDAL</t>
        </is>
      </c>
      <c r="F163" t="inlineStr">
        <is>
          <t>Sveaskog</t>
        </is>
      </c>
      <c r="G163" t="n">
        <v>3.1</v>
      </c>
      <c r="H163" t="n">
        <v>0</v>
      </c>
      <c r="I163" t="n">
        <v>1</v>
      </c>
      <c r="J163" t="n">
        <v>2</v>
      </c>
      <c r="K163" t="n">
        <v>0</v>
      </c>
      <c r="L163" t="n">
        <v>0</v>
      </c>
      <c r="M163" t="n">
        <v>0</v>
      </c>
      <c r="N163" t="n">
        <v>0</v>
      </c>
      <c r="O163" t="n">
        <v>2</v>
      </c>
      <c r="P163" t="n">
        <v>0</v>
      </c>
      <c r="Q163" t="n">
        <v>3</v>
      </c>
      <c r="R163" s="2" t="inlineStr">
        <is>
          <t>Kolflarnlav
Mörk kolflarnlav
Dropptaggsvamp</t>
        </is>
      </c>
      <c r="S163">
        <f>HYPERLINK("https://klasma.github.io/Logging_2161/artfynd/A 40292-2022 artfynd.xlsx", "A 40292-2022")</f>
        <v/>
      </c>
      <c r="T163">
        <f>HYPERLINK("https://klasma.github.io/Logging_2161/kartor/A 40292-2022 karta.png", "A 40292-2022")</f>
        <v/>
      </c>
      <c r="V163">
        <f>HYPERLINK("https://klasma.github.io/Logging_2161/klagomål/A 40292-2022 FSC-klagomål.docx", "A 40292-2022")</f>
        <v/>
      </c>
      <c r="W163">
        <f>HYPERLINK("https://klasma.github.io/Logging_2161/klagomålsmail/A 40292-2022 FSC-klagomål mail.docx", "A 40292-2022")</f>
        <v/>
      </c>
      <c r="X163">
        <f>HYPERLINK("https://klasma.github.io/Logging_2161/tillsyn/A 40292-2022 tillsynsbegäran.docx", "A 40292-2022")</f>
        <v/>
      </c>
      <c r="Y163">
        <f>HYPERLINK("https://klasma.github.io/Logging_2161/tillsynsmail/A 40292-2022 tillsynsbegäran mail.docx", "A 40292-2022")</f>
        <v/>
      </c>
    </row>
    <row r="164" ht="15" customHeight="1">
      <c r="A164" t="inlineStr">
        <is>
          <t>A 52399-2022</t>
        </is>
      </c>
      <c r="B164" s="1" t="n">
        <v>44874</v>
      </c>
      <c r="C164" s="1" t="n">
        <v>45352</v>
      </c>
      <c r="D164" t="inlineStr">
        <is>
          <t>GÄVLEBORGS LÄN</t>
        </is>
      </c>
      <c r="E164" t="inlineStr">
        <is>
          <t>HUDIKSVALL</t>
        </is>
      </c>
      <c r="F164" t="inlineStr">
        <is>
          <t>Holmen skog AB</t>
        </is>
      </c>
      <c r="G164" t="n">
        <v>3.9</v>
      </c>
      <c r="H164" t="n">
        <v>0</v>
      </c>
      <c r="I164" t="n">
        <v>0</v>
      </c>
      <c r="J164" t="n">
        <v>3</v>
      </c>
      <c r="K164" t="n">
        <v>0</v>
      </c>
      <c r="L164" t="n">
        <v>0</v>
      </c>
      <c r="M164" t="n">
        <v>0</v>
      </c>
      <c r="N164" t="n">
        <v>0</v>
      </c>
      <c r="O164" t="n">
        <v>3</v>
      </c>
      <c r="P164" t="n">
        <v>0</v>
      </c>
      <c r="Q164" t="n">
        <v>3</v>
      </c>
      <c r="R164" s="2" t="inlineStr">
        <is>
          <t>Blanksvart spiklav
Gammelgransskål
Garnlav</t>
        </is>
      </c>
      <c r="S164">
        <f>HYPERLINK("https://klasma.github.io/Logging_2184/artfynd/A 52399-2022 artfynd.xlsx", "A 52399-2022")</f>
        <v/>
      </c>
      <c r="T164">
        <f>HYPERLINK("https://klasma.github.io/Logging_2184/kartor/A 52399-2022 karta.png", "A 52399-2022")</f>
        <v/>
      </c>
      <c r="V164">
        <f>HYPERLINK("https://klasma.github.io/Logging_2184/klagomål/A 52399-2022 FSC-klagomål.docx", "A 52399-2022")</f>
        <v/>
      </c>
      <c r="W164">
        <f>HYPERLINK("https://klasma.github.io/Logging_2184/klagomålsmail/A 52399-2022 FSC-klagomål mail.docx", "A 52399-2022")</f>
        <v/>
      </c>
      <c r="X164">
        <f>HYPERLINK("https://klasma.github.io/Logging_2184/tillsyn/A 52399-2022 tillsynsbegäran.docx", "A 52399-2022")</f>
        <v/>
      </c>
      <c r="Y164">
        <f>HYPERLINK("https://klasma.github.io/Logging_2184/tillsynsmail/A 52399-2022 tillsynsbegäran mail.docx", "A 52399-2022")</f>
        <v/>
      </c>
    </row>
    <row r="165" ht="15" customHeight="1">
      <c r="A165" t="inlineStr">
        <is>
          <t>A 54472-2022</t>
        </is>
      </c>
      <c r="B165" s="1" t="n">
        <v>44882</v>
      </c>
      <c r="C165" s="1" t="n">
        <v>45352</v>
      </c>
      <c r="D165" t="inlineStr">
        <is>
          <t>GÄVLEBORGS LÄN</t>
        </is>
      </c>
      <c r="E165" t="inlineStr">
        <is>
          <t>LJUSDAL</t>
        </is>
      </c>
      <c r="F165" t="inlineStr">
        <is>
          <t>Bergvik skog väst AB</t>
        </is>
      </c>
      <c r="G165" t="n">
        <v>3.1</v>
      </c>
      <c r="H165" t="n">
        <v>0</v>
      </c>
      <c r="I165" t="n">
        <v>1</v>
      </c>
      <c r="J165" t="n">
        <v>2</v>
      </c>
      <c r="K165" t="n">
        <v>0</v>
      </c>
      <c r="L165" t="n">
        <v>0</v>
      </c>
      <c r="M165" t="n">
        <v>0</v>
      </c>
      <c r="N165" t="n">
        <v>0</v>
      </c>
      <c r="O165" t="n">
        <v>2</v>
      </c>
      <c r="P165" t="n">
        <v>0</v>
      </c>
      <c r="Q165" t="n">
        <v>3</v>
      </c>
      <c r="R165" s="2" t="inlineStr">
        <is>
          <t>Lunglav
Skrovellav
Källmossa</t>
        </is>
      </c>
      <c r="S165">
        <f>HYPERLINK("https://klasma.github.io/Logging_2161/artfynd/A 54472-2022 artfynd.xlsx", "A 54472-2022")</f>
        <v/>
      </c>
      <c r="T165">
        <f>HYPERLINK("https://klasma.github.io/Logging_2161/kartor/A 54472-2022 karta.png", "A 54472-2022")</f>
        <v/>
      </c>
      <c r="U165">
        <f>HYPERLINK("https://klasma.github.io/Logging_2161/knärot/A 54472-2022 karta knärot.png", "A 54472-2022")</f>
        <v/>
      </c>
      <c r="V165">
        <f>HYPERLINK("https://klasma.github.io/Logging_2161/klagomål/A 54472-2022 FSC-klagomål.docx", "A 54472-2022")</f>
        <v/>
      </c>
      <c r="W165">
        <f>HYPERLINK("https://klasma.github.io/Logging_2161/klagomålsmail/A 54472-2022 FSC-klagomål mail.docx", "A 54472-2022")</f>
        <v/>
      </c>
      <c r="X165">
        <f>HYPERLINK("https://klasma.github.io/Logging_2161/tillsyn/A 54472-2022 tillsynsbegäran.docx", "A 54472-2022")</f>
        <v/>
      </c>
      <c r="Y165">
        <f>HYPERLINK("https://klasma.github.io/Logging_2161/tillsynsmail/A 54472-2022 tillsynsbegäran mail.docx", "A 54472-2022")</f>
        <v/>
      </c>
    </row>
    <row r="166" ht="15" customHeight="1">
      <c r="A166" t="inlineStr">
        <is>
          <t>A 12105-2023</t>
        </is>
      </c>
      <c r="B166" s="1" t="n">
        <v>44998</v>
      </c>
      <c r="C166" s="1" t="n">
        <v>45352</v>
      </c>
      <c r="D166" t="inlineStr">
        <is>
          <t>GÄVLEBORGS LÄN</t>
        </is>
      </c>
      <c r="E166" t="inlineStr">
        <is>
          <t>LJUSDAL</t>
        </is>
      </c>
      <c r="G166" t="n">
        <v>11.7</v>
      </c>
      <c r="H166" t="n">
        <v>1</v>
      </c>
      <c r="I166" t="n">
        <v>2</v>
      </c>
      <c r="J166" t="n">
        <v>0</v>
      </c>
      <c r="K166" t="n">
        <v>1</v>
      </c>
      <c r="L166" t="n">
        <v>0</v>
      </c>
      <c r="M166" t="n">
        <v>0</v>
      </c>
      <c r="N166" t="n">
        <v>0</v>
      </c>
      <c r="O166" t="n">
        <v>1</v>
      </c>
      <c r="P166" t="n">
        <v>1</v>
      </c>
      <c r="Q166" t="n">
        <v>3</v>
      </c>
      <c r="R166" s="2" t="inlineStr">
        <is>
          <t>Knärot
Korallblylav
Mörk husmossa</t>
        </is>
      </c>
      <c r="S166">
        <f>HYPERLINK("https://klasma.github.io/Logging_2161/artfynd/A 12105-2023 artfynd.xlsx", "A 12105-2023")</f>
        <v/>
      </c>
      <c r="T166">
        <f>HYPERLINK("https://klasma.github.io/Logging_2161/kartor/A 12105-2023 karta.png", "A 12105-2023")</f>
        <v/>
      </c>
      <c r="U166">
        <f>HYPERLINK("https://klasma.github.io/Logging_2161/knärot/A 12105-2023 karta knärot.png", "A 12105-2023")</f>
        <v/>
      </c>
      <c r="V166">
        <f>HYPERLINK("https://klasma.github.io/Logging_2161/klagomål/A 12105-2023 FSC-klagomål.docx", "A 12105-2023")</f>
        <v/>
      </c>
      <c r="W166">
        <f>HYPERLINK("https://klasma.github.io/Logging_2161/klagomålsmail/A 12105-2023 FSC-klagomål mail.docx", "A 12105-2023")</f>
        <v/>
      </c>
      <c r="X166">
        <f>HYPERLINK("https://klasma.github.io/Logging_2161/tillsyn/A 12105-2023 tillsynsbegäran.docx", "A 12105-2023")</f>
        <v/>
      </c>
      <c r="Y166">
        <f>HYPERLINK("https://klasma.github.io/Logging_2161/tillsynsmail/A 12105-2023 tillsynsbegäran mail.docx", "A 12105-2023")</f>
        <v/>
      </c>
    </row>
    <row r="167" ht="15" customHeight="1">
      <c r="A167" t="inlineStr">
        <is>
          <t>A 23246-2023</t>
        </is>
      </c>
      <c r="B167" s="1" t="n">
        <v>45075</v>
      </c>
      <c r="C167" s="1" t="n">
        <v>45352</v>
      </c>
      <c r="D167" t="inlineStr">
        <is>
          <t>GÄVLEBORGS LÄN</t>
        </is>
      </c>
      <c r="E167" t="inlineStr">
        <is>
          <t>HUDIKSVALL</t>
        </is>
      </c>
      <c r="F167" t="inlineStr">
        <is>
          <t>Sveaskog</t>
        </is>
      </c>
      <c r="G167" t="n">
        <v>7.2</v>
      </c>
      <c r="H167" t="n">
        <v>1</v>
      </c>
      <c r="I167" t="n">
        <v>0</v>
      </c>
      <c r="J167" t="n">
        <v>2</v>
      </c>
      <c r="K167" t="n">
        <v>0</v>
      </c>
      <c r="L167" t="n">
        <v>0</v>
      </c>
      <c r="M167" t="n">
        <v>0</v>
      </c>
      <c r="N167" t="n">
        <v>0</v>
      </c>
      <c r="O167" t="n">
        <v>2</v>
      </c>
      <c r="P167" t="n">
        <v>0</v>
      </c>
      <c r="Q167" t="n">
        <v>3</v>
      </c>
      <c r="R167" s="2" t="inlineStr">
        <is>
          <t>Kolflarnlav
Mörk kolflarnlav
Fläcknycklar</t>
        </is>
      </c>
      <c r="S167">
        <f>HYPERLINK("https://klasma.github.io/Logging_2184/artfynd/A 23246-2023 artfynd.xlsx", "A 23246-2023")</f>
        <v/>
      </c>
      <c r="T167">
        <f>HYPERLINK("https://klasma.github.io/Logging_2184/kartor/A 23246-2023 karta.png", "A 23246-2023")</f>
        <v/>
      </c>
      <c r="V167">
        <f>HYPERLINK("https://klasma.github.io/Logging_2184/klagomål/A 23246-2023 FSC-klagomål.docx", "A 23246-2023")</f>
        <v/>
      </c>
      <c r="W167">
        <f>HYPERLINK("https://klasma.github.io/Logging_2184/klagomålsmail/A 23246-2023 FSC-klagomål mail.docx", "A 23246-2023")</f>
        <v/>
      </c>
      <c r="X167">
        <f>HYPERLINK("https://klasma.github.io/Logging_2184/tillsyn/A 23246-2023 tillsynsbegäran.docx", "A 23246-2023")</f>
        <v/>
      </c>
      <c r="Y167">
        <f>HYPERLINK("https://klasma.github.io/Logging_2184/tillsynsmail/A 23246-2023 tillsynsbegäran mail.docx", "A 23246-2023")</f>
        <v/>
      </c>
    </row>
    <row r="168" ht="15" customHeight="1">
      <c r="A168" t="inlineStr">
        <is>
          <t>A 24519-2023</t>
        </is>
      </c>
      <c r="B168" s="1" t="n">
        <v>45082</v>
      </c>
      <c r="C168" s="1" t="n">
        <v>45352</v>
      </c>
      <c r="D168" t="inlineStr">
        <is>
          <t>GÄVLEBORGS LÄN</t>
        </is>
      </c>
      <c r="E168" t="inlineStr">
        <is>
          <t>LJUSDAL</t>
        </is>
      </c>
      <c r="F168" t="inlineStr">
        <is>
          <t>Sveaskog</t>
        </is>
      </c>
      <c r="G168" t="n">
        <v>8.199999999999999</v>
      </c>
      <c r="H168" t="n">
        <v>0</v>
      </c>
      <c r="I168" t="n">
        <v>0</v>
      </c>
      <c r="J168" t="n">
        <v>3</v>
      </c>
      <c r="K168" t="n">
        <v>0</v>
      </c>
      <c r="L168" t="n">
        <v>0</v>
      </c>
      <c r="M168" t="n">
        <v>0</v>
      </c>
      <c r="N168" t="n">
        <v>0</v>
      </c>
      <c r="O168" t="n">
        <v>3</v>
      </c>
      <c r="P168" t="n">
        <v>0</v>
      </c>
      <c r="Q168" t="n">
        <v>3</v>
      </c>
      <c r="R168" s="2" t="inlineStr">
        <is>
          <t>Dvärgbägarlav
Kolflarnlav
Lunglav</t>
        </is>
      </c>
      <c r="S168">
        <f>HYPERLINK("https://klasma.github.io/Logging_2161/artfynd/A 24519-2023 artfynd.xlsx", "A 24519-2023")</f>
        <v/>
      </c>
      <c r="T168">
        <f>HYPERLINK("https://klasma.github.io/Logging_2161/kartor/A 24519-2023 karta.png", "A 24519-2023")</f>
        <v/>
      </c>
      <c r="V168">
        <f>HYPERLINK("https://klasma.github.io/Logging_2161/klagomål/A 24519-2023 FSC-klagomål.docx", "A 24519-2023")</f>
        <v/>
      </c>
      <c r="W168">
        <f>HYPERLINK("https://klasma.github.io/Logging_2161/klagomålsmail/A 24519-2023 FSC-klagomål mail.docx", "A 24519-2023")</f>
        <v/>
      </c>
      <c r="X168">
        <f>HYPERLINK("https://klasma.github.io/Logging_2161/tillsyn/A 24519-2023 tillsynsbegäran.docx", "A 24519-2023")</f>
        <v/>
      </c>
      <c r="Y168">
        <f>HYPERLINK("https://klasma.github.io/Logging_2161/tillsynsmail/A 24519-2023 tillsynsbegäran mail.docx", "A 24519-2023")</f>
        <v/>
      </c>
    </row>
    <row r="169" ht="15" customHeight="1">
      <c r="A169" t="inlineStr">
        <is>
          <t>A 25182-2023</t>
        </is>
      </c>
      <c r="B169" s="1" t="n">
        <v>45086</v>
      </c>
      <c r="C169" s="1" t="n">
        <v>45352</v>
      </c>
      <c r="D169" t="inlineStr">
        <is>
          <t>GÄVLEBORGS LÄN</t>
        </is>
      </c>
      <c r="E169" t="inlineStr">
        <is>
          <t>LJUSDAL</t>
        </is>
      </c>
      <c r="F169" t="inlineStr">
        <is>
          <t>Holmen skog AB</t>
        </is>
      </c>
      <c r="G169" t="n">
        <v>16.6</v>
      </c>
      <c r="H169" t="n">
        <v>3</v>
      </c>
      <c r="I169" t="n">
        <v>0</v>
      </c>
      <c r="J169" t="n">
        <v>0</v>
      </c>
      <c r="K169" t="n">
        <v>0</v>
      </c>
      <c r="L169" t="n">
        <v>0</v>
      </c>
      <c r="M169" t="n">
        <v>0</v>
      </c>
      <c r="N169" t="n">
        <v>0</v>
      </c>
      <c r="O169" t="n">
        <v>0</v>
      </c>
      <c r="P169" t="n">
        <v>0</v>
      </c>
      <c r="Q169" t="n">
        <v>3</v>
      </c>
      <c r="R169" s="2" t="inlineStr">
        <is>
          <t>Fläcknycklar
Myggblomster
Revlummer</t>
        </is>
      </c>
      <c r="S169">
        <f>HYPERLINK("https://klasma.github.io/Logging_2161/artfynd/A 25182-2023 artfynd.xlsx", "A 25182-2023")</f>
        <v/>
      </c>
      <c r="T169">
        <f>HYPERLINK("https://klasma.github.io/Logging_2161/kartor/A 25182-2023 karta.png", "A 25182-2023")</f>
        <v/>
      </c>
      <c r="V169">
        <f>HYPERLINK("https://klasma.github.io/Logging_2161/klagomål/A 25182-2023 FSC-klagomål.docx", "A 25182-2023")</f>
        <v/>
      </c>
      <c r="W169">
        <f>HYPERLINK("https://klasma.github.io/Logging_2161/klagomålsmail/A 25182-2023 FSC-klagomål mail.docx", "A 25182-2023")</f>
        <v/>
      </c>
      <c r="X169">
        <f>HYPERLINK("https://klasma.github.io/Logging_2161/tillsyn/A 25182-2023 tillsynsbegäran.docx", "A 25182-2023")</f>
        <v/>
      </c>
      <c r="Y169">
        <f>HYPERLINK("https://klasma.github.io/Logging_2161/tillsynsmail/A 25182-2023 tillsynsbegäran mail.docx", "A 25182-2023")</f>
        <v/>
      </c>
    </row>
    <row r="170" ht="15" customHeight="1">
      <c r="A170" t="inlineStr">
        <is>
          <t>A 25643-2023</t>
        </is>
      </c>
      <c r="B170" s="1" t="n">
        <v>45089</v>
      </c>
      <c r="C170" s="1" t="n">
        <v>45352</v>
      </c>
      <c r="D170" t="inlineStr">
        <is>
          <t>GÄVLEBORGS LÄN</t>
        </is>
      </c>
      <c r="E170" t="inlineStr">
        <is>
          <t>NORDANSTIG</t>
        </is>
      </c>
      <c r="F170" t="inlineStr">
        <is>
          <t>Holmen skog AB</t>
        </is>
      </c>
      <c r="G170" t="n">
        <v>5.9</v>
      </c>
      <c r="H170" t="n">
        <v>1</v>
      </c>
      <c r="I170" t="n">
        <v>0</v>
      </c>
      <c r="J170" t="n">
        <v>2</v>
      </c>
      <c r="K170" t="n">
        <v>0</v>
      </c>
      <c r="L170" t="n">
        <v>0</v>
      </c>
      <c r="M170" t="n">
        <v>0</v>
      </c>
      <c r="N170" t="n">
        <v>0</v>
      </c>
      <c r="O170" t="n">
        <v>2</v>
      </c>
      <c r="P170" t="n">
        <v>0</v>
      </c>
      <c r="Q170" t="n">
        <v>3</v>
      </c>
      <c r="R170" s="2" t="inlineStr">
        <is>
          <t>Gammelgransskål
Garnlav
Fläcknycklar</t>
        </is>
      </c>
      <c r="S170">
        <f>HYPERLINK("https://klasma.github.io/Logging_2132/artfynd/A 25643-2023 artfynd.xlsx", "A 25643-2023")</f>
        <v/>
      </c>
      <c r="T170">
        <f>HYPERLINK("https://klasma.github.io/Logging_2132/kartor/A 25643-2023 karta.png", "A 25643-2023")</f>
        <v/>
      </c>
      <c r="V170">
        <f>HYPERLINK("https://klasma.github.io/Logging_2132/klagomål/A 25643-2023 FSC-klagomål.docx", "A 25643-2023")</f>
        <v/>
      </c>
      <c r="W170">
        <f>HYPERLINK("https://klasma.github.io/Logging_2132/klagomålsmail/A 25643-2023 FSC-klagomål mail.docx", "A 25643-2023")</f>
        <v/>
      </c>
      <c r="X170">
        <f>HYPERLINK("https://klasma.github.io/Logging_2132/tillsyn/A 25643-2023 tillsynsbegäran.docx", "A 25643-2023")</f>
        <v/>
      </c>
      <c r="Y170">
        <f>HYPERLINK("https://klasma.github.io/Logging_2132/tillsynsmail/A 25643-2023 tillsynsbegäran mail.docx", "A 25643-2023")</f>
        <v/>
      </c>
    </row>
    <row r="171" ht="15" customHeight="1">
      <c r="A171" t="inlineStr">
        <is>
          <t>A 31473-2023</t>
        </is>
      </c>
      <c r="B171" s="1" t="n">
        <v>45114</v>
      </c>
      <c r="C171" s="1" t="n">
        <v>45352</v>
      </c>
      <c r="D171" t="inlineStr">
        <is>
          <t>GÄVLEBORGS LÄN</t>
        </is>
      </c>
      <c r="E171" t="inlineStr">
        <is>
          <t>LJUSDAL</t>
        </is>
      </c>
      <c r="F171" t="inlineStr">
        <is>
          <t>Sveaskog</t>
        </is>
      </c>
      <c r="G171" t="n">
        <v>15.5</v>
      </c>
      <c r="H171" t="n">
        <v>1</v>
      </c>
      <c r="I171" t="n">
        <v>1</v>
      </c>
      <c r="J171" t="n">
        <v>2</v>
      </c>
      <c r="K171" t="n">
        <v>0</v>
      </c>
      <c r="L171" t="n">
        <v>0</v>
      </c>
      <c r="M171" t="n">
        <v>0</v>
      </c>
      <c r="N171" t="n">
        <v>0</v>
      </c>
      <c r="O171" t="n">
        <v>2</v>
      </c>
      <c r="P171" t="n">
        <v>0</v>
      </c>
      <c r="Q171" t="n">
        <v>3</v>
      </c>
      <c r="R171" s="2" t="inlineStr">
        <is>
          <t>Kolflarnlav
Lunglav
Plattlummer</t>
        </is>
      </c>
      <c r="S171">
        <f>HYPERLINK("https://klasma.github.io/Logging_2161/artfynd/A 31473-2023 artfynd.xlsx", "A 31473-2023")</f>
        <v/>
      </c>
      <c r="T171">
        <f>HYPERLINK("https://klasma.github.io/Logging_2161/kartor/A 31473-2023 karta.png", "A 31473-2023")</f>
        <v/>
      </c>
      <c r="V171">
        <f>HYPERLINK("https://klasma.github.io/Logging_2161/klagomål/A 31473-2023 FSC-klagomål.docx", "A 31473-2023")</f>
        <v/>
      </c>
      <c r="W171">
        <f>HYPERLINK("https://klasma.github.io/Logging_2161/klagomålsmail/A 31473-2023 FSC-klagomål mail.docx", "A 31473-2023")</f>
        <v/>
      </c>
      <c r="X171">
        <f>HYPERLINK("https://klasma.github.io/Logging_2161/tillsyn/A 31473-2023 tillsynsbegäran.docx", "A 31473-2023")</f>
        <v/>
      </c>
      <c r="Y171">
        <f>HYPERLINK("https://klasma.github.io/Logging_2161/tillsynsmail/A 31473-2023 tillsynsbegäran mail.docx", "A 31473-2023")</f>
        <v/>
      </c>
    </row>
    <row r="172" ht="15" customHeight="1">
      <c r="A172" t="inlineStr">
        <is>
          <t>A 32677-2023</t>
        </is>
      </c>
      <c r="B172" s="1" t="n">
        <v>45121</v>
      </c>
      <c r="C172" s="1" t="n">
        <v>45352</v>
      </c>
      <c r="D172" t="inlineStr">
        <is>
          <t>GÄVLEBORGS LÄN</t>
        </is>
      </c>
      <c r="E172" t="inlineStr">
        <is>
          <t>GÄVLE</t>
        </is>
      </c>
      <c r="G172" t="n">
        <v>20.7</v>
      </c>
      <c r="H172" t="n">
        <v>1</v>
      </c>
      <c r="I172" t="n">
        <v>1</v>
      </c>
      <c r="J172" t="n">
        <v>0</v>
      </c>
      <c r="K172" t="n">
        <v>1</v>
      </c>
      <c r="L172" t="n">
        <v>0</v>
      </c>
      <c r="M172" t="n">
        <v>0</v>
      </c>
      <c r="N172" t="n">
        <v>0</v>
      </c>
      <c r="O172" t="n">
        <v>1</v>
      </c>
      <c r="P172" t="n">
        <v>1</v>
      </c>
      <c r="Q172" t="n">
        <v>3</v>
      </c>
      <c r="R172" s="2" t="inlineStr">
        <is>
          <t>Glesgröe
Spädstarr
Blåsippa</t>
        </is>
      </c>
      <c r="S172">
        <f>HYPERLINK("https://klasma.github.io/Logging_2180/artfynd/A 32677-2023 artfynd.xlsx", "A 32677-2023")</f>
        <v/>
      </c>
      <c r="T172">
        <f>HYPERLINK("https://klasma.github.io/Logging_2180/kartor/A 32677-2023 karta.png", "A 32677-2023")</f>
        <v/>
      </c>
      <c r="V172">
        <f>HYPERLINK("https://klasma.github.io/Logging_2180/klagomål/A 32677-2023 FSC-klagomål.docx", "A 32677-2023")</f>
        <v/>
      </c>
      <c r="W172">
        <f>HYPERLINK("https://klasma.github.io/Logging_2180/klagomålsmail/A 32677-2023 FSC-klagomål mail.docx", "A 32677-2023")</f>
        <v/>
      </c>
      <c r="X172">
        <f>HYPERLINK("https://klasma.github.io/Logging_2180/tillsyn/A 32677-2023 tillsynsbegäran.docx", "A 32677-2023")</f>
        <v/>
      </c>
      <c r="Y172">
        <f>HYPERLINK("https://klasma.github.io/Logging_2180/tillsynsmail/A 32677-2023 tillsynsbegäran mail.docx", "A 32677-2023")</f>
        <v/>
      </c>
    </row>
    <row r="173" ht="15" customHeight="1">
      <c r="A173" t="inlineStr">
        <is>
          <t>A 33691-2023</t>
        </is>
      </c>
      <c r="B173" s="1" t="n">
        <v>45132</v>
      </c>
      <c r="C173" s="1" t="n">
        <v>45352</v>
      </c>
      <c r="D173" t="inlineStr">
        <is>
          <t>GÄVLEBORGS LÄN</t>
        </is>
      </c>
      <c r="E173" t="inlineStr">
        <is>
          <t>NORDANSTIG</t>
        </is>
      </c>
      <c r="F173" t="inlineStr">
        <is>
          <t>Holmen skog AB</t>
        </is>
      </c>
      <c r="G173" t="n">
        <v>2.7</v>
      </c>
      <c r="H173" t="n">
        <v>0</v>
      </c>
      <c r="I173" t="n">
        <v>2</v>
      </c>
      <c r="J173" t="n">
        <v>1</v>
      </c>
      <c r="K173" t="n">
        <v>0</v>
      </c>
      <c r="L173" t="n">
        <v>0</v>
      </c>
      <c r="M173" t="n">
        <v>0</v>
      </c>
      <c r="N173" t="n">
        <v>0</v>
      </c>
      <c r="O173" t="n">
        <v>1</v>
      </c>
      <c r="P173" t="n">
        <v>0</v>
      </c>
      <c r="Q173" t="n">
        <v>3</v>
      </c>
      <c r="R173" s="2" t="inlineStr">
        <is>
          <t>Ullticka
Skogshakmossa
Vågbandad barkbock</t>
        </is>
      </c>
      <c r="S173">
        <f>HYPERLINK("https://klasma.github.io/Logging_2132/artfynd/A 33691-2023 artfynd.xlsx", "A 33691-2023")</f>
        <v/>
      </c>
      <c r="T173">
        <f>HYPERLINK("https://klasma.github.io/Logging_2132/kartor/A 33691-2023 karta.png", "A 33691-2023")</f>
        <v/>
      </c>
      <c r="V173">
        <f>HYPERLINK("https://klasma.github.io/Logging_2132/klagomål/A 33691-2023 FSC-klagomål.docx", "A 33691-2023")</f>
        <v/>
      </c>
      <c r="W173">
        <f>HYPERLINK("https://klasma.github.io/Logging_2132/klagomålsmail/A 33691-2023 FSC-klagomål mail.docx", "A 33691-2023")</f>
        <v/>
      </c>
      <c r="X173">
        <f>HYPERLINK("https://klasma.github.io/Logging_2132/tillsyn/A 33691-2023 tillsynsbegäran.docx", "A 33691-2023")</f>
        <v/>
      </c>
      <c r="Y173">
        <f>HYPERLINK("https://klasma.github.io/Logging_2132/tillsynsmail/A 33691-2023 tillsynsbegäran mail.docx", "A 33691-2023")</f>
        <v/>
      </c>
    </row>
    <row r="174" ht="15" customHeight="1">
      <c r="A174" t="inlineStr">
        <is>
          <t>A 33783-2023</t>
        </is>
      </c>
      <c r="B174" s="1" t="n">
        <v>45133</v>
      </c>
      <c r="C174" s="1" t="n">
        <v>45352</v>
      </c>
      <c r="D174" t="inlineStr">
        <is>
          <t>GÄVLEBORGS LÄN</t>
        </is>
      </c>
      <c r="E174" t="inlineStr">
        <is>
          <t>HUDIKSVALL</t>
        </is>
      </c>
      <c r="F174" t="inlineStr">
        <is>
          <t>Holmen skog AB</t>
        </is>
      </c>
      <c r="G174" t="n">
        <v>2.6</v>
      </c>
      <c r="H174" t="n">
        <v>0</v>
      </c>
      <c r="I174" t="n">
        <v>1</v>
      </c>
      <c r="J174" t="n">
        <v>2</v>
      </c>
      <c r="K174" t="n">
        <v>0</v>
      </c>
      <c r="L174" t="n">
        <v>0</v>
      </c>
      <c r="M174" t="n">
        <v>0</v>
      </c>
      <c r="N174" t="n">
        <v>0</v>
      </c>
      <c r="O174" t="n">
        <v>2</v>
      </c>
      <c r="P174" t="n">
        <v>0</v>
      </c>
      <c r="Q174" t="n">
        <v>3</v>
      </c>
      <c r="R174" s="2" t="inlineStr">
        <is>
          <t>Garnlav
Lunglav
Stuplav</t>
        </is>
      </c>
      <c r="S174">
        <f>HYPERLINK("https://klasma.github.io/Logging_2184/artfynd/A 33783-2023 artfynd.xlsx", "A 33783-2023")</f>
        <v/>
      </c>
      <c r="T174">
        <f>HYPERLINK("https://klasma.github.io/Logging_2184/kartor/A 33783-2023 karta.png", "A 33783-2023")</f>
        <v/>
      </c>
      <c r="V174">
        <f>HYPERLINK("https://klasma.github.io/Logging_2184/klagomål/A 33783-2023 FSC-klagomål.docx", "A 33783-2023")</f>
        <v/>
      </c>
      <c r="W174">
        <f>HYPERLINK("https://klasma.github.io/Logging_2184/klagomålsmail/A 33783-2023 FSC-klagomål mail.docx", "A 33783-2023")</f>
        <v/>
      </c>
      <c r="X174">
        <f>HYPERLINK("https://klasma.github.io/Logging_2184/tillsyn/A 33783-2023 tillsynsbegäran.docx", "A 33783-2023")</f>
        <v/>
      </c>
      <c r="Y174">
        <f>HYPERLINK("https://klasma.github.io/Logging_2184/tillsynsmail/A 33783-2023 tillsynsbegäran mail.docx", "A 33783-2023")</f>
        <v/>
      </c>
    </row>
    <row r="175" ht="15" customHeight="1">
      <c r="A175" t="inlineStr">
        <is>
          <t>A 36196-2023</t>
        </is>
      </c>
      <c r="B175" s="1" t="n">
        <v>45149</v>
      </c>
      <c r="C175" s="1" t="n">
        <v>45352</v>
      </c>
      <c r="D175" t="inlineStr">
        <is>
          <t>GÄVLEBORGS LÄN</t>
        </is>
      </c>
      <c r="E175" t="inlineStr">
        <is>
          <t>HUDIKSVALL</t>
        </is>
      </c>
      <c r="F175" t="inlineStr">
        <is>
          <t>Holmen skog AB</t>
        </is>
      </c>
      <c r="G175" t="n">
        <v>11.8</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HYPERLINK("https://klasma.github.io/Logging_2184/artfynd/A 36196-2023 artfynd.xlsx", "A 36196-2023")</f>
        <v/>
      </c>
      <c r="T175">
        <f>HYPERLINK("https://klasma.github.io/Logging_2184/kartor/A 36196-2023 karta.png", "A 36196-2023")</f>
        <v/>
      </c>
      <c r="U175">
        <f>HYPERLINK("https://klasma.github.io/Logging_2184/knärot/A 36196-2023 karta knärot.png", "A 36196-2023")</f>
        <v/>
      </c>
      <c r="V175">
        <f>HYPERLINK("https://klasma.github.io/Logging_2184/klagomål/A 36196-2023 FSC-klagomål.docx", "A 36196-2023")</f>
        <v/>
      </c>
      <c r="W175">
        <f>HYPERLINK("https://klasma.github.io/Logging_2184/klagomålsmail/A 36196-2023 FSC-klagomål mail.docx", "A 36196-2023")</f>
        <v/>
      </c>
      <c r="X175">
        <f>HYPERLINK("https://klasma.github.io/Logging_2184/tillsyn/A 36196-2023 tillsynsbegäran.docx", "A 36196-2023")</f>
        <v/>
      </c>
      <c r="Y175">
        <f>HYPERLINK("https://klasma.github.io/Logging_2184/tillsynsmail/A 36196-2023 tillsynsbegäran mail.docx", "A 36196-2023")</f>
        <v/>
      </c>
    </row>
    <row r="176" ht="15" customHeight="1">
      <c r="A176" t="inlineStr">
        <is>
          <t>A 39885-2023</t>
        </is>
      </c>
      <c r="B176" s="1" t="n">
        <v>45168</v>
      </c>
      <c r="C176" s="1" t="n">
        <v>45352</v>
      </c>
      <c r="D176" t="inlineStr">
        <is>
          <t>GÄVLEBORGS LÄN</t>
        </is>
      </c>
      <c r="E176" t="inlineStr">
        <is>
          <t>SÖDERHAMN</t>
        </is>
      </c>
      <c r="G176" t="n">
        <v>2.9</v>
      </c>
      <c r="H176" t="n">
        <v>0</v>
      </c>
      <c r="I176" t="n">
        <v>2</v>
      </c>
      <c r="J176" t="n">
        <v>1</v>
      </c>
      <c r="K176" t="n">
        <v>0</v>
      </c>
      <c r="L176" t="n">
        <v>0</v>
      </c>
      <c r="M176" t="n">
        <v>0</v>
      </c>
      <c r="N176" t="n">
        <v>0</v>
      </c>
      <c r="O176" t="n">
        <v>1</v>
      </c>
      <c r="P176" t="n">
        <v>0</v>
      </c>
      <c r="Q176" t="n">
        <v>3</v>
      </c>
      <c r="R176" s="2" t="inlineStr">
        <is>
          <t>Hapalopilus aurantiacus
Blodticka
Sotriska</t>
        </is>
      </c>
      <c r="S176">
        <f>HYPERLINK("https://klasma.github.io/Logging_2182/artfynd/A 39885-2023 artfynd.xlsx", "A 39885-2023")</f>
        <v/>
      </c>
      <c r="T176">
        <f>HYPERLINK("https://klasma.github.io/Logging_2182/kartor/A 39885-2023 karta.png", "A 39885-2023")</f>
        <v/>
      </c>
      <c r="V176">
        <f>HYPERLINK("https://klasma.github.io/Logging_2182/klagomål/A 39885-2023 FSC-klagomål.docx", "A 39885-2023")</f>
        <v/>
      </c>
      <c r="W176">
        <f>HYPERLINK("https://klasma.github.io/Logging_2182/klagomålsmail/A 39885-2023 FSC-klagomål mail.docx", "A 39885-2023")</f>
        <v/>
      </c>
      <c r="X176">
        <f>HYPERLINK("https://klasma.github.io/Logging_2182/tillsyn/A 39885-2023 tillsynsbegäran.docx", "A 39885-2023")</f>
        <v/>
      </c>
      <c r="Y176">
        <f>HYPERLINK("https://klasma.github.io/Logging_2182/tillsynsmail/A 39885-2023 tillsynsbegäran mail.docx", "A 39885-2023")</f>
        <v/>
      </c>
    </row>
    <row r="177" ht="15" customHeight="1">
      <c r="A177" t="inlineStr">
        <is>
          <t>A 45306-2023</t>
        </is>
      </c>
      <c r="B177" s="1" t="n">
        <v>45191</v>
      </c>
      <c r="C177" s="1" t="n">
        <v>45352</v>
      </c>
      <c r="D177" t="inlineStr">
        <is>
          <t>GÄVLEBORGS LÄN</t>
        </is>
      </c>
      <c r="E177" t="inlineStr">
        <is>
          <t>HOFORS</t>
        </is>
      </c>
      <c r="F177" t="inlineStr">
        <is>
          <t>Sveaskog</t>
        </is>
      </c>
      <c r="G177" t="n">
        <v>2.9</v>
      </c>
      <c r="H177" t="n">
        <v>1</v>
      </c>
      <c r="I177" t="n">
        <v>1</v>
      </c>
      <c r="J177" t="n">
        <v>2</v>
      </c>
      <c r="K177" t="n">
        <v>0</v>
      </c>
      <c r="L177" t="n">
        <v>0</v>
      </c>
      <c r="M177" t="n">
        <v>0</v>
      </c>
      <c r="N177" t="n">
        <v>0</v>
      </c>
      <c r="O177" t="n">
        <v>2</v>
      </c>
      <c r="P177" t="n">
        <v>0</v>
      </c>
      <c r="Q177" t="n">
        <v>3</v>
      </c>
      <c r="R177" s="2" t="inlineStr">
        <is>
          <t>Motaggsvamp
Talltita
Mindre märgborre</t>
        </is>
      </c>
      <c r="S177">
        <f>HYPERLINK("https://klasma.github.io/Logging_2104/artfynd/A 45306-2023 artfynd.xlsx", "A 45306-2023")</f>
        <v/>
      </c>
      <c r="T177">
        <f>HYPERLINK("https://klasma.github.io/Logging_2104/kartor/A 45306-2023 karta.png", "A 45306-2023")</f>
        <v/>
      </c>
      <c r="V177">
        <f>HYPERLINK("https://klasma.github.io/Logging_2104/klagomål/A 45306-2023 FSC-klagomål.docx", "A 45306-2023")</f>
        <v/>
      </c>
      <c r="W177">
        <f>HYPERLINK("https://klasma.github.io/Logging_2104/klagomålsmail/A 45306-2023 FSC-klagomål mail.docx", "A 45306-2023")</f>
        <v/>
      </c>
      <c r="X177">
        <f>HYPERLINK("https://klasma.github.io/Logging_2104/tillsyn/A 45306-2023 tillsynsbegäran.docx", "A 45306-2023")</f>
        <v/>
      </c>
      <c r="Y177">
        <f>HYPERLINK("https://klasma.github.io/Logging_2104/tillsynsmail/A 45306-2023 tillsynsbegäran mail.docx", "A 45306-2023")</f>
        <v/>
      </c>
      <c r="Z177">
        <f>HYPERLINK("https://klasma.github.io/Logging_2104/fåglar/A 45306-2023 prioriterade fågelarter.docx", "A 45306-2023")</f>
        <v/>
      </c>
    </row>
    <row r="178" ht="15" customHeight="1">
      <c r="A178" t="inlineStr">
        <is>
          <t>A 50217-2023</t>
        </is>
      </c>
      <c r="B178" s="1" t="n">
        <v>45215</v>
      </c>
      <c r="C178" s="1" t="n">
        <v>45352</v>
      </c>
      <c r="D178" t="inlineStr">
        <is>
          <t>GÄVLEBORGS LÄN</t>
        </is>
      </c>
      <c r="E178" t="inlineStr">
        <is>
          <t>SÖDERHAMN</t>
        </is>
      </c>
      <c r="G178" t="n">
        <v>13.6</v>
      </c>
      <c r="H178" t="n">
        <v>0</v>
      </c>
      <c r="I178" t="n">
        <v>1</v>
      </c>
      <c r="J178" t="n">
        <v>2</v>
      </c>
      <c r="K178" t="n">
        <v>0</v>
      </c>
      <c r="L178" t="n">
        <v>0</v>
      </c>
      <c r="M178" t="n">
        <v>0</v>
      </c>
      <c r="N178" t="n">
        <v>0</v>
      </c>
      <c r="O178" t="n">
        <v>2</v>
      </c>
      <c r="P178" t="n">
        <v>0</v>
      </c>
      <c r="Q178" t="n">
        <v>3</v>
      </c>
      <c r="R178" s="2" t="inlineStr">
        <is>
          <t>Dofttaggsvamp
Gropticka
Dropptaggsvamp</t>
        </is>
      </c>
      <c r="S178">
        <f>HYPERLINK("https://klasma.github.io/Logging_2182/artfynd/A 50217-2023 artfynd.xlsx", "A 50217-2023")</f>
        <v/>
      </c>
      <c r="T178">
        <f>HYPERLINK("https://klasma.github.io/Logging_2182/kartor/A 50217-2023 karta.png", "A 50217-2023")</f>
        <v/>
      </c>
      <c r="V178">
        <f>HYPERLINK("https://klasma.github.io/Logging_2182/klagomål/A 50217-2023 FSC-klagomål.docx", "A 50217-2023")</f>
        <v/>
      </c>
      <c r="W178">
        <f>HYPERLINK("https://klasma.github.io/Logging_2182/klagomålsmail/A 50217-2023 FSC-klagomål mail.docx", "A 50217-2023")</f>
        <v/>
      </c>
      <c r="X178">
        <f>HYPERLINK("https://klasma.github.io/Logging_2182/tillsyn/A 50217-2023 tillsynsbegäran.docx", "A 50217-2023")</f>
        <v/>
      </c>
      <c r="Y178">
        <f>HYPERLINK("https://klasma.github.io/Logging_2182/tillsynsmail/A 50217-2023 tillsynsbegäran mail.docx", "A 50217-2023")</f>
        <v/>
      </c>
    </row>
    <row r="179" ht="15" customHeight="1">
      <c r="A179" t="inlineStr">
        <is>
          <t>A 64533-2023</t>
        </is>
      </c>
      <c r="B179" s="1" t="n">
        <v>45281</v>
      </c>
      <c r="C179" s="1" t="n">
        <v>45352</v>
      </c>
      <c r="D179" t="inlineStr">
        <is>
          <t>GÄVLEBORGS LÄN</t>
        </is>
      </c>
      <c r="E179" t="inlineStr">
        <is>
          <t>GÄVLE</t>
        </is>
      </c>
      <c r="G179" t="n">
        <v>1.1</v>
      </c>
      <c r="H179" t="n">
        <v>0</v>
      </c>
      <c r="I179" t="n">
        <v>2</v>
      </c>
      <c r="J179" t="n">
        <v>1</v>
      </c>
      <c r="K179" t="n">
        <v>0</v>
      </c>
      <c r="L179" t="n">
        <v>0</v>
      </c>
      <c r="M179" t="n">
        <v>0</v>
      </c>
      <c r="N179" t="n">
        <v>0</v>
      </c>
      <c r="O179" t="n">
        <v>1</v>
      </c>
      <c r="P179" t="n">
        <v>0</v>
      </c>
      <c r="Q179" t="n">
        <v>3</v>
      </c>
      <c r="R179" s="2" t="inlineStr">
        <is>
          <t>Asppraktbagge
Aspvedgnagare
Jättesvampmal</t>
        </is>
      </c>
      <c r="S179">
        <f>HYPERLINK("https://klasma.github.io/Logging_2180/artfynd/A 64533-2023 artfynd.xlsx", "A 64533-2023")</f>
        <v/>
      </c>
      <c r="T179">
        <f>HYPERLINK("https://klasma.github.io/Logging_2180/kartor/A 64533-2023 karta.png", "A 64533-2023")</f>
        <v/>
      </c>
      <c r="V179">
        <f>HYPERLINK("https://klasma.github.io/Logging_2180/klagomål/A 64533-2023 FSC-klagomål.docx", "A 64533-2023")</f>
        <v/>
      </c>
      <c r="W179">
        <f>HYPERLINK("https://klasma.github.io/Logging_2180/klagomålsmail/A 64533-2023 FSC-klagomål mail.docx", "A 64533-2023")</f>
        <v/>
      </c>
      <c r="X179">
        <f>HYPERLINK("https://klasma.github.io/Logging_2180/tillsyn/A 64533-2023 tillsynsbegäran.docx", "A 64533-2023")</f>
        <v/>
      </c>
      <c r="Y179">
        <f>HYPERLINK("https://klasma.github.io/Logging_2180/tillsynsmail/A 64533-2023 tillsynsbegäran mail.docx", "A 64533-2023")</f>
        <v/>
      </c>
    </row>
    <row r="180" ht="15" customHeight="1">
      <c r="A180" t="inlineStr">
        <is>
          <t>A 38216-2018</t>
        </is>
      </c>
      <c r="B180" s="1" t="n">
        <v>43338</v>
      </c>
      <c r="C180" s="1" t="n">
        <v>45352</v>
      </c>
      <c r="D180" t="inlineStr">
        <is>
          <t>GÄVLEBORGS LÄN</t>
        </is>
      </c>
      <c r="E180" t="inlineStr">
        <is>
          <t>LJUSDAL</t>
        </is>
      </c>
      <c r="G180" t="n">
        <v>138</v>
      </c>
      <c r="H180" t="n">
        <v>1</v>
      </c>
      <c r="I180" t="n">
        <v>0</v>
      </c>
      <c r="J180" t="n">
        <v>0</v>
      </c>
      <c r="K180" t="n">
        <v>0</v>
      </c>
      <c r="L180" t="n">
        <v>1</v>
      </c>
      <c r="M180" t="n">
        <v>0</v>
      </c>
      <c r="N180" t="n">
        <v>0</v>
      </c>
      <c r="O180" t="n">
        <v>1</v>
      </c>
      <c r="P180" t="n">
        <v>1</v>
      </c>
      <c r="Q180" t="n">
        <v>2</v>
      </c>
      <c r="R180" s="2" t="inlineStr">
        <is>
          <t>Flodpärlmussla
Myggblomster</t>
        </is>
      </c>
      <c r="S180">
        <f>HYPERLINK("https://klasma.github.io/Logging_2161/artfynd/A 38216-2018 artfynd.xlsx", "A 38216-2018")</f>
        <v/>
      </c>
      <c r="T180">
        <f>HYPERLINK("https://klasma.github.io/Logging_2161/kartor/A 38216-2018 karta.png", "A 38216-2018")</f>
        <v/>
      </c>
      <c r="V180">
        <f>HYPERLINK("https://klasma.github.io/Logging_2161/klagomål/A 38216-2018 FSC-klagomål.docx", "A 38216-2018")</f>
        <v/>
      </c>
      <c r="W180">
        <f>HYPERLINK("https://klasma.github.io/Logging_2161/klagomålsmail/A 38216-2018 FSC-klagomål mail.docx", "A 38216-2018")</f>
        <v/>
      </c>
      <c r="X180">
        <f>HYPERLINK("https://klasma.github.io/Logging_2161/tillsyn/A 38216-2018 tillsynsbegäran.docx", "A 38216-2018")</f>
        <v/>
      </c>
      <c r="Y180">
        <f>HYPERLINK("https://klasma.github.io/Logging_2161/tillsynsmail/A 38216-2018 tillsynsbegäran mail.docx", "A 38216-2018")</f>
        <v/>
      </c>
    </row>
    <row r="181" ht="15" customHeight="1">
      <c r="A181" t="inlineStr">
        <is>
          <t>A 42763-2018</t>
        </is>
      </c>
      <c r="B181" s="1" t="n">
        <v>43354</v>
      </c>
      <c r="C181" s="1" t="n">
        <v>45352</v>
      </c>
      <c r="D181" t="inlineStr">
        <is>
          <t>GÄVLEBORGS LÄN</t>
        </is>
      </c>
      <c r="E181" t="inlineStr">
        <is>
          <t>LJUSDAL</t>
        </is>
      </c>
      <c r="F181" t="inlineStr">
        <is>
          <t>Holmen skog AB</t>
        </is>
      </c>
      <c r="G181" t="n">
        <v>165.3</v>
      </c>
      <c r="H181" t="n">
        <v>2</v>
      </c>
      <c r="I181" t="n">
        <v>0</v>
      </c>
      <c r="J181" t="n">
        <v>2</v>
      </c>
      <c r="K181" t="n">
        <v>0</v>
      </c>
      <c r="L181" t="n">
        <v>0</v>
      </c>
      <c r="M181" t="n">
        <v>0</v>
      </c>
      <c r="N181" t="n">
        <v>0</v>
      </c>
      <c r="O181" t="n">
        <v>2</v>
      </c>
      <c r="P181" t="n">
        <v>0</v>
      </c>
      <c r="Q181" t="n">
        <v>2</v>
      </c>
      <c r="R181" s="2" t="inlineStr">
        <is>
          <t>Drillsnäppa
Järpe</t>
        </is>
      </c>
      <c r="S181">
        <f>HYPERLINK("https://klasma.github.io/Logging_2161/artfynd/A 42763-2018 artfynd.xlsx", "A 42763-2018")</f>
        <v/>
      </c>
      <c r="T181">
        <f>HYPERLINK("https://klasma.github.io/Logging_2161/kartor/A 42763-2018 karta.png", "A 42763-2018")</f>
        <v/>
      </c>
      <c r="V181">
        <f>HYPERLINK("https://klasma.github.io/Logging_2161/klagomål/A 42763-2018 FSC-klagomål.docx", "A 42763-2018")</f>
        <v/>
      </c>
      <c r="W181">
        <f>HYPERLINK("https://klasma.github.io/Logging_2161/klagomålsmail/A 42763-2018 FSC-klagomål mail.docx", "A 42763-2018")</f>
        <v/>
      </c>
      <c r="X181">
        <f>HYPERLINK("https://klasma.github.io/Logging_2161/tillsyn/A 42763-2018 tillsynsbegäran.docx", "A 42763-2018")</f>
        <v/>
      </c>
      <c r="Y181">
        <f>HYPERLINK("https://klasma.github.io/Logging_2161/tillsynsmail/A 42763-2018 tillsynsbegäran mail.docx", "A 42763-2018")</f>
        <v/>
      </c>
      <c r="Z181">
        <f>HYPERLINK("https://klasma.github.io/Logging_2161/fåglar/A 42763-2018 prioriterade fågelarter.docx", "A 42763-2018")</f>
        <v/>
      </c>
    </row>
    <row r="182" ht="15" customHeight="1">
      <c r="A182" t="inlineStr">
        <is>
          <t>A 49899-2018</t>
        </is>
      </c>
      <c r="B182" s="1" t="n">
        <v>43377</v>
      </c>
      <c r="C182" s="1" t="n">
        <v>45352</v>
      </c>
      <c r="D182" t="inlineStr">
        <is>
          <t>GÄVLEBORGS LÄN</t>
        </is>
      </c>
      <c r="E182" t="inlineStr">
        <is>
          <t>LJUSDAL</t>
        </is>
      </c>
      <c r="G182" t="n">
        <v>43.6</v>
      </c>
      <c r="H182" t="n">
        <v>2</v>
      </c>
      <c r="I182" t="n">
        <v>0</v>
      </c>
      <c r="J182" t="n">
        <v>0</v>
      </c>
      <c r="K182" t="n">
        <v>0</v>
      </c>
      <c r="L182" t="n">
        <v>1</v>
      </c>
      <c r="M182" t="n">
        <v>0</v>
      </c>
      <c r="N182" t="n">
        <v>0</v>
      </c>
      <c r="O182" t="n">
        <v>1</v>
      </c>
      <c r="P182" t="n">
        <v>1</v>
      </c>
      <c r="Q182" t="n">
        <v>2</v>
      </c>
      <c r="R182" s="2" t="inlineStr">
        <is>
          <t>Mosippa
Mattlummer</t>
        </is>
      </c>
      <c r="S182">
        <f>HYPERLINK("https://klasma.github.io/Logging_2161/artfynd/A 49899-2018 artfynd.xlsx", "A 49899-2018")</f>
        <v/>
      </c>
      <c r="T182">
        <f>HYPERLINK("https://klasma.github.io/Logging_2161/kartor/A 49899-2018 karta.png", "A 49899-2018")</f>
        <v/>
      </c>
      <c r="V182">
        <f>HYPERLINK("https://klasma.github.io/Logging_2161/klagomål/A 49899-2018 FSC-klagomål.docx", "A 49899-2018")</f>
        <v/>
      </c>
      <c r="W182">
        <f>HYPERLINK("https://klasma.github.io/Logging_2161/klagomålsmail/A 49899-2018 FSC-klagomål mail.docx", "A 49899-2018")</f>
        <v/>
      </c>
      <c r="X182">
        <f>HYPERLINK("https://klasma.github.io/Logging_2161/tillsyn/A 49899-2018 tillsynsbegäran.docx", "A 49899-2018")</f>
        <v/>
      </c>
      <c r="Y182">
        <f>HYPERLINK("https://klasma.github.io/Logging_2161/tillsynsmail/A 49899-2018 tillsynsbegäran mail.docx", "A 49899-2018")</f>
        <v/>
      </c>
    </row>
    <row r="183" ht="15" customHeight="1">
      <c r="A183" t="inlineStr">
        <is>
          <t>A 50872-2018</t>
        </is>
      </c>
      <c r="B183" s="1" t="n">
        <v>43381</v>
      </c>
      <c r="C183" s="1" t="n">
        <v>45352</v>
      </c>
      <c r="D183" t="inlineStr">
        <is>
          <t>GÄVLEBORGS LÄN</t>
        </is>
      </c>
      <c r="E183" t="inlineStr">
        <is>
          <t>LJUSDAL</t>
        </is>
      </c>
      <c r="F183" t="inlineStr">
        <is>
          <t>SCA</t>
        </is>
      </c>
      <c r="G183" t="n">
        <v>19.9</v>
      </c>
      <c r="H183" t="n">
        <v>0</v>
      </c>
      <c r="I183" t="n">
        <v>1</v>
      </c>
      <c r="J183" t="n">
        <v>1</v>
      </c>
      <c r="K183" t="n">
        <v>0</v>
      </c>
      <c r="L183" t="n">
        <v>0</v>
      </c>
      <c r="M183" t="n">
        <v>0</v>
      </c>
      <c r="N183" t="n">
        <v>0</v>
      </c>
      <c r="O183" t="n">
        <v>1</v>
      </c>
      <c r="P183" t="n">
        <v>0</v>
      </c>
      <c r="Q183" t="n">
        <v>2</v>
      </c>
      <c r="R183" s="2" t="inlineStr">
        <is>
          <t>Garnlav
Stor aspticka</t>
        </is>
      </c>
      <c r="S183">
        <f>HYPERLINK("https://klasma.github.io/Logging_2161/artfynd/A 50872-2018 artfynd.xlsx", "A 50872-2018")</f>
        <v/>
      </c>
      <c r="T183">
        <f>HYPERLINK("https://klasma.github.io/Logging_2161/kartor/A 50872-2018 karta.png", "A 50872-2018")</f>
        <v/>
      </c>
      <c r="V183">
        <f>HYPERLINK("https://klasma.github.io/Logging_2161/klagomål/A 50872-2018 FSC-klagomål.docx", "A 50872-2018")</f>
        <v/>
      </c>
      <c r="W183">
        <f>HYPERLINK("https://klasma.github.io/Logging_2161/klagomålsmail/A 50872-2018 FSC-klagomål mail.docx", "A 50872-2018")</f>
        <v/>
      </c>
      <c r="X183">
        <f>HYPERLINK("https://klasma.github.io/Logging_2161/tillsyn/A 50872-2018 tillsynsbegäran.docx", "A 50872-2018")</f>
        <v/>
      </c>
      <c r="Y183">
        <f>HYPERLINK("https://klasma.github.io/Logging_2161/tillsynsmail/A 50872-2018 tillsynsbegäran mail.docx", "A 50872-2018")</f>
        <v/>
      </c>
    </row>
    <row r="184" ht="15" customHeight="1">
      <c r="A184" t="inlineStr">
        <is>
          <t>A 2528-2019</t>
        </is>
      </c>
      <c r="B184" s="1" t="n">
        <v>43476</v>
      </c>
      <c r="C184" s="1" t="n">
        <v>45352</v>
      </c>
      <c r="D184" t="inlineStr">
        <is>
          <t>GÄVLEBORGS LÄN</t>
        </is>
      </c>
      <c r="E184" t="inlineStr">
        <is>
          <t>LJUSDAL</t>
        </is>
      </c>
      <c r="G184" t="n">
        <v>130.7</v>
      </c>
      <c r="H184" t="n">
        <v>2</v>
      </c>
      <c r="I184" t="n">
        <v>0</v>
      </c>
      <c r="J184" t="n">
        <v>0</v>
      </c>
      <c r="K184" t="n">
        <v>0</v>
      </c>
      <c r="L184" t="n">
        <v>0</v>
      </c>
      <c r="M184" t="n">
        <v>0</v>
      </c>
      <c r="N184" t="n">
        <v>0</v>
      </c>
      <c r="O184" t="n">
        <v>0</v>
      </c>
      <c r="P184" t="n">
        <v>0</v>
      </c>
      <c r="Q184" t="n">
        <v>2</v>
      </c>
      <c r="R184" s="2" t="inlineStr">
        <is>
          <t>Lopplummer
Revlummer</t>
        </is>
      </c>
      <c r="S184">
        <f>HYPERLINK("https://klasma.github.io/Logging_2161/artfynd/A 2528-2019 artfynd.xlsx", "A 2528-2019")</f>
        <v/>
      </c>
      <c r="T184">
        <f>HYPERLINK("https://klasma.github.io/Logging_2161/kartor/A 2528-2019 karta.png", "A 2528-2019")</f>
        <v/>
      </c>
      <c r="V184">
        <f>HYPERLINK("https://klasma.github.io/Logging_2161/klagomål/A 2528-2019 FSC-klagomål.docx", "A 2528-2019")</f>
        <v/>
      </c>
      <c r="W184">
        <f>HYPERLINK("https://klasma.github.io/Logging_2161/klagomålsmail/A 2528-2019 FSC-klagomål mail.docx", "A 2528-2019")</f>
        <v/>
      </c>
      <c r="X184">
        <f>HYPERLINK("https://klasma.github.io/Logging_2161/tillsyn/A 2528-2019 tillsynsbegäran.docx", "A 2528-2019")</f>
        <v/>
      </c>
      <c r="Y184">
        <f>HYPERLINK("https://klasma.github.io/Logging_2161/tillsynsmail/A 2528-2019 tillsynsbegäran mail.docx", "A 2528-2019")</f>
        <v/>
      </c>
    </row>
    <row r="185" ht="15" customHeight="1">
      <c r="A185" t="inlineStr">
        <is>
          <t>A 17913-2019</t>
        </is>
      </c>
      <c r="B185" s="1" t="n">
        <v>43557</v>
      </c>
      <c r="C185" s="1" t="n">
        <v>45352</v>
      </c>
      <c r="D185" t="inlineStr">
        <is>
          <t>GÄVLEBORGS LÄN</t>
        </is>
      </c>
      <c r="E185" t="inlineStr">
        <is>
          <t>NORDANSTIG</t>
        </is>
      </c>
      <c r="F185" t="inlineStr">
        <is>
          <t>Holmen skog AB</t>
        </is>
      </c>
      <c r="G185" t="n">
        <v>6.6</v>
      </c>
      <c r="H185" t="n">
        <v>1</v>
      </c>
      <c r="I185" t="n">
        <v>1</v>
      </c>
      <c r="J185" t="n">
        <v>0</v>
      </c>
      <c r="K185" t="n">
        <v>0</v>
      </c>
      <c r="L185" t="n">
        <v>0</v>
      </c>
      <c r="M185" t="n">
        <v>0</v>
      </c>
      <c r="N185" t="n">
        <v>0</v>
      </c>
      <c r="O185" t="n">
        <v>0</v>
      </c>
      <c r="P185" t="n">
        <v>0</v>
      </c>
      <c r="Q185" t="n">
        <v>2</v>
      </c>
      <c r="R185" s="2" t="inlineStr">
        <is>
          <t>Skinnlav
Fläcknycklar</t>
        </is>
      </c>
      <c r="S185">
        <f>HYPERLINK("https://klasma.github.io/Logging_2132/artfynd/A 17913-2019 artfynd.xlsx", "A 17913-2019")</f>
        <v/>
      </c>
      <c r="T185">
        <f>HYPERLINK("https://klasma.github.io/Logging_2132/kartor/A 17913-2019 karta.png", "A 17913-2019")</f>
        <v/>
      </c>
      <c r="V185">
        <f>HYPERLINK("https://klasma.github.io/Logging_2132/klagomål/A 17913-2019 FSC-klagomål.docx", "A 17913-2019")</f>
        <v/>
      </c>
      <c r="W185">
        <f>HYPERLINK("https://klasma.github.io/Logging_2132/klagomålsmail/A 17913-2019 FSC-klagomål mail.docx", "A 17913-2019")</f>
        <v/>
      </c>
      <c r="X185">
        <f>HYPERLINK("https://klasma.github.io/Logging_2132/tillsyn/A 17913-2019 tillsynsbegäran.docx", "A 17913-2019")</f>
        <v/>
      </c>
      <c r="Y185">
        <f>HYPERLINK("https://klasma.github.io/Logging_2132/tillsynsmail/A 17913-2019 tillsynsbegäran mail.docx", "A 17913-2019")</f>
        <v/>
      </c>
    </row>
    <row r="186" ht="15" customHeight="1">
      <c r="A186" t="inlineStr">
        <is>
          <t>A 19095-2019</t>
        </is>
      </c>
      <c r="B186" s="1" t="n">
        <v>43564</v>
      </c>
      <c r="C186" s="1" t="n">
        <v>45352</v>
      </c>
      <c r="D186" t="inlineStr">
        <is>
          <t>GÄVLEBORGS LÄN</t>
        </is>
      </c>
      <c r="E186" t="inlineStr">
        <is>
          <t>HOFORS</t>
        </is>
      </c>
      <c r="G186" t="n">
        <v>8</v>
      </c>
      <c r="H186" t="n">
        <v>1</v>
      </c>
      <c r="I186" t="n">
        <v>1</v>
      </c>
      <c r="J186" t="n">
        <v>0</v>
      </c>
      <c r="K186" t="n">
        <v>1</v>
      </c>
      <c r="L186" t="n">
        <v>0</v>
      </c>
      <c r="M186" t="n">
        <v>0</v>
      </c>
      <c r="N186" t="n">
        <v>0</v>
      </c>
      <c r="O186" t="n">
        <v>1</v>
      </c>
      <c r="P186" t="n">
        <v>1</v>
      </c>
      <c r="Q186" t="n">
        <v>2</v>
      </c>
      <c r="R186" s="2" t="inlineStr">
        <is>
          <t>Knärot
Mindre märgborre</t>
        </is>
      </c>
      <c r="S186">
        <f>HYPERLINK("https://klasma.github.io/Logging_2104/artfynd/A 19095-2019 artfynd.xlsx", "A 19095-2019")</f>
        <v/>
      </c>
      <c r="T186">
        <f>HYPERLINK("https://klasma.github.io/Logging_2104/kartor/A 19095-2019 karta.png", "A 19095-2019")</f>
        <v/>
      </c>
      <c r="U186">
        <f>HYPERLINK("https://klasma.github.io/Logging_2104/knärot/A 19095-2019 karta knärot.png", "A 19095-2019")</f>
        <v/>
      </c>
      <c r="V186">
        <f>HYPERLINK("https://klasma.github.io/Logging_2104/klagomål/A 19095-2019 FSC-klagomål.docx", "A 19095-2019")</f>
        <v/>
      </c>
      <c r="W186">
        <f>HYPERLINK("https://klasma.github.io/Logging_2104/klagomålsmail/A 19095-2019 FSC-klagomål mail.docx", "A 19095-2019")</f>
        <v/>
      </c>
      <c r="X186">
        <f>HYPERLINK("https://klasma.github.io/Logging_2104/tillsyn/A 19095-2019 tillsynsbegäran.docx", "A 19095-2019")</f>
        <v/>
      </c>
      <c r="Y186">
        <f>HYPERLINK("https://klasma.github.io/Logging_2104/tillsynsmail/A 19095-2019 tillsynsbegäran mail.docx", "A 19095-2019")</f>
        <v/>
      </c>
    </row>
    <row r="187" ht="15" customHeight="1">
      <c r="A187" t="inlineStr">
        <is>
          <t>A 21731-2019</t>
        </is>
      </c>
      <c r="B187" s="1" t="n">
        <v>43581</v>
      </c>
      <c r="C187" s="1" t="n">
        <v>45352</v>
      </c>
      <c r="D187" t="inlineStr">
        <is>
          <t>GÄVLEBORGS LÄN</t>
        </is>
      </c>
      <c r="E187" t="inlineStr">
        <is>
          <t>HOFORS</t>
        </is>
      </c>
      <c r="F187" t="inlineStr">
        <is>
          <t>Sveaskog</t>
        </is>
      </c>
      <c r="G187" t="n">
        <v>3.8</v>
      </c>
      <c r="H187" t="n">
        <v>2</v>
      </c>
      <c r="I187" t="n">
        <v>1</v>
      </c>
      <c r="J187" t="n">
        <v>0</v>
      </c>
      <c r="K187" t="n">
        <v>0</v>
      </c>
      <c r="L187" t="n">
        <v>0</v>
      </c>
      <c r="M187" t="n">
        <v>0</v>
      </c>
      <c r="N187" t="n">
        <v>0</v>
      </c>
      <c r="O187" t="n">
        <v>0</v>
      </c>
      <c r="P187" t="n">
        <v>0</v>
      </c>
      <c r="Q187" t="n">
        <v>2</v>
      </c>
      <c r="R187" s="2" t="inlineStr">
        <is>
          <t>Tvåblad
Revlummer</t>
        </is>
      </c>
      <c r="S187">
        <f>HYPERLINK("https://klasma.github.io/Logging_2104/artfynd/A 21731-2019 artfynd.xlsx", "A 21731-2019")</f>
        <v/>
      </c>
      <c r="T187">
        <f>HYPERLINK("https://klasma.github.io/Logging_2104/kartor/A 21731-2019 karta.png", "A 21731-2019")</f>
        <v/>
      </c>
      <c r="U187">
        <f>HYPERLINK("https://klasma.github.io/Logging_2104/knärot/A 21731-2019 karta knärot.png", "A 21731-2019")</f>
        <v/>
      </c>
      <c r="V187">
        <f>HYPERLINK("https://klasma.github.io/Logging_2104/klagomål/A 21731-2019 FSC-klagomål.docx", "A 21731-2019")</f>
        <v/>
      </c>
      <c r="W187">
        <f>HYPERLINK("https://klasma.github.io/Logging_2104/klagomålsmail/A 21731-2019 FSC-klagomål mail.docx", "A 21731-2019")</f>
        <v/>
      </c>
      <c r="X187">
        <f>HYPERLINK("https://klasma.github.io/Logging_2104/tillsyn/A 21731-2019 tillsynsbegäran.docx", "A 21731-2019")</f>
        <v/>
      </c>
      <c r="Y187">
        <f>HYPERLINK("https://klasma.github.io/Logging_2104/tillsynsmail/A 21731-2019 tillsynsbegäran mail.docx", "A 21731-2019")</f>
        <v/>
      </c>
    </row>
    <row r="188" ht="15" customHeight="1">
      <c r="A188" t="inlineStr">
        <is>
          <t>A 29812-2019</t>
        </is>
      </c>
      <c r="B188" s="1" t="n">
        <v>43629</v>
      </c>
      <c r="C188" s="1" t="n">
        <v>45352</v>
      </c>
      <c r="D188" t="inlineStr">
        <is>
          <t>GÄVLEBORGS LÄN</t>
        </is>
      </c>
      <c r="E188" t="inlineStr">
        <is>
          <t>LJUSDAL</t>
        </is>
      </c>
      <c r="F188" t="inlineStr">
        <is>
          <t>Holmen skog AB</t>
        </is>
      </c>
      <c r="G188" t="n">
        <v>2.4</v>
      </c>
      <c r="H188" t="n">
        <v>1</v>
      </c>
      <c r="I188" t="n">
        <v>1</v>
      </c>
      <c r="J188" t="n">
        <v>0</v>
      </c>
      <c r="K188" t="n">
        <v>1</v>
      </c>
      <c r="L188" t="n">
        <v>0</v>
      </c>
      <c r="M188" t="n">
        <v>0</v>
      </c>
      <c r="N188" t="n">
        <v>0</v>
      </c>
      <c r="O188" t="n">
        <v>1</v>
      </c>
      <c r="P188" t="n">
        <v>1</v>
      </c>
      <c r="Q188" t="n">
        <v>2</v>
      </c>
      <c r="R188" s="2" t="inlineStr">
        <is>
          <t>Knärot
Skinnlav</t>
        </is>
      </c>
      <c r="S188">
        <f>HYPERLINK("https://klasma.github.io/Logging_2161/artfynd/A 29812-2019 artfynd.xlsx", "A 29812-2019")</f>
        <v/>
      </c>
      <c r="T188">
        <f>HYPERLINK("https://klasma.github.io/Logging_2161/kartor/A 29812-2019 karta.png", "A 29812-2019")</f>
        <v/>
      </c>
      <c r="U188">
        <f>HYPERLINK("https://klasma.github.io/Logging_2161/knärot/A 29812-2019 karta knärot.png", "A 29812-2019")</f>
        <v/>
      </c>
      <c r="V188">
        <f>HYPERLINK("https://klasma.github.io/Logging_2161/klagomål/A 29812-2019 FSC-klagomål.docx", "A 29812-2019")</f>
        <v/>
      </c>
      <c r="W188">
        <f>HYPERLINK("https://klasma.github.io/Logging_2161/klagomålsmail/A 29812-2019 FSC-klagomål mail.docx", "A 29812-2019")</f>
        <v/>
      </c>
      <c r="X188">
        <f>HYPERLINK("https://klasma.github.io/Logging_2161/tillsyn/A 29812-2019 tillsynsbegäran.docx", "A 29812-2019")</f>
        <v/>
      </c>
      <c r="Y188">
        <f>HYPERLINK("https://klasma.github.io/Logging_2161/tillsynsmail/A 29812-2019 tillsynsbegäran mail.docx", "A 29812-2019")</f>
        <v/>
      </c>
    </row>
    <row r="189" ht="15" customHeight="1">
      <c r="A189" t="inlineStr">
        <is>
          <t>A 45004-2019</t>
        </is>
      </c>
      <c r="B189" s="1" t="n">
        <v>43713</v>
      </c>
      <c r="C189" s="1" t="n">
        <v>45352</v>
      </c>
      <c r="D189" t="inlineStr">
        <is>
          <t>GÄVLEBORGS LÄN</t>
        </is>
      </c>
      <c r="E189" t="inlineStr">
        <is>
          <t>OVANÅKER</t>
        </is>
      </c>
      <c r="F189" t="inlineStr">
        <is>
          <t>Sveaskog</t>
        </is>
      </c>
      <c r="G189" t="n">
        <v>7.5</v>
      </c>
      <c r="H189" t="n">
        <v>0</v>
      </c>
      <c r="I189" t="n">
        <v>0</v>
      </c>
      <c r="J189" t="n">
        <v>2</v>
      </c>
      <c r="K189" t="n">
        <v>0</v>
      </c>
      <c r="L189" t="n">
        <v>0</v>
      </c>
      <c r="M189" t="n">
        <v>0</v>
      </c>
      <c r="N189" t="n">
        <v>0</v>
      </c>
      <c r="O189" t="n">
        <v>2</v>
      </c>
      <c r="P189" t="n">
        <v>0</v>
      </c>
      <c r="Q189" t="n">
        <v>2</v>
      </c>
      <c r="R189" s="2" t="inlineStr">
        <is>
          <t>Kolflarnlav
Lunglav</t>
        </is>
      </c>
      <c r="S189">
        <f>HYPERLINK("https://klasma.github.io/Logging_2121/artfynd/A 45004-2019 artfynd.xlsx", "A 45004-2019")</f>
        <v/>
      </c>
      <c r="T189">
        <f>HYPERLINK("https://klasma.github.io/Logging_2121/kartor/A 45004-2019 karta.png", "A 45004-2019")</f>
        <v/>
      </c>
      <c r="V189">
        <f>HYPERLINK("https://klasma.github.io/Logging_2121/klagomål/A 45004-2019 FSC-klagomål.docx", "A 45004-2019")</f>
        <v/>
      </c>
      <c r="W189">
        <f>HYPERLINK("https://klasma.github.io/Logging_2121/klagomålsmail/A 45004-2019 FSC-klagomål mail.docx", "A 45004-2019")</f>
        <v/>
      </c>
      <c r="X189">
        <f>HYPERLINK("https://klasma.github.io/Logging_2121/tillsyn/A 45004-2019 tillsynsbegäran.docx", "A 45004-2019")</f>
        <v/>
      </c>
      <c r="Y189">
        <f>HYPERLINK("https://klasma.github.io/Logging_2121/tillsynsmail/A 45004-2019 tillsynsbegäran mail.docx", "A 45004-2019")</f>
        <v/>
      </c>
    </row>
    <row r="190" ht="15" customHeight="1">
      <c r="A190" t="inlineStr">
        <is>
          <t>A 52965-2019</t>
        </is>
      </c>
      <c r="B190" s="1" t="n">
        <v>43747</v>
      </c>
      <c r="C190" s="1" t="n">
        <v>45352</v>
      </c>
      <c r="D190" t="inlineStr">
        <is>
          <t>GÄVLEBORGS LÄN</t>
        </is>
      </c>
      <c r="E190" t="inlineStr">
        <is>
          <t>OCKELBO</t>
        </is>
      </c>
      <c r="G190" t="n">
        <v>1.6</v>
      </c>
      <c r="H190" t="n">
        <v>1</v>
      </c>
      <c r="I190" t="n">
        <v>1</v>
      </c>
      <c r="J190" t="n">
        <v>0</v>
      </c>
      <c r="K190" t="n">
        <v>0</v>
      </c>
      <c r="L190" t="n">
        <v>0</v>
      </c>
      <c r="M190" t="n">
        <v>0</v>
      </c>
      <c r="N190" t="n">
        <v>0</v>
      </c>
      <c r="O190" t="n">
        <v>0</v>
      </c>
      <c r="P190" t="n">
        <v>0</v>
      </c>
      <c r="Q190" t="n">
        <v>2</v>
      </c>
      <c r="R190" s="2" t="inlineStr">
        <is>
          <t>Större träfjäril
Skogsödla</t>
        </is>
      </c>
      <c r="S190">
        <f>HYPERLINK("https://klasma.github.io/Logging_2101/artfynd/A 52965-2019 artfynd.xlsx", "A 52965-2019")</f>
        <v/>
      </c>
      <c r="T190">
        <f>HYPERLINK("https://klasma.github.io/Logging_2101/kartor/A 52965-2019 karta.png", "A 52965-2019")</f>
        <v/>
      </c>
      <c r="V190">
        <f>HYPERLINK("https://klasma.github.io/Logging_2101/klagomål/A 52965-2019 FSC-klagomål.docx", "A 52965-2019")</f>
        <v/>
      </c>
      <c r="W190">
        <f>HYPERLINK("https://klasma.github.io/Logging_2101/klagomålsmail/A 52965-2019 FSC-klagomål mail.docx", "A 52965-2019")</f>
        <v/>
      </c>
      <c r="X190">
        <f>HYPERLINK("https://klasma.github.io/Logging_2101/tillsyn/A 52965-2019 tillsynsbegäran.docx", "A 52965-2019")</f>
        <v/>
      </c>
      <c r="Y190">
        <f>HYPERLINK("https://klasma.github.io/Logging_2101/tillsynsmail/A 52965-2019 tillsynsbegäran mail.docx", "A 52965-2019")</f>
        <v/>
      </c>
    </row>
    <row r="191" ht="15" customHeight="1">
      <c r="A191" t="inlineStr">
        <is>
          <t>A 59286-2019</t>
        </is>
      </c>
      <c r="B191" s="1" t="n">
        <v>43775</v>
      </c>
      <c r="C191" s="1" t="n">
        <v>45352</v>
      </c>
      <c r="D191" t="inlineStr">
        <is>
          <t>GÄVLEBORGS LÄN</t>
        </is>
      </c>
      <c r="E191" t="inlineStr">
        <is>
          <t>OCKELBO</t>
        </is>
      </c>
      <c r="G191" t="n">
        <v>2.2</v>
      </c>
      <c r="H191" t="n">
        <v>0</v>
      </c>
      <c r="I191" t="n">
        <v>0</v>
      </c>
      <c r="J191" t="n">
        <v>2</v>
      </c>
      <c r="K191" t="n">
        <v>0</v>
      </c>
      <c r="L191" t="n">
        <v>0</v>
      </c>
      <c r="M191" t="n">
        <v>0</v>
      </c>
      <c r="N191" t="n">
        <v>0</v>
      </c>
      <c r="O191" t="n">
        <v>2</v>
      </c>
      <c r="P191" t="n">
        <v>0</v>
      </c>
      <c r="Q191" t="n">
        <v>2</v>
      </c>
      <c r="R191" s="2" t="inlineStr">
        <is>
          <t>Garnlav
Koralltaggsvamp</t>
        </is>
      </c>
      <c r="S191">
        <f>HYPERLINK("https://klasma.github.io/Logging_2101/artfynd/A 59286-2019 artfynd.xlsx", "A 59286-2019")</f>
        <v/>
      </c>
      <c r="T191">
        <f>HYPERLINK("https://klasma.github.io/Logging_2101/kartor/A 59286-2019 karta.png", "A 59286-2019")</f>
        <v/>
      </c>
      <c r="V191">
        <f>HYPERLINK("https://klasma.github.io/Logging_2101/klagomål/A 59286-2019 FSC-klagomål.docx", "A 59286-2019")</f>
        <v/>
      </c>
      <c r="W191">
        <f>HYPERLINK("https://klasma.github.io/Logging_2101/klagomålsmail/A 59286-2019 FSC-klagomål mail.docx", "A 59286-2019")</f>
        <v/>
      </c>
      <c r="X191">
        <f>HYPERLINK("https://klasma.github.io/Logging_2101/tillsyn/A 59286-2019 tillsynsbegäran.docx", "A 59286-2019")</f>
        <v/>
      </c>
      <c r="Y191">
        <f>HYPERLINK("https://klasma.github.io/Logging_2101/tillsynsmail/A 59286-2019 tillsynsbegäran mail.docx", "A 59286-2019")</f>
        <v/>
      </c>
    </row>
    <row r="192" ht="15" customHeight="1">
      <c r="A192" t="inlineStr">
        <is>
          <t>A 61384-2019</t>
        </is>
      </c>
      <c r="B192" s="1" t="n">
        <v>43783</v>
      </c>
      <c r="C192" s="1" t="n">
        <v>45352</v>
      </c>
      <c r="D192" t="inlineStr">
        <is>
          <t>GÄVLEBORGS LÄN</t>
        </is>
      </c>
      <c r="E192" t="inlineStr">
        <is>
          <t>BOLLNÄS</t>
        </is>
      </c>
      <c r="F192" t="inlineStr">
        <is>
          <t>Sveaskog</t>
        </is>
      </c>
      <c r="G192" t="n">
        <v>4.1</v>
      </c>
      <c r="H192" t="n">
        <v>2</v>
      </c>
      <c r="I192" t="n">
        <v>1</v>
      </c>
      <c r="J192" t="n">
        <v>0</v>
      </c>
      <c r="K192" t="n">
        <v>1</v>
      </c>
      <c r="L192" t="n">
        <v>0</v>
      </c>
      <c r="M192" t="n">
        <v>0</v>
      </c>
      <c r="N192" t="n">
        <v>0</v>
      </c>
      <c r="O192" t="n">
        <v>1</v>
      </c>
      <c r="P192" t="n">
        <v>1</v>
      </c>
      <c r="Q192" t="n">
        <v>2</v>
      </c>
      <c r="R192" s="2" t="inlineStr">
        <is>
          <t>Knärot
Korallrot</t>
        </is>
      </c>
      <c r="S192">
        <f>HYPERLINK("https://klasma.github.io/Logging_2183/artfynd/A 61384-2019 artfynd.xlsx", "A 61384-2019")</f>
        <v/>
      </c>
      <c r="T192">
        <f>HYPERLINK("https://klasma.github.io/Logging_2183/kartor/A 61384-2019 karta.png", "A 61384-2019")</f>
        <v/>
      </c>
      <c r="U192">
        <f>HYPERLINK("https://klasma.github.io/Logging_2183/knärot/A 61384-2019 karta knärot.png", "A 61384-2019")</f>
        <v/>
      </c>
      <c r="V192">
        <f>HYPERLINK("https://klasma.github.io/Logging_2183/klagomål/A 61384-2019 FSC-klagomål.docx", "A 61384-2019")</f>
        <v/>
      </c>
      <c r="W192">
        <f>HYPERLINK("https://klasma.github.io/Logging_2183/klagomålsmail/A 61384-2019 FSC-klagomål mail.docx", "A 61384-2019")</f>
        <v/>
      </c>
      <c r="X192">
        <f>HYPERLINK("https://klasma.github.io/Logging_2183/tillsyn/A 61384-2019 tillsynsbegäran.docx", "A 61384-2019")</f>
        <v/>
      </c>
      <c r="Y192">
        <f>HYPERLINK("https://klasma.github.io/Logging_2183/tillsynsmail/A 61384-2019 tillsynsbegäran mail.docx", "A 61384-2019")</f>
        <v/>
      </c>
    </row>
    <row r="193" ht="15" customHeight="1">
      <c r="A193" t="inlineStr">
        <is>
          <t>A 61372-2019</t>
        </is>
      </c>
      <c r="B193" s="1" t="n">
        <v>43783</v>
      </c>
      <c r="C193" s="1" t="n">
        <v>45352</v>
      </c>
      <c r="D193" t="inlineStr">
        <is>
          <t>GÄVLEBORGS LÄN</t>
        </is>
      </c>
      <c r="E193" t="inlineStr">
        <is>
          <t>BOLLNÄS</t>
        </is>
      </c>
      <c r="F193" t="inlineStr">
        <is>
          <t>Sveaskog</t>
        </is>
      </c>
      <c r="G193" t="n">
        <v>3.2</v>
      </c>
      <c r="H193" t="n">
        <v>1</v>
      </c>
      <c r="I193" t="n">
        <v>0</v>
      </c>
      <c r="J193" t="n">
        <v>1</v>
      </c>
      <c r="K193" t="n">
        <v>1</v>
      </c>
      <c r="L193" t="n">
        <v>0</v>
      </c>
      <c r="M193" t="n">
        <v>0</v>
      </c>
      <c r="N193" t="n">
        <v>0</v>
      </c>
      <c r="O193" t="n">
        <v>2</v>
      </c>
      <c r="P193" t="n">
        <v>1</v>
      </c>
      <c r="Q193" t="n">
        <v>2</v>
      </c>
      <c r="R193" s="2" t="inlineStr">
        <is>
          <t>Knärot
Garnlav</t>
        </is>
      </c>
      <c r="S193">
        <f>HYPERLINK("https://klasma.github.io/Logging_2183/artfynd/A 61372-2019 artfynd.xlsx", "A 61372-2019")</f>
        <v/>
      </c>
      <c r="T193">
        <f>HYPERLINK("https://klasma.github.io/Logging_2183/kartor/A 61372-2019 karta.png", "A 61372-2019")</f>
        <v/>
      </c>
      <c r="U193">
        <f>HYPERLINK("https://klasma.github.io/Logging_2183/knärot/A 61372-2019 karta knärot.png", "A 61372-2019")</f>
        <v/>
      </c>
      <c r="V193">
        <f>HYPERLINK("https://klasma.github.io/Logging_2183/klagomål/A 61372-2019 FSC-klagomål.docx", "A 61372-2019")</f>
        <v/>
      </c>
      <c r="W193">
        <f>HYPERLINK("https://klasma.github.io/Logging_2183/klagomålsmail/A 61372-2019 FSC-klagomål mail.docx", "A 61372-2019")</f>
        <v/>
      </c>
      <c r="X193">
        <f>HYPERLINK("https://klasma.github.io/Logging_2183/tillsyn/A 61372-2019 tillsynsbegäran.docx", "A 61372-2019")</f>
        <v/>
      </c>
      <c r="Y193">
        <f>HYPERLINK("https://klasma.github.io/Logging_2183/tillsynsmail/A 61372-2019 tillsynsbegäran mail.docx", "A 61372-2019")</f>
        <v/>
      </c>
    </row>
    <row r="194" ht="15" customHeight="1">
      <c r="A194" t="inlineStr">
        <is>
          <t>A 61380-2019</t>
        </is>
      </c>
      <c r="B194" s="1" t="n">
        <v>43783</v>
      </c>
      <c r="C194" s="1" t="n">
        <v>45352</v>
      </c>
      <c r="D194" t="inlineStr">
        <is>
          <t>GÄVLEBORGS LÄN</t>
        </is>
      </c>
      <c r="E194" t="inlineStr">
        <is>
          <t>BOLLNÄS</t>
        </is>
      </c>
      <c r="F194" t="inlineStr">
        <is>
          <t>Sveaskog</t>
        </is>
      </c>
      <c r="G194" t="n">
        <v>6</v>
      </c>
      <c r="H194" t="n">
        <v>1</v>
      </c>
      <c r="I194" t="n">
        <v>1</v>
      </c>
      <c r="J194" t="n">
        <v>0</v>
      </c>
      <c r="K194" t="n">
        <v>1</v>
      </c>
      <c r="L194" t="n">
        <v>0</v>
      </c>
      <c r="M194" t="n">
        <v>0</v>
      </c>
      <c r="N194" t="n">
        <v>0</v>
      </c>
      <c r="O194" t="n">
        <v>1</v>
      </c>
      <c r="P194" t="n">
        <v>1</v>
      </c>
      <c r="Q194" t="n">
        <v>2</v>
      </c>
      <c r="R194" s="2" t="inlineStr">
        <is>
          <t>Knärot
Tibast</t>
        </is>
      </c>
      <c r="S194">
        <f>HYPERLINK("https://klasma.github.io/Logging_2183/artfynd/A 61380-2019 artfynd.xlsx", "A 61380-2019")</f>
        <v/>
      </c>
      <c r="T194">
        <f>HYPERLINK("https://klasma.github.io/Logging_2183/kartor/A 61380-2019 karta.png", "A 61380-2019")</f>
        <v/>
      </c>
      <c r="U194">
        <f>HYPERLINK("https://klasma.github.io/Logging_2183/knärot/A 61380-2019 karta knärot.png", "A 61380-2019")</f>
        <v/>
      </c>
      <c r="V194">
        <f>HYPERLINK("https://klasma.github.io/Logging_2183/klagomål/A 61380-2019 FSC-klagomål.docx", "A 61380-2019")</f>
        <v/>
      </c>
      <c r="W194">
        <f>HYPERLINK("https://klasma.github.io/Logging_2183/klagomålsmail/A 61380-2019 FSC-klagomål mail.docx", "A 61380-2019")</f>
        <v/>
      </c>
      <c r="X194">
        <f>HYPERLINK("https://klasma.github.io/Logging_2183/tillsyn/A 61380-2019 tillsynsbegäran.docx", "A 61380-2019")</f>
        <v/>
      </c>
      <c r="Y194">
        <f>HYPERLINK("https://klasma.github.io/Logging_2183/tillsynsmail/A 61380-2019 tillsynsbegäran mail.docx", "A 61380-2019")</f>
        <v/>
      </c>
    </row>
    <row r="195" ht="15" customHeight="1">
      <c r="A195" t="inlineStr">
        <is>
          <t>A 64630-2019</t>
        </is>
      </c>
      <c r="B195" s="1" t="n">
        <v>43798</v>
      </c>
      <c r="C195" s="1" t="n">
        <v>45352</v>
      </c>
      <c r="D195" t="inlineStr">
        <is>
          <t>GÄVLEBORGS LÄN</t>
        </is>
      </c>
      <c r="E195" t="inlineStr">
        <is>
          <t>SÖDERHAMN</t>
        </is>
      </c>
      <c r="G195" t="n">
        <v>8.300000000000001</v>
      </c>
      <c r="H195" t="n">
        <v>0</v>
      </c>
      <c r="I195" t="n">
        <v>1</v>
      </c>
      <c r="J195" t="n">
        <v>0</v>
      </c>
      <c r="K195" t="n">
        <v>1</v>
      </c>
      <c r="L195" t="n">
        <v>0</v>
      </c>
      <c r="M195" t="n">
        <v>0</v>
      </c>
      <c r="N195" t="n">
        <v>0</v>
      </c>
      <c r="O195" t="n">
        <v>1</v>
      </c>
      <c r="P195" t="n">
        <v>1</v>
      </c>
      <c r="Q195" t="n">
        <v>2</v>
      </c>
      <c r="R195" s="2" t="inlineStr">
        <is>
          <t>Violgubbe
Skarp dropptaggsvamp</t>
        </is>
      </c>
      <c r="S195">
        <f>HYPERLINK("https://klasma.github.io/Logging_2182/artfynd/A 64630-2019 artfynd.xlsx", "A 64630-2019")</f>
        <v/>
      </c>
      <c r="T195">
        <f>HYPERLINK("https://klasma.github.io/Logging_2182/kartor/A 64630-2019 karta.png", "A 64630-2019")</f>
        <v/>
      </c>
      <c r="V195">
        <f>HYPERLINK("https://klasma.github.io/Logging_2182/klagomål/A 64630-2019 FSC-klagomål.docx", "A 64630-2019")</f>
        <v/>
      </c>
      <c r="W195">
        <f>HYPERLINK("https://klasma.github.io/Logging_2182/klagomålsmail/A 64630-2019 FSC-klagomål mail.docx", "A 64630-2019")</f>
        <v/>
      </c>
      <c r="X195">
        <f>HYPERLINK("https://klasma.github.io/Logging_2182/tillsyn/A 64630-2019 tillsynsbegäran.docx", "A 64630-2019")</f>
        <v/>
      </c>
      <c r="Y195">
        <f>HYPERLINK("https://klasma.github.io/Logging_2182/tillsynsmail/A 64630-2019 tillsynsbegäran mail.docx", "A 64630-2019")</f>
        <v/>
      </c>
    </row>
    <row r="196" ht="15" customHeight="1">
      <c r="A196" t="inlineStr">
        <is>
          <t>A 116-2020</t>
        </is>
      </c>
      <c r="B196" s="1" t="n">
        <v>43832</v>
      </c>
      <c r="C196" s="1" t="n">
        <v>45352</v>
      </c>
      <c r="D196" t="inlineStr">
        <is>
          <t>GÄVLEBORGS LÄN</t>
        </is>
      </c>
      <c r="E196" t="inlineStr">
        <is>
          <t>HUDIKSVALL</t>
        </is>
      </c>
      <c r="G196" t="n">
        <v>7.1</v>
      </c>
      <c r="H196" t="n">
        <v>2</v>
      </c>
      <c r="I196" t="n">
        <v>0</v>
      </c>
      <c r="J196" t="n">
        <v>1</v>
      </c>
      <c r="K196" t="n">
        <v>0</v>
      </c>
      <c r="L196" t="n">
        <v>1</v>
      </c>
      <c r="M196" t="n">
        <v>0</v>
      </c>
      <c r="N196" t="n">
        <v>0</v>
      </c>
      <c r="O196" t="n">
        <v>2</v>
      </c>
      <c r="P196" t="n">
        <v>1</v>
      </c>
      <c r="Q196" t="n">
        <v>2</v>
      </c>
      <c r="R196" s="2" t="inlineStr">
        <is>
          <t>Tornseglare
Kråka</t>
        </is>
      </c>
      <c r="S196">
        <f>HYPERLINK("https://klasma.github.io/Logging_2184/artfynd/A 116-2020 artfynd.xlsx", "A 116-2020")</f>
        <v/>
      </c>
      <c r="T196">
        <f>HYPERLINK("https://klasma.github.io/Logging_2184/kartor/A 116-2020 karta.png", "A 116-2020")</f>
        <v/>
      </c>
      <c r="V196">
        <f>HYPERLINK("https://klasma.github.io/Logging_2184/klagomål/A 116-2020 FSC-klagomål.docx", "A 116-2020")</f>
        <v/>
      </c>
      <c r="W196">
        <f>HYPERLINK("https://klasma.github.io/Logging_2184/klagomålsmail/A 116-2020 FSC-klagomål mail.docx", "A 116-2020")</f>
        <v/>
      </c>
      <c r="X196">
        <f>HYPERLINK("https://klasma.github.io/Logging_2184/tillsyn/A 116-2020 tillsynsbegäran.docx", "A 116-2020")</f>
        <v/>
      </c>
      <c r="Y196">
        <f>HYPERLINK("https://klasma.github.io/Logging_2184/tillsynsmail/A 116-2020 tillsynsbegäran mail.docx", "A 116-2020")</f>
        <v/>
      </c>
      <c r="Z196">
        <f>HYPERLINK("https://klasma.github.io/Logging_2184/fåglar/A 116-2020 prioriterade fågelarter.docx", "A 116-2020")</f>
        <v/>
      </c>
    </row>
    <row r="197" ht="15" customHeight="1">
      <c r="A197" t="inlineStr">
        <is>
          <t>A 14255-2020</t>
        </is>
      </c>
      <c r="B197" s="1" t="n">
        <v>43907</v>
      </c>
      <c r="C197" s="1" t="n">
        <v>45352</v>
      </c>
      <c r="D197" t="inlineStr">
        <is>
          <t>GÄVLEBORGS LÄN</t>
        </is>
      </c>
      <c r="E197" t="inlineStr">
        <is>
          <t>HUDIKSVALL</t>
        </is>
      </c>
      <c r="F197" t="inlineStr">
        <is>
          <t>Holmen skog AB</t>
        </is>
      </c>
      <c r="G197" t="n">
        <v>14.2</v>
      </c>
      <c r="H197" t="n">
        <v>2</v>
      </c>
      <c r="I197" t="n">
        <v>0</v>
      </c>
      <c r="J197" t="n">
        <v>0</v>
      </c>
      <c r="K197" t="n">
        <v>0</v>
      </c>
      <c r="L197" t="n">
        <v>0</v>
      </c>
      <c r="M197" t="n">
        <v>0</v>
      </c>
      <c r="N197" t="n">
        <v>0</v>
      </c>
      <c r="O197" t="n">
        <v>0</v>
      </c>
      <c r="P197" t="n">
        <v>0</v>
      </c>
      <c r="Q197" t="n">
        <v>2</v>
      </c>
      <c r="R197" s="2" t="inlineStr">
        <is>
          <t>Fläcknycklar
Myggblomster</t>
        </is>
      </c>
      <c r="S197">
        <f>HYPERLINK("https://klasma.github.io/Logging_2184/artfynd/A 14255-2020 artfynd.xlsx", "A 14255-2020")</f>
        <v/>
      </c>
      <c r="T197">
        <f>HYPERLINK("https://klasma.github.io/Logging_2184/kartor/A 14255-2020 karta.png", "A 14255-2020")</f>
        <v/>
      </c>
      <c r="V197">
        <f>HYPERLINK("https://klasma.github.io/Logging_2184/klagomål/A 14255-2020 FSC-klagomål.docx", "A 14255-2020")</f>
        <v/>
      </c>
      <c r="W197">
        <f>HYPERLINK("https://klasma.github.io/Logging_2184/klagomålsmail/A 14255-2020 FSC-klagomål mail.docx", "A 14255-2020")</f>
        <v/>
      </c>
      <c r="X197">
        <f>HYPERLINK("https://klasma.github.io/Logging_2184/tillsyn/A 14255-2020 tillsynsbegäran.docx", "A 14255-2020")</f>
        <v/>
      </c>
      <c r="Y197">
        <f>HYPERLINK("https://klasma.github.io/Logging_2184/tillsynsmail/A 14255-2020 tillsynsbegäran mail.docx", "A 14255-2020")</f>
        <v/>
      </c>
    </row>
    <row r="198" ht="15" customHeight="1">
      <c r="A198" t="inlineStr">
        <is>
          <t>A 24617-2020</t>
        </is>
      </c>
      <c r="B198" s="1" t="n">
        <v>43977</v>
      </c>
      <c r="C198" s="1" t="n">
        <v>45352</v>
      </c>
      <c r="D198" t="inlineStr">
        <is>
          <t>GÄVLEBORGS LÄN</t>
        </is>
      </c>
      <c r="E198" t="inlineStr">
        <is>
          <t>LJUSDAL</t>
        </is>
      </c>
      <c r="F198" t="inlineStr">
        <is>
          <t>Sveaskog</t>
        </is>
      </c>
      <c r="G198" t="n">
        <v>9.300000000000001</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24617-2020 artfynd.xlsx", "A 24617-2020")</f>
        <v/>
      </c>
      <c r="T198">
        <f>HYPERLINK("https://klasma.github.io/Logging_2161/kartor/A 24617-2020 karta.png", "A 24617-2020")</f>
        <v/>
      </c>
      <c r="V198">
        <f>HYPERLINK("https://klasma.github.io/Logging_2161/klagomål/A 24617-2020 FSC-klagomål.docx", "A 24617-2020")</f>
        <v/>
      </c>
      <c r="W198">
        <f>HYPERLINK("https://klasma.github.io/Logging_2161/klagomålsmail/A 24617-2020 FSC-klagomål mail.docx", "A 24617-2020")</f>
        <v/>
      </c>
      <c r="X198">
        <f>HYPERLINK("https://klasma.github.io/Logging_2161/tillsyn/A 24617-2020 tillsynsbegäran.docx", "A 24617-2020")</f>
        <v/>
      </c>
      <c r="Y198">
        <f>HYPERLINK("https://klasma.github.io/Logging_2161/tillsynsmail/A 24617-2020 tillsynsbegäran mail.docx", "A 24617-2020")</f>
        <v/>
      </c>
    </row>
    <row r="199" ht="15" customHeight="1">
      <c r="A199" t="inlineStr">
        <is>
          <t>A 28704-2020</t>
        </is>
      </c>
      <c r="B199" s="1" t="n">
        <v>43999</v>
      </c>
      <c r="C199" s="1" t="n">
        <v>45352</v>
      </c>
      <c r="D199" t="inlineStr">
        <is>
          <t>GÄVLEBORGS LÄN</t>
        </is>
      </c>
      <c r="E199" t="inlineStr">
        <is>
          <t>BOLLNÄS</t>
        </is>
      </c>
      <c r="F199" t="inlineStr">
        <is>
          <t>Sveaskog</t>
        </is>
      </c>
      <c r="G199" t="n">
        <v>2.2</v>
      </c>
      <c r="H199" t="n">
        <v>0</v>
      </c>
      <c r="I199" t="n">
        <v>0</v>
      </c>
      <c r="J199" t="n">
        <v>2</v>
      </c>
      <c r="K199" t="n">
        <v>0</v>
      </c>
      <c r="L199" t="n">
        <v>0</v>
      </c>
      <c r="M199" t="n">
        <v>0</v>
      </c>
      <c r="N199" t="n">
        <v>0</v>
      </c>
      <c r="O199" t="n">
        <v>2</v>
      </c>
      <c r="P199" t="n">
        <v>0</v>
      </c>
      <c r="Q199" t="n">
        <v>2</v>
      </c>
      <c r="R199" s="2" t="inlineStr">
        <is>
          <t>Gammelgransskål
Tallticka</t>
        </is>
      </c>
      <c r="S199">
        <f>HYPERLINK("https://klasma.github.io/Logging_2183/artfynd/A 28704-2020 artfynd.xlsx", "A 28704-2020")</f>
        <v/>
      </c>
      <c r="T199">
        <f>HYPERLINK("https://klasma.github.io/Logging_2183/kartor/A 28704-2020 karta.png", "A 28704-2020")</f>
        <v/>
      </c>
      <c r="V199">
        <f>HYPERLINK("https://klasma.github.io/Logging_2183/klagomål/A 28704-2020 FSC-klagomål.docx", "A 28704-2020")</f>
        <v/>
      </c>
      <c r="W199">
        <f>HYPERLINK("https://klasma.github.io/Logging_2183/klagomålsmail/A 28704-2020 FSC-klagomål mail.docx", "A 28704-2020")</f>
        <v/>
      </c>
      <c r="X199">
        <f>HYPERLINK("https://klasma.github.io/Logging_2183/tillsyn/A 28704-2020 tillsynsbegäran.docx", "A 28704-2020")</f>
        <v/>
      </c>
      <c r="Y199">
        <f>HYPERLINK("https://klasma.github.io/Logging_2183/tillsynsmail/A 28704-2020 tillsynsbegäran mail.docx", "A 28704-2020")</f>
        <v/>
      </c>
    </row>
    <row r="200" ht="15" customHeight="1">
      <c r="A200" t="inlineStr">
        <is>
          <t>A 30147-2020</t>
        </is>
      </c>
      <c r="B200" s="1" t="n">
        <v>44007</v>
      </c>
      <c r="C200" s="1" t="n">
        <v>45352</v>
      </c>
      <c r="D200" t="inlineStr">
        <is>
          <t>GÄVLEBORGS LÄN</t>
        </is>
      </c>
      <c r="E200" t="inlineStr">
        <is>
          <t>SANDVIKEN</t>
        </is>
      </c>
      <c r="G200" t="n">
        <v>3.7</v>
      </c>
      <c r="H200" t="n">
        <v>1</v>
      </c>
      <c r="I200" t="n">
        <v>1</v>
      </c>
      <c r="J200" t="n">
        <v>0</v>
      </c>
      <c r="K200" t="n">
        <v>0</v>
      </c>
      <c r="L200" t="n">
        <v>0</v>
      </c>
      <c r="M200" t="n">
        <v>0</v>
      </c>
      <c r="N200" t="n">
        <v>0</v>
      </c>
      <c r="O200" t="n">
        <v>0</v>
      </c>
      <c r="P200" t="n">
        <v>0</v>
      </c>
      <c r="Q200" t="n">
        <v>2</v>
      </c>
      <c r="R200" s="2" t="inlineStr">
        <is>
          <t>Strutbräken
Revlummer</t>
        </is>
      </c>
      <c r="S200">
        <f>HYPERLINK("https://klasma.github.io/Logging_2181/artfynd/A 30147-2020 artfynd.xlsx", "A 30147-2020")</f>
        <v/>
      </c>
      <c r="T200">
        <f>HYPERLINK("https://klasma.github.io/Logging_2181/kartor/A 30147-2020 karta.png", "A 30147-2020")</f>
        <v/>
      </c>
      <c r="V200">
        <f>HYPERLINK("https://klasma.github.io/Logging_2181/klagomål/A 30147-2020 FSC-klagomål.docx", "A 30147-2020")</f>
        <v/>
      </c>
      <c r="W200">
        <f>HYPERLINK("https://klasma.github.io/Logging_2181/klagomålsmail/A 30147-2020 FSC-klagomål mail.docx", "A 30147-2020")</f>
        <v/>
      </c>
      <c r="X200">
        <f>HYPERLINK("https://klasma.github.io/Logging_2181/tillsyn/A 30147-2020 tillsynsbegäran.docx", "A 30147-2020")</f>
        <v/>
      </c>
      <c r="Y200">
        <f>HYPERLINK("https://klasma.github.io/Logging_2181/tillsynsmail/A 30147-2020 tillsynsbegäran mail.docx", "A 30147-2020")</f>
        <v/>
      </c>
    </row>
    <row r="201" ht="15" customHeight="1">
      <c r="A201" t="inlineStr">
        <is>
          <t>A 30620-2020</t>
        </is>
      </c>
      <c r="B201" s="1" t="n">
        <v>44008</v>
      </c>
      <c r="C201" s="1" t="n">
        <v>45352</v>
      </c>
      <c r="D201" t="inlineStr">
        <is>
          <t>GÄVLEBORGS LÄN</t>
        </is>
      </c>
      <c r="E201" t="inlineStr">
        <is>
          <t>NORDANSTIG</t>
        </is>
      </c>
      <c r="G201" t="n">
        <v>19.5</v>
      </c>
      <c r="H201" t="n">
        <v>2</v>
      </c>
      <c r="I201" t="n">
        <v>0</v>
      </c>
      <c r="J201" t="n">
        <v>2</v>
      </c>
      <c r="K201" t="n">
        <v>0</v>
      </c>
      <c r="L201" t="n">
        <v>0</v>
      </c>
      <c r="M201" t="n">
        <v>0</v>
      </c>
      <c r="N201" t="n">
        <v>0</v>
      </c>
      <c r="O201" t="n">
        <v>2</v>
      </c>
      <c r="P201" t="n">
        <v>0</v>
      </c>
      <c r="Q201" t="n">
        <v>2</v>
      </c>
      <c r="R201" s="2" t="inlineStr">
        <is>
          <t>Duvhök
Havsörn</t>
        </is>
      </c>
      <c r="S201">
        <f>HYPERLINK("https://klasma.github.io/Logging_2132/artfynd/A 30620-2020 artfynd.xlsx", "A 30620-2020")</f>
        <v/>
      </c>
      <c r="T201">
        <f>HYPERLINK("https://klasma.github.io/Logging_2132/kartor/A 30620-2020 karta.png", "A 30620-2020")</f>
        <v/>
      </c>
      <c r="V201">
        <f>HYPERLINK("https://klasma.github.io/Logging_2132/klagomål/A 30620-2020 FSC-klagomål.docx", "A 30620-2020")</f>
        <v/>
      </c>
      <c r="W201">
        <f>HYPERLINK("https://klasma.github.io/Logging_2132/klagomålsmail/A 30620-2020 FSC-klagomål mail.docx", "A 30620-2020")</f>
        <v/>
      </c>
      <c r="X201">
        <f>HYPERLINK("https://klasma.github.io/Logging_2132/tillsyn/A 30620-2020 tillsynsbegäran.docx", "A 30620-2020")</f>
        <v/>
      </c>
      <c r="Y201">
        <f>HYPERLINK("https://klasma.github.io/Logging_2132/tillsynsmail/A 30620-2020 tillsynsbegäran mail.docx", "A 30620-2020")</f>
        <v/>
      </c>
      <c r="Z201">
        <f>HYPERLINK("https://klasma.github.io/Logging_2132/fåglar/A 30620-2020 prioriterade fågelarter.docx", "A 30620-2020")</f>
        <v/>
      </c>
    </row>
    <row r="202" ht="15" customHeight="1">
      <c r="A202" t="inlineStr">
        <is>
          <t>A 33136-2020</t>
        </is>
      </c>
      <c r="B202" s="1" t="n">
        <v>44021</v>
      </c>
      <c r="C202" s="1" t="n">
        <v>45352</v>
      </c>
      <c r="D202" t="inlineStr">
        <is>
          <t>GÄVLEBORGS LÄN</t>
        </is>
      </c>
      <c r="E202" t="inlineStr">
        <is>
          <t>NORDANSTIG</t>
        </is>
      </c>
      <c r="F202" t="inlineStr">
        <is>
          <t>Holmen skog AB</t>
        </is>
      </c>
      <c r="G202" t="n">
        <v>6</v>
      </c>
      <c r="H202" t="n">
        <v>0</v>
      </c>
      <c r="I202" t="n">
        <v>0</v>
      </c>
      <c r="J202" t="n">
        <v>2</v>
      </c>
      <c r="K202" t="n">
        <v>0</v>
      </c>
      <c r="L202" t="n">
        <v>0</v>
      </c>
      <c r="M202" t="n">
        <v>0</v>
      </c>
      <c r="N202" t="n">
        <v>0</v>
      </c>
      <c r="O202" t="n">
        <v>2</v>
      </c>
      <c r="P202" t="n">
        <v>0</v>
      </c>
      <c r="Q202" t="n">
        <v>2</v>
      </c>
      <c r="R202" s="2" t="inlineStr">
        <is>
          <t>Motaggsvamp
Reliktbock</t>
        </is>
      </c>
      <c r="S202">
        <f>HYPERLINK("https://klasma.github.io/Logging_2132/artfynd/A 33136-2020 artfynd.xlsx", "A 33136-2020")</f>
        <v/>
      </c>
      <c r="T202">
        <f>HYPERLINK("https://klasma.github.io/Logging_2132/kartor/A 33136-2020 karta.png", "A 33136-2020")</f>
        <v/>
      </c>
      <c r="V202">
        <f>HYPERLINK("https://klasma.github.io/Logging_2132/klagomål/A 33136-2020 FSC-klagomål.docx", "A 33136-2020")</f>
        <v/>
      </c>
      <c r="W202">
        <f>HYPERLINK("https://klasma.github.io/Logging_2132/klagomålsmail/A 33136-2020 FSC-klagomål mail.docx", "A 33136-2020")</f>
        <v/>
      </c>
      <c r="X202">
        <f>HYPERLINK("https://klasma.github.io/Logging_2132/tillsyn/A 33136-2020 tillsynsbegäran.docx", "A 33136-2020")</f>
        <v/>
      </c>
      <c r="Y202">
        <f>HYPERLINK("https://klasma.github.io/Logging_2132/tillsynsmail/A 33136-2020 tillsynsbegäran mail.docx", "A 33136-2020")</f>
        <v/>
      </c>
    </row>
    <row r="203" ht="15" customHeight="1">
      <c r="A203" t="inlineStr">
        <is>
          <t>A 35427-2020</t>
        </is>
      </c>
      <c r="B203" s="1" t="n">
        <v>44042</v>
      </c>
      <c r="C203" s="1" t="n">
        <v>45352</v>
      </c>
      <c r="D203" t="inlineStr">
        <is>
          <t>GÄVLEBORGS LÄN</t>
        </is>
      </c>
      <c r="E203" t="inlineStr">
        <is>
          <t>HUDIKSVALL</t>
        </is>
      </c>
      <c r="F203" t="inlineStr">
        <is>
          <t>Holmen skog AB</t>
        </is>
      </c>
      <c r="G203" t="n">
        <v>1.4</v>
      </c>
      <c r="H203" t="n">
        <v>1</v>
      </c>
      <c r="I203" t="n">
        <v>0</v>
      </c>
      <c r="J203" t="n">
        <v>1</v>
      </c>
      <c r="K203" t="n">
        <v>0</v>
      </c>
      <c r="L203" t="n">
        <v>0</v>
      </c>
      <c r="M203" t="n">
        <v>0</v>
      </c>
      <c r="N203" t="n">
        <v>0</v>
      </c>
      <c r="O203" t="n">
        <v>1</v>
      </c>
      <c r="P203" t="n">
        <v>0</v>
      </c>
      <c r="Q203" t="n">
        <v>2</v>
      </c>
      <c r="R203" s="2" t="inlineStr">
        <is>
          <t>Garnlav
Revlummer</t>
        </is>
      </c>
      <c r="S203">
        <f>HYPERLINK("https://klasma.github.io/Logging_2184/artfynd/A 35427-2020 artfynd.xlsx", "A 35427-2020")</f>
        <v/>
      </c>
      <c r="T203">
        <f>HYPERLINK("https://klasma.github.io/Logging_2184/kartor/A 35427-2020 karta.png", "A 35427-2020")</f>
        <v/>
      </c>
      <c r="V203">
        <f>HYPERLINK("https://klasma.github.io/Logging_2184/klagomål/A 35427-2020 FSC-klagomål.docx", "A 35427-2020")</f>
        <v/>
      </c>
      <c r="W203">
        <f>HYPERLINK("https://klasma.github.io/Logging_2184/klagomålsmail/A 35427-2020 FSC-klagomål mail.docx", "A 35427-2020")</f>
        <v/>
      </c>
      <c r="X203">
        <f>HYPERLINK("https://klasma.github.io/Logging_2184/tillsyn/A 35427-2020 tillsynsbegäran.docx", "A 35427-2020")</f>
        <v/>
      </c>
      <c r="Y203">
        <f>HYPERLINK("https://klasma.github.io/Logging_2184/tillsynsmail/A 35427-2020 tillsynsbegäran mail.docx", "A 35427-2020")</f>
        <v/>
      </c>
    </row>
    <row r="204" ht="15" customHeight="1">
      <c r="A204" t="inlineStr">
        <is>
          <t>A 43503-2020</t>
        </is>
      </c>
      <c r="B204" s="1" t="n">
        <v>44077</v>
      </c>
      <c r="C204" s="1" t="n">
        <v>45352</v>
      </c>
      <c r="D204" t="inlineStr">
        <is>
          <t>GÄVLEBORGS LÄN</t>
        </is>
      </c>
      <c r="E204" t="inlineStr">
        <is>
          <t>HUDIKSVALL</t>
        </is>
      </c>
      <c r="G204" t="n">
        <v>3.3</v>
      </c>
      <c r="H204" t="n">
        <v>1</v>
      </c>
      <c r="I204" t="n">
        <v>0</v>
      </c>
      <c r="J204" t="n">
        <v>1</v>
      </c>
      <c r="K204" t="n">
        <v>1</v>
      </c>
      <c r="L204" t="n">
        <v>0</v>
      </c>
      <c r="M204" t="n">
        <v>0</v>
      </c>
      <c r="N204" t="n">
        <v>0</v>
      </c>
      <c r="O204" t="n">
        <v>2</v>
      </c>
      <c r="P204" t="n">
        <v>1</v>
      </c>
      <c r="Q204" t="n">
        <v>2</v>
      </c>
      <c r="R204" s="2" t="inlineStr">
        <is>
          <t>Knärot
Garnlav</t>
        </is>
      </c>
      <c r="S204">
        <f>HYPERLINK("https://klasma.github.io/Logging_2184/artfynd/A 43503-2020 artfynd.xlsx", "A 43503-2020")</f>
        <v/>
      </c>
      <c r="T204">
        <f>HYPERLINK("https://klasma.github.io/Logging_2184/kartor/A 43503-2020 karta.png", "A 43503-2020")</f>
        <v/>
      </c>
      <c r="U204">
        <f>HYPERLINK("https://klasma.github.io/Logging_2184/knärot/A 43503-2020 karta knärot.png", "A 43503-2020")</f>
        <v/>
      </c>
      <c r="V204">
        <f>HYPERLINK("https://klasma.github.io/Logging_2184/klagomål/A 43503-2020 FSC-klagomål.docx", "A 43503-2020")</f>
        <v/>
      </c>
      <c r="W204">
        <f>HYPERLINK("https://klasma.github.io/Logging_2184/klagomålsmail/A 43503-2020 FSC-klagomål mail.docx", "A 43503-2020")</f>
        <v/>
      </c>
      <c r="X204">
        <f>HYPERLINK("https://klasma.github.io/Logging_2184/tillsyn/A 43503-2020 tillsynsbegäran.docx", "A 43503-2020")</f>
        <v/>
      </c>
      <c r="Y204">
        <f>HYPERLINK("https://klasma.github.io/Logging_2184/tillsynsmail/A 43503-2020 tillsynsbegäran mail.docx", "A 43503-2020")</f>
        <v/>
      </c>
    </row>
    <row r="205" ht="15" customHeight="1">
      <c r="A205" t="inlineStr">
        <is>
          <t>A 13261-2021</t>
        </is>
      </c>
      <c r="B205" s="1" t="n">
        <v>44272</v>
      </c>
      <c r="C205" s="1" t="n">
        <v>45352</v>
      </c>
      <c r="D205" t="inlineStr">
        <is>
          <t>GÄVLEBORGS LÄN</t>
        </is>
      </c>
      <c r="E205" t="inlineStr">
        <is>
          <t>GÄVLE</t>
        </is>
      </c>
      <c r="G205" t="n">
        <v>4.7</v>
      </c>
      <c r="H205" t="n">
        <v>1</v>
      </c>
      <c r="I205" t="n">
        <v>0</v>
      </c>
      <c r="J205" t="n">
        <v>1</v>
      </c>
      <c r="K205" t="n">
        <v>0</v>
      </c>
      <c r="L205" t="n">
        <v>0</v>
      </c>
      <c r="M205" t="n">
        <v>0</v>
      </c>
      <c r="N205" t="n">
        <v>0</v>
      </c>
      <c r="O205" t="n">
        <v>1</v>
      </c>
      <c r="P205" t="n">
        <v>0</v>
      </c>
      <c r="Q205" t="n">
        <v>2</v>
      </c>
      <c r="R205" s="2" t="inlineStr">
        <is>
          <t>Motaggsvamp
Blåsippa</t>
        </is>
      </c>
      <c r="S205">
        <f>HYPERLINK("https://klasma.github.io/Logging_2180/artfynd/A 13261-2021 artfynd.xlsx", "A 13261-2021")</f>
        <v/>
      </c>
      <c r="T205">
        <f>HYPERLINK("https://klasma.github.io/Logging_2180/kartor/A 13261-2021 karta.png", "A 13261-2021")</f>
        <v/>
      </c>
      <c r="V205">
        <f>HYPERLINK("https://klasma.github.io/Logging_2180/klagomål/A 13261-2021 FSC-klagomål.docx", "A 13261-2021")</f>
        <v/>
      </c>
      <c r="W205">
        <f>HYPERLINK("https://klasma.github.io/Logging_2180/klagomålsmail/A 13261-2021 FSC-klagomål mail.docx", "A 13261-2021")</f>
        <v/>
      </c>
      <c r="X205">
        <f>HYPERLINK("https://klasma.github.io/Logging_2180/tillsyn/A 13261-2021 tillsynsbegäran.docx", "A 13261-2021")</f>
        <v/>
      </c>
      <c r="Y205">
        <f>HYPERLINK("https://klasma.github.io/Logging_2180/tillsynsmail/A 13261-2021 tillsynsbegäran mail.docx", "A 13261-2021")</f>
        <v/>
      </c>
    </row>
    <row r="206" ht="15" customHeight="1">
      <c r="A206" t="inlineStr">
        <is>
          <t>A 20198-2021</t>
        </is>
      </c>
      <c r="B206" s="1" t="n">
        <v>44314</v>
      </c>
      <c r="C206" s="1" t="n">
        <v>45352</v>
      </c>
      <c r="D206" t="inlineStr">
        <is>
          <t>GÄVLEBORGS LÄN</t>
        </is>
      </c>
      <c r="E206" t="inlineStr">
        <is>
          <t>GÄVLE</t>
        </is>
      </c>
      <c r="F206" t="inlineStr">
        <is>
          <t>Bergvik skog öst AB</t>
        </is>
      </c>
      <c r="G206" t="n">
        <v>4.5</v>
      </c>
      <c r="H206" t="n">
        <v>1</v>
      </c>
      <c r="I206" t="n">
        <v>2</v>
      </c>
      <c r="J206" t="n">
        <v>0</v>
      </c>
      <c r="K206" t="n">
        <v>0</v>
      </c>
      <c r="L206" t="n">
        <v>0</v>
      </c>
      <c r="M206" t="n">
        <v>0</v>
      </c>
      <c r="N206" t="n">
        <v>0</v>
      </c>
      <c r="O206" t="n">
        <v>0</v>
      </c>
      <c r="P206" t="n">
        <v>0</v>
      </c>
      <c r="Q206" t="n">
        <v>2</v>
      </c>
      <c r="R206" s="2" t="inlineStr">
        <is>
          <t>Anisspindling
Skogsknipprot</t>
        </is>
      </c>
      <c r="S206">
        <f>HYPERLINK("https://klasma.github.io/Logging_2180/artfynd/A 20198-2021 artfynd.xlsx", "A 20198-2021")</f>
        <v/>
      </c>
      <c r="T206">
        <f>HYPERLINK("https://klasma.github.io/Logging_2180/kartor/A 20198-2021 karta.png", "A 20198-2021")</f>
        <v/>
      </c>
      <c r="V206">
        <f>HYPERLINK("https://klasma.github.io/Logging_2180/klagomål/A 20198-2021 FSC-klagomål.docx", "A 20198-2021")</f>
        <v/>
      </c>
      <c r="W206">
        <f>HYPERLINK("https://klasma.github.io/Logging_2180/klagomålsmail/A 20198-2021 FSC-klagomål mail.docx", "A 20198-2021")</f>
        <v/>
      </c>
      <c r="X206">
        <f>HYPERLINK("https://klasma.github.io/Logging_2180/tillsyn/A 20198-2021 tillsynsbegäran.docx", "A 20198-2021")</f>
        <v/>
      </c>
      <c r="Y206">
        <f>HYPERLINK("https://klasma.github.io/Logging_2180/tillsynsmail/A 20198-2021 tillsynsbegäran mail.docx", "A 20198-2021")</f>
        <v/>
      </c>
    </row>
    <row r="207" ht="15" customHeight="1">
      <c r="A207" t="inlineStr">
        <is>
          <t>A 21765-2021</t>
        </is>
      </c>
      <c r="B207" s="1" t="n">
        <v>44322</v>
      </c>
      <c r="C207" s="1" t="n">
        <v>45352</v>
      </c>
      <c r="D207" t="inlineStr">
        <is>
          <t>GÄVLEBORGS LÄN</t>
        </is>
      </c>
      <c r="E207" t="inlineStr">
        <is>
          <t>LJUSDAL</t>
        </is>
      </c>
      <c r="F207" t="inlineStr">
        <is>
          <t>Sveaskog</t>
        </is>
      </c>
      <c r="G207" t="n">
        <v>1</v>
      </c>
      <c r="H207" t="n">
        <v>2</v>
      </c>
      <c r="I207" t="n">
        <v>0</v>
      </c>
      <c r="J207" t="n">
        <v>2</v>
      </c>
      <c r="K207" t="n">
        <v>0</v>
      </c>
      <c r="L207" t="n">
        <v>0</v>
      </c>
      <c r="M207" t="n">
        <v>0</v>
      </c>
      <c r="N207" t="n">
        <v>0</v>
      </c>
      <c r="O207" t="n">
        <v>2</v>
      </c>
      <c r="P207" t="n">
        <v>0</v>
      </c>
      <c r="Q207" t="n">
        <v>2</v>
      </c>
      <c r="R207" s="2" t="inlineStr">
        <is>
          <t>Stenfalk
Ärtsångare</t>
        </is>
      </c>
      <c r="S207">
        <f>HYPERLINK("https://klasma.github.io/Logging_2161/artfynd/A 21765-2021 artfynd.xlsx", "A 21765-2021")</f>
        <v/>
      </c>
      <c r="T207">
        <f>HYPERLINK("https://klasma.github.io/Logging_2161/kartor/A 21765-2021 karta.png", "A 21765-2021")</f>
        <v/>
      </c>
      <c r="V207">
        <f>HYPERLINK("https://klasma.github.io/Logging_2161/klagomål/A 21765-2021 FSC-klagomål.docx", "A 21765-2021")</f>
        <v/>
      </c>
      <c r="W207">
        <f>HYPERLINK("https://klasma.github.io/Logging_2161/klagomålsmail/A 21765-2021 FSC-klagomål mail.docx", "A 21765-2021")</f>
        <v/>
      </c>
      <c r="X207">
        <f>HYPERLINK("https://klasma.github.io/Logging_2161/tillsyn/A 21765-2021 tillsynsbegäran.docx", "A 21765-2021")</f>
        <v/>
      </c>
      <c r="Y207">
        <f>HYPERLINK("https://klasma.github.io/Logging_2161/tillsynsmail/A 21765-2021 tillsynsbegäran mail.docx", "A 21765-2021")</f>
        <v/>
      </c>
      <c r="Z207">
        <f>HYPERLINK("https://klasma.github.io/Logging_2161/fåglar/A 21765-2021 prioriterade fågelarter.docx", "A 21765-2021")</f>
        <v/>
      </c>
    </row>
    <row r="208" ht="15" customHeight="1">
      <c r="A208" t="inlineStr">
        <is>
          <t>A 22073-2021</t>
        </is>
      </c>
      <c r="B208" s="1" t="n">
        <v>44323</v>
      </c>
      <c r="C208" s="1" t="n">
        <v>45352</v>
      </c>
      <c r="D208" t="inlineStr">
        <is>
          <t>GÄVLEBORGS LÄN</t>
        </is>
      </c>
      <c r="E208" t="inlineStr">
        <is>
          <t>GÄVLE</t>
        </is>
      </c>
      <c r="F208" t="inlineStr">
        <is>
          <t>Bergvik skog öst AB</t>
        </is>
      </c>
      <c r="G208" t="n">
        <v>0.5</v>
      </c>
      <c r="H208" t="n">
        <v>2</v>
      </c>
      <c r="I208" t="n">
        <v>0</v>
      </c>
      <c r="J208" t="n">
        <v>2</v>
      </c>
      <c r="K208" t="n">
        <v>0</v>
      </c>
      <c r="L208" t="n">
        <v>0</v>
      </c>
      <c r="M208" t="n">
        <v>0</v>
      </c>
      <c r="N208" t="n">
        <v>0</v>
      </c>
      <c r="O208" t="n">
        <v>2</v>
      </c>
      <c r="P208" t="n">
        <v>0</v>
      </c>
      <c r="Q208" t="n">
        <v>2</v>
      </c>
      <c r="R208" s="2" t="inlineStr">
        <is>
          <t>Blå kärrhök
Havsörn</t>
        </is>
      </c>
      <c r="S208">
        <f>HYPERLINK("https://klasma.github.io/Logging_2180/artfynd/A 22073-2021 artfynd.xlsx", "A 22073-2021")</f>
        <v/>
      </c>
      <c r="T208">
        <f>HYPERLINK("https://klasma.github.io/Logging_2180/kartor/A 22073-2021 karta.png", "A 22073-2021")</f>
        <v/>
      </c>
      <c r="V208">
        <f>HYPERLINK("https://klasma.github.io/Logging_2180/klagomål/A 22073-2021 FSC-klagomål.docx", "A 22073-2021")</f>
        <v/>
      </c>
      <c r="W208">
        <f>HYPERLINK("https://klasma.github.io/Logging_2180/klagomålsmail/A 22073-2021 FSC-klagomål mail.docx", "A 22073-2021")</f>
        <v/>
      </c>
      <c r="X208">
        <f>HYPERLINK("https://klasma.github.io/Logging_2180/tillsyn/A 22073-2021 tillsynsbegäran.docx", "A 22073-2021")</f>
        <v/>
      </c>
      <c r="Y208">
        <f>HYPERLINK("https://klasma.github.io/Logging_2180/tillsynsmail/A 22073-2021 tillsynsbegäran mail.docx", "A 22073-2021")</f>
        <v/>
      </c>
      <c r="Z208">
        <f>HYPERLINK("https://klasma.github.io/Logging_2180/fåglar/A 22073-2021 prioriterade fågelarter.docx", "A 22073-2021")</f>
        <v/>
      </c>
    </row>
    <row r="209" ht="15" customHeight="1">
      <c r="A209" t="inlineStr">
        <is>
          <t>A 28727-2021</t>
        </is>
      </c>
      <c r="B209" s="1" t="n">
        <v>44357</v>
      </c>
      <c r="C209" s="1" t="n">
        <v>45352</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45352</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45352</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45352</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45352</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45352</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45352</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45352</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45352</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45352</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45352</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45352</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45352</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45352</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45352</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45352</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45352</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45352</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45352</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45352</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45352</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45352</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45352</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45352</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45352</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45352</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45352</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45352</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45352</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45352</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45352</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45352</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45352</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45352</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45352</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45352</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45352</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45352</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45352</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45352</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45352</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45352</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45352</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45352</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45352</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45352</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45352</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45352</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45352</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45352</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45352</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45352</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45352</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45352</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45352</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45352</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45352</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45352</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45352</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45352</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45352</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45352</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45352</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45352</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45352</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45352</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45352</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45352</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45352</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45352</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45352</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45352</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45352</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45352</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45352</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45352</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45352</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45352</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45352</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45352</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45352</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45352</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45352</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45352</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45352</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45352</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45352</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45352</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45352</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45352</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45352</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45352</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45352</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45352</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45352</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45352</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45352</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45352</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45352</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45352</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45352</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45352</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45352</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45352</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45352</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45352</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45352</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45352</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45352</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45352</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45352</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45352</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45352</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45352</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45352</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45352</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45352</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45352</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45352</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45352</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45352</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45352</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45352</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45352</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45352</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45352</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45352</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45352</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45352</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45352</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45352</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45352</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45352</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45352</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45352</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45352</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45352</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45352</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45352</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45352</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45352</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45352</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45352</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45352</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45352</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45352</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45352</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45352</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45352</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45352</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45352</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45352</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45352</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45352</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45352</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45352</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45352</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45352</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45352</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45352</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45352</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45352</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45352</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45352</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45352</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45352</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45352</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45352</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45352</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45352</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45352</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45352</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45352</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45352</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45352</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45352</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45352</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45352</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45352</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45352</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45352</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45352</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45352</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45352</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45352</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45352</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45352</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45352</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45352</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45352</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45352</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45352</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45352</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45352</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45352</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45352</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45352</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45352</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45352</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45352</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45352</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45352</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45352</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45352</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45352</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45352</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45352</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45352</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45352</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45352</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45352</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45352</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45352</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45352</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45352</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45352</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45352</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45352</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45352</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45352</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45352</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45352</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45352</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45352</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45352</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45352</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45352</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45352</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45352</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45352</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45352</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45352</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45352</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45352</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45352</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45352</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45352</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45352</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45352</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45352</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45352</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45352</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45352</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45352</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45352</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45352</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45352</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45352</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45352</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45352</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45352</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45352</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45352</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45352</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45352</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45352</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45352</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45352</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45352</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45352</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45352</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45352</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45352</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45352</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45352</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45352</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45352</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45352</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45352</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45352</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45352</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45352</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45352</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45352</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45352</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45352</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45352</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45352</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45352</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45352</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45352</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45352</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45352</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45352</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45352</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45352</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45352</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45352</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45352</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45352</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45352</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45352</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45352</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45352</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45352</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45352</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45352</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45352</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45352</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45352</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45352</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45352</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45352</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45352</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45352</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45352</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45352</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45352</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45352</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45352</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45352</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45352</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45352</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45352</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45352</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45352</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45352</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45352</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45352</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45352</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45352</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45352</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45352</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45352</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45352</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45352</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45352</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45352</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45352</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45352</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45352</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45352</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45352</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45352</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45352</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45352</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45352</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45352</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45352</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45352</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45352</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45352</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45352</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45352</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45352</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45352</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45352</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45352</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45352</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45352</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45352</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45352</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45352</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45352</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45352</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45352</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45352</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45352</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45352</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45352</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45352</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45352</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45352</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45352</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45352</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45352</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45352</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45352</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45352</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45352</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45352</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45352</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45352</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45352</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45352</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45352</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45352</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45352</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45352</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45352</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45352</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45352</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45352</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45352</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45352</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45352</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45352</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45352</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45352</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45352</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45352</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45352</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45352</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45352</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45352</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45352</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45352</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45352</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45352</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45352</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45352</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45352</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45352</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45352</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45352</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45352</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45352</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45352</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45352</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45352</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45352</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45352</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45352</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45352</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45352</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45352</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45352</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45352</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45352</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45352</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45352</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45352</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45352</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45352</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45352</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45352</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45352</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45352</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45352</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45352</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45352</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45352</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45352</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45352</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45352</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45352</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45352</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45352</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45352</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45352</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45352</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45352</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45352</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45352</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45352</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45352</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45352</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45352</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45352</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45352</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45352</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45352</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45352</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45352</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45352</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45352</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45352</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45352</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45352</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45352</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45352</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45352</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45352</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45352</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45352</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45352</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45352</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45352</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45352</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45352</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45352</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45352</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45352</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45352</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45352</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45352</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45352</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45352</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45352</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45352</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45352</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45352</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45352</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45352</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45352</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45352</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45352</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45352</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45352</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45352</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45352</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45352</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45352</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45352</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45352</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45352</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45352</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45352</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45352</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45352</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45352</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45352</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45352</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45352</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45352</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45352</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45352</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45352</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45352</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45352</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45352</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45352</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45352</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45352</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45352</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45352</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45352</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45352</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45352</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45352</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45352</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45352</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45352</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45352</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45352</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45352</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45352</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45352</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45352</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45352</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45352</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45352</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45352</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45352</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45352</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45352</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45352</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45352</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45352</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45352</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45352</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45352</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45352</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45352</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45352</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45352</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45352</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45352</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45352</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45352</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45352</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45352</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45352</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45352</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45352</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45352</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45352</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45352</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45352</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45352</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45352</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45352</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45352</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45352</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45352</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45352</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45352</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45352</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45352</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45352</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45352</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45352</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45352</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45352</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45352</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45352</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45352</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45352</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45352</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45352</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45352</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45352</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45352</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45352</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45352</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45352</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45352</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45352</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45352</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45352</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45352</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45352</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45352</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45352</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45352</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45352</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45352</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45352</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45352</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45352</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45352</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45352</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45352</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45352</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45352</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45352</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45352</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45352</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45352</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45352</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45352</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45352</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45352</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45352</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45352</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45352</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45352</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45352</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45352</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45352</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45352</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45352</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45352</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45352</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45352</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45352</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45352</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45352</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45352</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45352</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45352</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45352</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45352</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45352</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45352</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45352</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45352</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45352</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45352</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45352</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45352</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45352</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45352</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45352</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45352</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45352</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45352</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45352</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45352</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45352</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45352</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45352</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45352</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45352</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45352</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45352</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45352</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45352</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45352</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45352</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45352</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45352</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45352</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45352</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45352</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45352</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45352</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45352</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45352</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45352</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45352</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45352</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45352</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45352</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45352</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45352</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45352</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45352</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45352</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45352</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45352</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45352</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45352</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45352</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45352</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45352</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45352</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45352</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45352</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45352</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45352</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45352</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45352</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45352</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45352</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45352</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45352</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45352</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45352</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45352</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45352</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45352</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45352</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45352</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45352</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45352</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45352</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45352</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45352</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45352</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45352</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45352</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45352</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45352</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45352</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45352</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45352</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45352</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45352</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45352</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45352</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45352</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45352</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45352</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45352</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45352</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45352</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45352</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45352</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45352</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45352</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45352</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45352</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45352</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45352</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45352</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45352</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45352</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45352</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45352</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45352</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45352</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45352</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45352</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45352</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45352</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45352</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45352</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45352</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45352</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45352</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45352</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45352</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45352</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45352</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45352</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45352</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45352</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45352</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45352</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45352</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45352</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45352</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45352</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45352</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45352</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45352</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45352</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45352</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45352</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45352</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45352</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45352</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45352</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45352</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45352</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45352</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45352</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45352</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45352</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45352</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45352</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45352</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45352</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45352</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45352</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45352</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45352</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45352</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45352</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45352</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45352</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45352</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45352</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45352</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45352</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45352</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45352</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45352</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45352</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45352</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45352</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45352</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45352</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45352</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45352</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45352</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45352</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45352</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45352</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45352</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45352</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45352</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45352</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45352</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45352</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45352</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45352</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45352</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45352</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45352</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45352</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45352</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45352</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45352</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45352</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45352</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45352</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45352</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45352</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45352</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45352</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45352</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45352</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45352</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45352</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45352</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45352</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45352</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45352</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45352</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45352</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45352</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45352</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45352</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45352</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45352</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45352</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45352</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45352</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45352</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45352</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45352</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45352</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45352</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45352</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45352</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45352</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45352</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45352</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45352</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45352</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45352</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45352</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45352</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45352</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45352</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45352</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45352</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45352</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45352</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45352</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45352</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45352</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45352</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45352</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45352</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45352</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45352</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45352</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45352</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45352</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45352</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45352</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45352</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45352</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45352</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45352</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45352</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45352</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45352</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45352</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45352</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45352</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45352</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45352</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45352</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45352</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45352</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45352</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45352</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45352</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45352</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45352</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45352</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45352</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45352</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45352</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45352</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45352</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45352</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45352</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45352</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45352</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45352</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45352</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45352</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45352</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45352</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45352</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45352</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45352</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45352</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45352</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45352</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45352</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45352</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45352</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45352</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45352</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45352</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45352</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45352</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45352</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45352</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45352</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45352</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45352</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45352</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45352</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45352</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45352</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45352</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45352</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45352</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45352</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45352</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45352</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45352</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45352</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45352</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45352</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45352</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45352</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45352</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45352</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45352</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45352</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45352</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45352</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45352</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45352</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45352</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45352</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45352</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45352</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45352</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45352</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45352</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45352</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45352</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45352</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45352</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45352</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45352</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45352</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45352</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45352</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45352</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45352</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45352</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45352</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45352</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45352</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45352</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45352</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45352</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45352</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45352</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45352</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45352</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45352</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45352</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45352</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45352</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45352</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45352</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45352</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45352</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45352</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45352</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45352</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45352</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45352</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45352</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45352</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45352</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45352</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45352</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45352</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45352</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45352</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45352</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45352</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45352</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45352</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45352</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45352</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45352</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45352</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45352</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45352</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45352</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45352</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45352</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45352</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45352</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45352</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45352</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45352</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45352</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45352</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45352</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45352</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45352</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45352</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45352</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45352</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45352</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45352</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45352</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45352</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45352</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45352</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45352</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45352</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45352</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45352</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45352</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45352</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45352</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45352</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45352</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45352</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45352</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45352</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45352</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45352</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45352</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45352</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45352</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45352</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45352</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45352</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45352</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45352</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45352</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45352</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45352</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45352</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45352</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45352</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45352</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45352</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45352</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45352</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45352</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45352</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45352</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45352</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45352</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45352</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45352</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45352</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45352</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45352</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45352</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45352</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45352</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45352</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45352</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45352</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45352</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45352</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45352</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45352</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45352</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45352</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45352</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45352</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45352</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45352</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45352</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45352</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45352</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45352</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45352</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45352</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45352</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45352</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45352</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45352</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45352</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45352</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45352</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45352</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45352</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45352</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45352</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45352</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45352</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45352</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45352</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45352</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45352</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45352</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45352</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45352</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45352</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45352</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45352</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45352</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45352</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45352</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45352</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45352</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45352</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45352</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45352</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45352</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45352</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45352</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45352</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45352</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45352</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45352</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45352</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45352</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45352</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45352</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45352</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45352</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45352</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45352</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45352</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45352</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45352</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45352</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45352</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45352</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45352</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45352</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45352</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45352</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45352</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45352</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45352</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45352</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45352</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45352</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45352</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45352</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45352</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45352</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45352</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45352</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45352</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45352</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45352</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45352</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45352</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45352</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45352</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45352</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45352</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45352</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45352</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45352</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45352</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45352</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45352</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45352</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45352</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45352</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45352</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45352</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45352</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45352</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45352</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45352</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45352</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45352</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45352</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45352</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45352</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45352</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45352</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45352</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45352</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45352</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45352</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45352</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45352</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45352</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45352</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45352</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45352</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45352</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45352</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45352</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45352</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45352</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45352</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45352</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45352</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45352</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45352</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45352</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45352</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45352</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45352</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45352</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45352</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45352</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45352</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45352</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45352</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45352</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45352</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45352</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45352</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45352</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45352</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45352</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45352</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45352</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45352</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45352</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45352</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45352</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45352</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45352</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45352</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45352</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45352</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45352</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45352</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45352</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45352</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45352</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45352</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45352</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45352</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45352</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45352</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45352</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45352</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45352</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45352</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45352</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45352</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45352</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45352</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45352</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45352</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45352</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45352</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45352</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45352</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45352</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45352</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45352</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45352</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45352</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45352</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45352</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45352</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45352</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45352</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45352</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45352</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45352</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45352</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45352</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45352</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45352</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45352</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45352</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45352</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45352</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45352</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45352</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45352</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45352</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45352</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45352</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45352</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45352</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45352</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45352</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45352</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45352</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45352</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45352</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45352</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45352</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45352</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45352</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45352</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45352</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45352</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45352</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45352</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45352</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45352</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45352</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45352</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45352</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45352</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45352</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45352</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45352</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45352</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45352</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45352</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45352</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45352</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45352</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45352</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45352</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45352</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45352</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45352</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45352</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45352</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45352</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45352</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45352</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45352</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45352</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45352</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45352</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45352</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45352</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45352</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45352</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45352</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45352</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45352</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45352</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45352</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45352</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45352</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45352</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45352</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45352</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45352</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45352</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45352</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45352</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45352</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45352</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45352</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45352</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45352</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45352</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45352</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45352</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45352</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45352</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45352</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45352</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45352</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45352</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45352</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45352</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45352</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45352</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45352</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45352</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45352</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45352</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45352</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45352</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45352</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45352</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45352</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45352</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45352</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45352</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45352</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45352</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45352</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45352</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45352</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45352</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45352</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45352</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45352</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45352</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45352</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45352</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45352</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45352</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45352</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45352</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45352</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45352</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45352</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45352</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45352</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45352</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45352</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45352</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45352</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45352</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45352</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45352</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45352</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45352</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45352</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45352</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45352</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45352</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45352</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45352</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45352</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45352</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45352</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45352</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45352</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45352</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45352</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45352</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45352</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45352</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45352</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45352</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45352</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45352</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45352</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45352</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45352</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45352</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45352</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45352</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45352</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45352</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45352</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45352</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45352</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45352</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45352</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45352</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45352</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45352</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45352</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45352</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45352</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45352</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45352</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45352</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45352</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45352</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45352</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45352</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45352</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45352</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45352</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45352</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45352</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45352</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45352</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45352</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45352</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45352</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45352</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45352</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45352</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45352</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45352</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45352</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45352</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45352</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45352</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45352</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45352</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45352</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45352</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45352</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45352</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45352</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45352</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45352</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45352</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45352</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45352</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45352</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45352</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45352</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45352</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45352</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45352</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45352</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45352</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45352</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45352</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45352</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45352</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45352</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45352</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45352</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45352</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45352</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45352</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45352</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45352</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45352</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45352</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45352</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45352</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45352</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45352</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45352</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45352</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45352</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45352</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45352</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45352</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45352</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45352</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45352</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45352</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45352</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45352</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45352</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45352</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45352</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45352</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45352</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45352</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45352</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45352</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45352</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45352</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45352</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45352</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45352</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45352</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45352</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45352</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45352</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45352</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45352</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45352</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45352</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45352</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45352</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45352</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45352</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45352</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45352</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45352</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45352</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45352</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45352</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45352</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45352</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45352</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45352</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45352</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45352</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45352</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45352</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45352</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45352</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45352</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45352</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45352</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45352</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45352</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45352</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45352</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45352</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45352</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45352</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45352</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45352</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45352</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45352</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45352</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45352</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45352</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45352</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45352</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45352</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45352</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45352</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45352</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45352</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45352</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45352</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45352</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45352</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45352</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45352</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45352</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45352</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45352</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45352</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45352</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45352</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45352</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45352</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45352</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45352</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45352</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45352</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45352</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45352</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45352</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45352</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45352</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45352</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45352</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45352</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45352</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45352</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45352</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45352</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45352</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45352</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45352</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45352</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45352</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45352</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45352</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45352</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45352</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45352</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45352</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45352</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45352</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45352</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45352</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45352</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45352</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45352</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45352</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45352</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45352</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45352</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45352</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45352</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45352</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45352</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45352</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45352</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45352</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45352</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45352</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45352</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45352</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45352</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45352</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45352</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45352</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45352</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45352</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45352</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45352</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45352</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45352</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45352</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45352</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45352</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45352</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45352</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45352</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45352</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45352</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45352</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45352</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45352</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45352</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45352</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45352</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45352</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45352</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45352</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45352</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45352</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45352</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45352</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45352</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45352</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45352</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45352</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45352</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45352</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45352</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45352</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45352</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45352</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45352</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45352</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45352</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45352</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45352</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45352</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45352</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45352</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45352</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45352</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45352</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45352</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45352</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45352</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45352</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45352</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45352</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45352</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45352</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45352</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45352</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45352</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45352</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45352</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45352</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45352</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45352</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45352</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45352</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45352</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45352</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45352</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45352</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45352</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45352</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45352</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45352</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45352</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45352</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45352</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45352</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45352</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45352</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45352</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45352</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45352</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45352</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45352</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45352</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45352</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45352</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45352</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45352</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45352</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45352</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45352</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45352</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45352</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45352</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45352</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45352</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45352</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45352</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45352</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45352</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45352</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45352</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45352</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45352</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45352</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45352</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45352</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45352</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45352</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45352</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45352</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45352</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45352</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45352</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45352</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45352</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45352</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45352</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45352</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45352</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45352</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45352</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45352</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45352</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45352</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45352</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45352</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45352</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45352</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45352</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45352</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45352</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45352</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45352</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45352</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45352</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45352</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45352</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45352</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45352</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45352</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45352</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45352</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45352</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45352</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45352</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45352</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45352</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45352</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45352</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45352</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45352</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45352</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45352</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45352</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45352</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45352</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45352</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45352</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45352</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45352</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45352</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45352</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45352</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45352</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45352</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45352</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45352</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45352</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45352</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45352</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45352</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45352</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45352</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45352</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45352</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45352</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45352</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45352</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45352</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45352</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45352</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45352</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45352</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45352</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45352</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45352</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45352</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45352</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45352</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45352</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45352</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45352</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45352</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45352</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45352</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45352</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45352</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45352</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45352</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45352</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45352</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45352</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45352</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45352</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45352</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45352</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45352</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45352</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45352</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45352</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45352</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45352</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45352</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45352</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45352</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45352</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45352</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45352</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45352</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45352</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45352</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45352</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45352</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45352</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45352</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45352</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45352</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45352</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45352</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45352</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45352</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45352</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45352</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45352</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45352</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45352</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45352</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45352</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45352</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45352</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45352</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45352</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45352</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45352</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45352</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45352</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45352</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45352</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45352</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45352</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45352</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45352</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45352</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45352</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45352</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45352</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45352</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45352</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45352</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45352</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45352</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45352</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45352</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45352</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45352</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45352</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45352</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45352</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45352</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45352</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45352</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45352</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45352</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45352</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45352</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45352</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45352</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45352</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45352</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45352</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45352</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45352</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45352</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45352</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45352</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45352</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45352</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45352</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45352</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45352</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45352</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45352</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45352</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45352</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45352</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45352</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45352</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45352</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45352</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45352</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45352</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45352</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45352</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45352</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45352</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45352</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45352</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45352</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45352</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45352</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45352</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45352</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45352</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45352</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45352</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45352</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45352</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45352</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45352</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45352</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45352</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45352</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45352</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45352</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45352</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45352</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45352</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45352</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45352</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45352</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45352</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45352</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45352</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45352</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45352</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45352</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45352</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45352</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45352</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45352</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45352</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45352</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45352</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45352</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45352</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45352</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45352</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45352</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45352</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45352</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45352</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45352</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45352</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45352</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45352</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45352</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45352</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45352</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45352</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45352</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45352</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45352</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45352</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45352</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45352</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45352</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45352</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45352</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45352</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45352</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45352</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45352</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45352</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45352</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45352</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45352</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45352</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45352</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45352</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45352</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45352</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45352</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45352</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45352</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45352</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45352</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45352</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45352</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45352</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45352</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45352</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45352</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45352</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45352</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45352</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45352</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45352</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45352</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45352</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45352</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45352</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45352</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45352</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45352</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45352</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45352</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45352</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45352</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45352</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45352</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45352</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45352</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45352</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45352</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45352</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45352</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45352</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45352</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45352</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45352</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45352</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45352</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45352</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45352</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45352</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45352</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45352</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45352</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45352</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45352</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45352</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45352</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45352</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45352</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45352</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45352</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45352</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45352</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45352</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45352</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45352</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45352</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45352</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45352</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45352</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45352</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45352</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45352</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45352</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45352</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45352</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45352</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45352</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45352</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45352</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45352</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45352</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45352</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45352</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45352</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45352</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45352</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45352</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45352</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45352</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45352</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45352</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45352</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45352</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45352</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45352</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45352</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45352</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45352</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45352</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45352</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45352</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45352</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45352</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45352</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45352</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45352</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45352</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45352</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45352</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45352</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45352</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45352</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45352</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45352</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45352</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45352</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45352</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45352</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45352</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45352</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45352</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45352</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45352</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45352</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45352</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45352</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45352</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45352</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45352</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45352</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45352</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45352</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45352</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45352</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45352</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45352</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45352</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45352</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45352</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45352</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45352</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45352</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45352</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45352</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45352</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45352</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45352</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45352</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45352</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45352</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45352</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45352</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45352</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45352</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45352</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45352</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45352</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45352</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45352</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45352</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45352</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45352</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45352</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45352</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45352</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45352</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45352</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45352</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45352</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45352</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45352</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45352</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45352</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45352</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45352</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45352</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45352</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45352</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45352</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45352</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45352</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45352</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45352</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45352</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45352</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45352</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45352</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45352</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45352</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45352</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45352</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45352</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45352</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45352</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45352</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45352</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45352</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45352</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45352</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45352</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45352</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45352</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45352</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45352</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45352</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45352</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45352</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45352</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45352</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45352</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45352</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45352</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45352</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45352</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45352</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45352</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45352</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45352</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45352</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45352</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45352</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45352</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45352</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45352</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45352</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45352</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45352</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45352</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45352</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45352</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45352</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45352</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45352</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45352</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45352</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45352</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45352</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45352</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45352</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45352</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45352</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45352</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45352</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45352</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45352</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45352</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45352</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45352</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45352</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45352</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45352</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45352</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45352</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45352</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45352</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45352</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45352</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45352</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45352</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45352</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45352</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45352</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45352</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45352</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45352</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45352</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45352</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45352</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45352</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45352</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45352</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45352</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45352</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45352</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45352</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45352</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45352</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45352</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45352</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45352</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45352</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45352</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45352</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45352</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45352</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45352</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45352</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45352</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45352</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45352</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45352</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45352</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45352</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45352</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45352</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45352</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45352</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45352</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45352</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45352</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45352</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45352</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45352</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45352</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45352</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45352</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45352</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45352</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45352</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45352</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45352</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45352</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45352</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45352</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45352</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45352</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45352</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45352</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45352</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45352</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45352</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45352</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45352</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45352</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45352</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45352</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45352</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45352</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45352</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45352</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45352</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45352</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45352</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45352</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45352</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45352</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45352</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45352</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45352</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45352</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45352</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45352</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45352</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45352</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45352</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45352</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45352</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45352</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45352</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45352</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45352</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45352</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45352</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45352</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45352</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45352</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45352</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45352</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45352</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45352</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45352</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45352</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45352</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45352</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45352</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45352</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45352</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45352</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45352</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45352</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45352</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45352</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45352</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45352</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45352</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45352</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45352</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45352</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45352</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45352</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45352</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45352</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45352</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45352</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45352</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45352</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45352</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45352</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45352</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45352</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45352</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45352</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45352</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45352</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45352</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45352</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45352</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45352</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45352</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45352</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45352</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45352</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45352</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45352</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45352</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45352</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45352</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45352</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45352</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45352</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45352</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45352</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45352</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45352</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45352</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45352</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45352</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45352</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45352</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45352</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45352</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45352</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45352</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45352</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45352</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45352</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45352</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45352</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45352</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45352</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45352</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45352</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45352</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45352</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45352</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45352</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45352</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45352</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45352</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45352</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45352</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45352</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45352</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45352</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45352</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45352</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45352</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45352</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45352</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45352</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45352</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45352</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45352</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45352</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45352</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45352</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45352</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45352</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45352</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45352</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45352</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45352</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45352</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45352</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45352</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45352</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45352</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45352</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45352</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45352</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45352</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45352</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45352</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45352</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45352</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45352</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45352</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45352</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45352</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45352</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45352</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45352</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45352</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45352</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45352</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45352</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45352</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45352</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45352</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45352</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45352</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45352</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45352</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45352</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45352</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45352</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45352</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45352</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45352</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45352</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45352</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45352</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45352</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45352</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45352</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45352</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45352</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45352</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45352</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45352</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45352</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45352</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45352</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45352</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45352</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45352</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45352</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45352</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45352</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45352</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45352</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45352</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45352</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45352</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45352</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45352</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45352</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45352</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45352</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45352</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45352</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45352</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45352</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45352</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45352</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45352</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45352</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45352</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45352</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45352</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45352</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45352</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45352</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45352</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45352</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45352</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45352</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45352</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45352</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45352</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45352</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45352</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45352</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45352</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45352</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45352</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45352</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45352</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45352</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45352</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45352</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45352</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45352</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45352</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45352</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45352</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45352</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45352</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45352</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45352</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45352</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45352</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45352</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45352</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45352</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45352</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45352</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45352</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45352</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45352</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45352</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45352</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45352</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45352</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45352</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45352</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45352</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45352</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45352</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45352</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45352</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45352</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45352</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45352</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45352</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45352</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45352</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45352</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45352</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45352</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45352</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45352</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45352</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45352</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45352</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45352</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45352</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45352</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45352</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45352</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45352</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45352</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45352</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45352</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45352</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45352</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45352</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45352</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45352</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45352</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45352</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45352</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45352</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45352</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45352</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45352</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45352</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45352</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45352</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45352</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45352</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45352</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45352</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45352</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45352</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45352</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45352</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45352</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45352</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45352</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45352</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45352</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45352</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45352</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45352</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45352</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45352</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45352</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45352</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45352</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45352</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45352</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45352</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45352</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45352</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45352</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45352</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45352</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45352</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45352</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45352</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45352</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45352</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45352</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45352</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45352</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45352</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45352</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45352</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45352</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45352</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45352</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45352</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45352</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45352</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45352</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45352</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45352</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45352</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45352</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45352</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45352</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45352</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45352</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45352</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45352</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45352</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45352</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45352</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45352</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45352</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45352</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45352</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45352</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45352</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45352</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45352</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45352</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45352</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45352</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45352</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45352</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45352</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45352</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45352</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45352</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45352</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45352</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45352</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45352</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45352</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45352</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45352</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45352</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45352</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45352</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45352</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45352</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45352</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45352</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45352</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45352</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45352</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45352</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45352</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45352</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45352</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45352</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45352</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45352</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45352</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45352</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45352</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45352</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45352</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45352</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45352</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45352</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45352</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45352</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45352</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45352</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45352</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45352</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45352</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45352</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45352</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45352</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45352</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45352</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45352</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45352</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45352</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45352</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45352</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45352</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45352</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45352</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45352</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45352</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45352</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45352</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45352</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45352</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45352</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45352</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45352</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45352</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45352</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45352</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45352</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45352</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45352</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45352</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45352</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45352</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45352</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45352</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45352</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45352</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45352</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45352</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45352</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45352</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45352</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45352</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45352</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45352</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45352</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45352</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45352</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45352</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45352</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45352</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45352</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45352</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45352</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45352</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45352</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45352</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45352</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45352</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45352</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45352</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45352</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45352</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45352</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45352</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45352</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45352</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45352</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45352</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45352</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45352</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45352</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45352</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45352</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45352</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45352</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45352</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45352</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45352</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45352</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45352</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45352</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45352</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45352</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45352</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45352</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45352</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45352</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45352</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45352</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45352</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45352</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45352</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45352</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45352</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45352</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45352</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45352</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45352</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45352</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45352</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45352</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45352</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45352</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45352</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45352</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45352</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45352</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45352</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45352</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45352</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45352</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45352</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45352</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45352</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45352</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45352</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45352</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45352</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45352</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45352</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45352</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45352</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45352</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45352</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45352</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45352</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45352</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45352</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45352</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45352</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45352</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45352</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45352</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45352</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45352</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45352</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45352</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45352</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45352</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45352</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45352</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45352</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45352</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45352</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45352</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45352</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45352</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45352</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45352</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45352</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45352</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45352</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45352</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45352</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45352</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45352</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45352</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45352</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45352</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45352</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45352</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45352</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45352</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45352</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45352</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45352</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45352</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45352</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45352</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45352</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45352</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45352</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45352</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45352</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45352</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45352</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45352</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45352</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45352</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45352</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45352</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45352</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45352</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45352</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45352</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45352</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45352</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45352</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45352</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45352</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45352</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45352</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45352</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45352</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45352</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45352</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45352</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45352</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45352</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45352</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45352</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45352</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45352</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45352</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45352</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45352</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45352</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45352</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45352</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45352</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45352</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45352</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45352</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45352</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45352</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45352</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45352</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45352</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45352</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45352</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45352</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45352</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45352</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45352</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45352</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45352</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45352</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45352</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45352</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45352</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45352</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45352</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45352</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45352</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45352</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45352</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45352</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45352</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45352</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45352</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45352</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45352</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45352</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45352</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45352</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45352</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45352</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45352</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45352</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45352</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45352</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45352</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45352</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45352</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45352</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45352</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45352</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45352</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45352</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45352</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45352</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45352</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45352</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45352</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45352</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45352</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45352</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45352</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45352</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45352</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45352</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45352</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45352</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45352</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45352</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45352</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45352</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45352</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45352</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45352</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45352</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45352</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45352</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45352</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45352</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45352</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45352</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45352</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45352</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45352</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45352</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45352</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45352</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45352</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45352</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45352</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45352</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45352</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45352</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45352</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45352</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45352</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45352</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45352</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45352</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45352</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45352</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45352</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45352</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45352</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45352</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45352</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45352</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45352</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45352</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45352</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45352</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45352</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45352</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45352</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45352</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45352</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45352</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45352</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45352</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45352</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45352</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45352</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45352</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45352</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45352</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45352</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45352</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45352</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45352</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45352</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45352</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45352</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45352</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45352</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45352</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45352</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45352</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45352</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45352</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45352</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45352</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45352</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45352</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45352</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45352</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45352</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45352</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45352</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45352</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45352</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45352</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45352</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45352</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45352</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45352</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45352</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45352</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45352</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45352</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45352</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45352</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45352</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45352</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45352</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45352</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45352</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45352</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45352</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45352</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45352</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45352</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45352</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45352</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45352</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45352</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45352</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45352</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45352</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45352</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45352</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45352</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45352</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45352</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45352</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45352</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45352</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45352</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45352</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45352</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45352</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45352</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45352</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45352</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45352</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45352</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45352</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45352</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45352</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45352</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45352</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45352</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45352</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45352</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45352</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45352</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45352</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45352</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45352</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45352</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45352</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45352</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45352</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45352</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45352</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45352</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45352</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45352</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45352</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45352</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45352</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45352</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45352</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45352</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45352</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45352</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45352</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45352</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45352</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45352</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45352</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45352</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45352</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45352</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45352</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45352</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45352</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45352</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45352</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45352</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45352</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45352</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45352</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45352</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45352</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45352</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45352</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45352</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45352</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45352</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45352</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45352</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45352</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45352</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45352</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45352</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45352</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45352</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45352</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45352</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45352</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45352</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45352</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45352</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45352</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45352</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45352</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45352</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45352</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45352</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45352</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45352</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45352</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45352</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45352</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45352</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45352</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45352</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45352</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45352</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45352</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45352</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45352</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45352</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45352</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45352</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45352</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45352</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45352</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45352</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45352</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45352</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45352</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45352</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45352</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45352</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45352</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45352</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45352</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45352</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45352</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45352</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45352</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45352</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45352</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45352</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45352</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45352</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45352</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45352</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45352</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45352</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45352</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45352</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45352</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45352</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45352</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45352</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45352</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45352</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45352</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45352</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45352</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45352</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45352</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45352</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45352</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45352</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45352</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45352</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45352</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45352</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45352</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45352</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45352</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45352</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45352</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45352</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45352</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45352</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45352</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45352</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45352</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45352</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45352</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45352</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45352</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45352</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45352</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45352</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45352</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45352</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45352</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45352</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45352</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45352</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45352</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45352</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45352</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45352</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45352</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45352</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45352</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45352</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45352</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45352</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45352</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45352</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45352</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45352</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45352</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45352</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45352</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45352</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45352</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45352</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45352</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45352</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45352</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45352</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45352</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45352</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45352</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45352</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45352</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45352</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45352</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45352</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45352</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45352</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45352</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45352</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45352</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45352</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45352</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45352</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45352</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45352</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45352</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45352</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45352</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45352</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45352</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45352</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45352</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45352</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45352</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45352</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45352</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45352</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45352</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45352</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45352</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45352</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45352</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45352</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45352</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45352</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45352</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45352</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45352</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45352</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45352</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45352</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45352</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45352</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45352</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45352</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45352</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45352</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45352</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45352</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45352</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45352</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45352</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45352</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45352</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45352</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45352</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45352</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45352</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45352</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45352</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45352</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45352</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45352</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45352</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45352</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45352</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45352</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45352</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45352</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45352</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45352</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45352</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45352</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45352</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45352</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45352</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45352</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45352</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45352</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45352</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45352</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45352</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45352</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45352</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45352</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45352</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45352</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45352</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45352</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45352</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45352</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45352</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45352</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45352</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45352</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45352</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45352</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45352</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45352</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45352</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45352</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45352</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45352</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45352</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45352</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45352</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45352</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45352</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45352</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45352</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45352</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45352</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45352</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45352</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45352</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45352</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45352</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45352</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45352</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45352</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45352</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45352</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45352</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45352</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45352</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45352</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45352</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45352</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45352</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45352</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45352</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45352</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45352</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45352</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45352</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45352</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45352</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45352</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45352</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45352</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45352</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45352</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45352</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45352</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45352</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45352</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45352</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45352</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45352</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45352</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45352</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45352</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45352</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45352</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45352</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45352</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45352</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45352</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45352</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45352</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45352</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45352</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45352</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45352</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45352</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45352</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45352</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45352</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45352</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45352</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45352</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45352</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45352</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45352</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45352</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45352</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45352</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45352</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45352</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45352</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45352</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45352</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45352</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45352</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45352</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45352</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45352</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45352</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45352</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45352</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45352</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45352</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45352</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45352</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45352</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45352</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45352</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45352</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45352</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45352</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45352</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45352</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45352</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45352</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45352</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45352</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45352</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45352</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45352</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45352</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45352</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45352</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45352</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45352</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45352</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45352</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45352</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45352</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45352</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45352</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45352</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45352</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45352</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45352</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45352</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45352</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45352</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45352</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45352</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45352</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45352</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45352</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45352</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45352</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45352</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45352</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45352</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45352</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45352</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45352</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45352</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45352</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45352</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45352</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45352</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45352</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45352</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45352</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45352</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45352</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45352</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45352</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45352</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45352</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45352</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45352</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45352</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45352</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45352</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45352</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45352</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45352</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45352</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45352</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45352</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45352</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45352</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45352</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45352</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45352</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45352</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45352</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45352</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45352</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45352</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45352</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45352</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45352</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45352</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45352</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45352</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45352</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45352</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45352</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45352</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45352</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45352</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45352</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45352</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45352</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45352</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45352</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45352</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45352</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45352</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45352</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45352</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45352</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45352</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45352</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45352</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45352</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45352</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45352</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45352</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45352</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45352</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45352</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45352</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45352</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45352</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45352</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45352</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45352</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45352</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45352</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45352</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45352</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45352</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45352</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45352</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45352</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45352</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45352</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45352</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45352</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45352</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45352</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45352</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45352</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45352</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45352</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45352</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45352</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45352</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45352</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45352</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45352</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45352</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45352</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45352</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45352</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45352</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45352</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45352</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45352</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45352</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45352</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45352</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45352</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45352</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45352</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45352</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45352</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45352</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45352</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45352</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45352</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45352</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45352</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45352</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45352</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45352</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45352</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45352</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45352</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45352</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45352</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45352</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45352</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45352</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45352</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45352</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45352</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45352</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45352</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45352</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45352</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45352</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45352</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45352</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45352</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45352</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45352</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45352</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45352</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45352</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45352</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45352</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45352</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45352</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45352</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45352</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45352</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45352</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45352</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45352</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45352</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45352</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45352</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45352</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45352</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45352</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45352</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45352</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45352</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45352</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45352</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45352</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45352</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45352</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45352</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45352</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45352</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45352</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45352</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45352</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45352</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45352</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45352</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45352</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45352</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45352</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45352</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45352</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45352</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45352</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45352</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45352</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45352</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45352</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45352</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45352</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45352</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45352</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45352</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45352</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45352</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45352</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45352</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45352</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45352</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45352</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45352</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45352</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45352</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45352</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45352</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45352</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45352</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45352</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45352</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45352</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45352</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45352</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45352</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45352</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45352</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45352</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45352</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45352</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45352</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45352</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45352</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45352</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45352</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45352</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45352</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45352</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45352</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45352</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45352</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45352</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45352</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45352</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45352</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45352</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45352</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45352</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45352</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45352</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45352</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45352</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45352</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45352</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45352</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45352</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45352</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45352</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45352</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45352</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45352</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45352</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45352</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45352</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45352</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45352</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45352</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45352</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45352</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45352</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45352</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45352</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45352</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45352</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45352</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45352</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45352</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45352</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45352</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45352</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45352</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45352</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45352</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45352</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45352</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45352</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45352</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45352</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45352</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45352</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45352</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45352</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45352</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45352</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45352</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45352</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45352</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45352</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45352</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45352</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45352</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45352</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45352</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45352</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45352</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45352</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45352</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45352</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45352</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45352</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45352</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45352</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45352</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45352</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45352</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45352</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45352</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45352</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45352</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45352</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45352</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45352</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45352</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45352</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45352</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45352</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45352</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45352</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45352</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45352</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45352</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45352</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45352</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45352</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45352</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45352</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45352</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45352</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45352</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45352</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45352</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45352</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45352</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45352</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45352</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45352</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45352</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45352</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45352</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45352</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45352</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45352</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45352</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45352</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45352</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45352</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45352</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45352</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45352</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45352</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45352</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45352</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45352</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45352</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45352</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45352</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45352</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45352</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45352</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45352</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45352</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45352</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45352</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45352</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45352</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45352</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45352</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45352</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45352</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45352</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45352</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45352</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45352</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45352</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45352</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45352</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45352</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45352</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45352</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45352</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45352</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45352</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45352</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45352</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45352</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45352</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45352</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45352</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45352</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45352</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45352</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45352</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45352</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45352</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45352</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45352</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45352</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45352</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45352</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45352</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45352</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45352</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45352</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45352</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45352</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45352</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45352</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45352</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45352</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45352</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45352</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45352</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45352</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45352</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45352</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45352</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45352</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45352</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45352</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45352</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45352</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45352</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45352</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45352</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45352</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45352</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45352</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45352</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45352</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45352</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45352</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45352</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45352</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45352</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45352</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45352</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45352</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45352</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45352</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45352</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45352</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45352</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45352</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45352</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45352</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45352</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45352</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45352</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45352</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45352</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45352</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45352</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45352</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45352</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45352</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45352</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45352</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45352</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45352</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45352</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45352</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45352</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45352</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45352</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45352</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45352</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45352</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45352</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45352</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45352</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45352</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45352</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45352</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45352</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45352</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45352</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45352</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45352</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45352</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45352</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45352</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45352</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45352</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45352</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45352</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45352</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45352</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45352</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45352</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45352</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45352</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45352</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45352</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45352</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45352</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45352</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45352</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45352</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45352</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45352</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45352</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45352</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45352</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45352</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45352</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45352</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45352</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45352</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45352</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45352</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45352</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45352</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45352</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45352</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45352</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45352</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45352</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45352</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45352</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45352</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45352</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45352</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45352</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45352</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45352</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45352</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45352</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45352</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45352</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45352</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45352</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45352</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45352</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45352</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45352</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45352</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45352</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45352</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45352</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45352</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45352</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45352</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45352</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45352</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45352</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45352</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45352</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45352</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45352</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45352</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45352</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45352</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45352</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45352</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45352</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45352</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45352</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45352</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45352</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45352</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45352</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45352</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45352</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45352</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45352</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45352</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45352</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45352</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45352</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45352</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45352</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45352</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45352</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45352</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45352</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45352</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45352</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45352</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45352</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45352</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45352</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45352</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45352</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45352</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45352</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45352</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45352</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45352</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45352</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45352</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45352</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45352</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45352</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45352</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45352</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45352</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45352</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45352</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45352</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45352</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45352</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45352</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45352</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45352</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45352</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45352</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45352</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45352</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45352</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45352</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45352</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45352</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45352</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45352</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45352</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45352</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45352</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45352</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45352</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45352</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45352</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45352</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45352</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45352</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45352</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45352</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45352</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45352</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45352</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45352</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45352</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45352</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45352</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45352</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45352</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45352</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45352</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45352</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45352</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45352</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45352</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45352</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45352</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45352</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45352</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45352</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45352</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45352</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45352</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45352</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45352</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45352</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45352</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45352</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45352</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45352</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45352</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45352</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45352</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45352</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45352</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45352</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45352</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45352</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45352</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45352</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45352</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45352</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45352</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45352</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45352</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45352</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45352</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45352</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45352</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45352</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45352</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45352</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45352</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45352</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45352</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45352</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45352</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45352</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45352</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45352</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45352</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45352</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45352</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45352</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45352</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45352</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45352</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45352</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45352</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45352</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45352</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45352</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45352</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45352</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45352</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45352</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45352</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45352</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45352</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45352</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45352</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45352</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45352</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45352</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45352</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45352</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45352</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45352</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45352</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45352</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45352</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45352</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45352</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45352</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45352</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45352</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45352</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45352</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45352</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45352</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45352</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45352</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45352</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45352</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45352</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45352</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45352</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45352</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45352</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45352</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45352</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45352</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45352</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45352</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45352</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45352</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45352</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45352</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45352</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45352</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45352</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45352</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45352</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45352</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45352</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45352</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45352</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45352</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45352</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45352</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45352</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45352</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45352</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45352</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45352</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45352</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45352</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45352</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45352</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45352</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45352</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45352</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45352</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45352</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45352</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45352</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45352</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45352</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45352</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45352</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45352</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45352</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45352</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45352</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45352</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45352</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45352</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45352</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45352</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45352</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45352</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45352</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45352</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45352</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45352</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45352</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45352</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45352</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45352</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45352</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45352</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45352</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45352</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45352</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45352</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45352</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45352</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45352</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45352</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45352</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45352</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45352</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45352</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45352</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45352</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45352</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45352</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45352</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45352</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45352</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45352</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45352</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45352</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45352</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45352</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45352</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45352</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45352</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45352</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45352</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45352</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45352</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45352</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45352</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45352</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45352</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45352</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45352</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45352</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45352</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45352</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45352</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45352</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45352</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45352</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45352</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45352</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45352</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45352</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45352</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45352</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45352</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45352</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45352</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45352</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45352</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45352</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45352</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45352</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45352</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45352</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45352</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45352</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45352</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45352</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45352</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45352</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45352</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45352</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45352</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45352</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45352</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45352</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45352</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45352</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45352</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45352</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45352</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45352</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45352</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45352</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45352</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45352</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45352</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45352</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45352</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45352</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45352</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45352</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45352</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45352</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45352</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45352</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45352</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45352</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45352</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45352</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45352</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45352</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45352</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45352</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45352</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45352</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45352</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45352</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45352</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45352</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45352</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45352</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45352</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45352</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45352</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45352</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45352</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45352</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45352</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45352</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45352</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45352</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45352</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45352</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45352</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45352</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45352</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45352</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45352</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45352</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45352</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45352</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45352</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45352</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45352</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45352</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45352</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45352</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45352</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45352</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45352</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45352</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45352</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45352</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45352</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45352</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45352</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45352</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45352</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45352</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45352</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45352</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45352</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45352</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45352</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45352</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45352</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45352</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45352</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45352</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45352</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45352</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45352</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45352</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45352</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45352</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45352</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45352</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45352</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45352</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45352</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45352</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45352</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45352</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45352</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45352</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45352</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45352</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45352</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45352</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45352</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45352</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45352</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45352</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45352</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45352</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45352</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45352</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45352</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45352</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45352</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45352</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45352</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45352</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45352</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45352</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45352</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45352</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45352</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45352</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45352</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45352</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45352</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45352</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45352</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45352</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45352</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45352</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45352</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45352</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45352</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45352</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45352</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45352</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45352</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45352</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45352</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45352</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45352</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45352</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45352</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45352</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45352</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45352</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45352</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45352</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45352</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45352</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45352</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45352</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45352</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45352</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45352</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45352</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45352</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45352</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45352</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45352</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45352</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45352</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45352</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45352</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45352</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45352</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45352</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45352</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45352</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45352</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45352</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45352</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45352</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45352</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45352</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45352</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45352</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45352</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45352</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45352</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45352</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45352</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45352</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45352</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45352</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45352</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45352</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45352</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45352</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45352</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45352</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45352</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45352</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45352</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45352</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45352</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45352</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45352</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45352</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45352</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45352</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45352</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45352</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45352</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45352</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45352</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45352</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45352</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45352</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45352</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45352</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45352</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45352</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45352</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45352</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45352</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45352</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45352</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45352</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45352</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45352</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45352</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45352</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45352</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45352</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45352</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45352</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45352</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45352</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45352</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45352</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45352</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45352</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45352</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45352</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45352</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45352</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45352</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45352</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45352</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45352</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45352</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45352</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45352</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45352</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45352</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45352</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45352</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45352</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45352</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45352</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45352</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45352</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45352</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45352</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45352</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45352</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45352</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45352</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45352</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45352</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45352</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45352</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45352</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45352</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45352</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45352</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45352</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45352</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45352</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45352</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45352</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45352</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45352</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45352</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45352</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45352</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45352</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45352</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45352</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45352</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45352</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45352</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45352</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45352</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45352</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45352</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45352</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45352</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45352</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45352</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45352</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45352</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45352</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45352</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45352</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45352</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45352</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45352</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45352</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45352</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45352</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45352</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45352</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45352</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45352</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45352</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45352</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45352</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45352</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45352</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45352</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45352</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45352</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45352</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45352</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45352</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45352</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45352</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45352</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45352</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45352</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45352</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45352</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45352</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45352</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45352</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45352</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45352</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45352</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45352</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45352</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45352</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45352</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45352</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45352</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45352</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45352</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45352</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45352</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45352</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45352</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45352</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45352</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45352</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45352</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45352</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45352</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45352</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45352</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45352</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45352</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45352</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45352</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45352</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45352</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45352</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45352</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45352</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45352</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45352</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45352</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45352</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45352</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45352</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45352</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45352</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45352</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45352</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45352</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45352</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45352</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45352</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45352</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45352</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45352</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45352</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45352</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45352</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45352</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45352</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45352</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45352</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45352</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45352</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45352</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45352</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45352</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45352</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45352</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45352</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45352</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45352</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45352</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45352</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45352</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45352</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45352</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45352</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45352</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45352</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45352</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45352</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45352</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45352</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45352</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45352</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45352</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45352</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45352</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45352</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45352</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45352</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45352</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45352</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45352</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45352</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45352</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45352</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45352</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45352</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45352</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45352</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45352</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45352</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45352</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45352</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45352</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45352</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45352</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45352</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45352</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45352</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45352</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45352</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45352</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45352</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45352</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45352</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45352</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45352</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45352</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45352</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45352</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45352</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45352</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45352</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45352</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45352</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45352</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45352</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45352</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45352</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45352</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45352</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45352</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45352</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45352</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45352</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45352</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45352</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45352</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45352</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45352</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45352</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45352</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45352</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45352</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45352</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45352</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45352</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45352</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45352</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45352</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45352</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45352</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45352</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45352</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45352</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45352</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45352</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45352</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45352</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45352</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45352</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45352</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45352</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45352</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45352</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45352</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45352</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45352</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45352</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45352</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45352</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45352</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45352</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45352</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45352</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45352</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45352</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45352</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45352</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45352</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45352</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45352</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45352</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45352</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45352</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45352</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45352</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45352</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45352</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45352</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45352</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45352</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45352</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45352</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45352</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45352</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45352</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45352</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45352</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45352</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45352</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45352</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45352</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45352</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45352</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45352</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45352</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45352</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45352</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45352</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45352</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45352</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45352</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45352</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45352</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45352</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45352</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45352</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45352</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45352</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45352</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45352</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45352</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45352</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45352</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45352</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45352</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45352</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45352</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45352</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45352</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45352</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45352</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45352</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45352</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45352</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45352</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45352</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45352</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45352</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45352</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45352</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45352</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45352</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45352</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45352</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45352</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45352</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45352</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45352</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45352</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45352</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45352</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45352</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45352</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45352</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45352</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45352</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45352</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45352</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45352</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45352</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45352</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45352</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45352</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45352</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45352</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45352</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45352</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45352</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45352</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45352</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45352</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45352</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45352</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45352</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45352</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45352</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45352</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45352</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45352</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45352</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45352</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45352</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45352</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45352</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45352</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45352</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45352</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45352</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45352</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45352</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45352</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45352</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45352</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45352</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45352</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45352</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45352</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45352</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45352</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45352</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45352</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45352</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45352</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45352</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45352</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45352</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45352</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45352</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45352</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45352</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45352</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45352</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45352</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45352</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45352</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45352</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45352</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45352</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45352</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45352</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45352</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45352</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45352</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45352</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45352</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45352</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45352</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45352</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45352</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45352</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45352</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45352</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45352</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45352</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45352</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45352</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45352</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45352</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45352</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45352</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45352</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45352</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45352</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45352</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45352</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45352</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45352</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45352</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45352</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45352</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45352</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45352</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45352</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45352</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45352</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45352</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45352</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45352</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45352</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45352</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45352</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45352</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45352</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45352</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45352</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45352</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45352</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45352</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45352</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45352</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45352</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45352</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45352</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45352</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45352</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45352</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45352</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45352</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45352</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45352</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45352</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45352</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45352</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45352</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45352</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45352</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45352</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45352</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45352</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45352</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45352</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45352</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45352</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45352</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45352</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45352</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45352</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45352</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45352</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45352</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45352</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45352</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45352</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45352</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45352</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45352</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45352</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45352</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45352</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45352</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45352</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45352</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45352</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45352</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45352</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45352</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45352</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45352</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45352</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45352</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45352</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45352</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45352</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45352</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45352</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45352</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45352</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45352</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45352</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45352</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45352</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45352</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45352</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45352</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45352</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45352</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45352</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45352</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45352</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45352</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45352</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45352</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45352</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45352</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45352</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45352</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45352</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45352</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45352</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45352</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45352</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45352</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45352</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45352</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45352</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45352</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45352</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45352</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45352</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45352</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45352</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45352</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45352</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45352</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45352</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45352</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45352</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45352</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45352</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45352</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45352</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45352</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45352</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45352</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45352</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45352</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45352</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45352</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45352</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45352</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45352</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45352</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45352</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45352</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45352</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45352</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45352</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45352</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45352</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45352</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45352</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45352</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45352</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45352</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45352</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45352</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45352</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45352</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45352</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45352</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45352</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45352</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45352</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45352</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45352</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45352</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45352</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45352</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45352</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45352</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45352</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45352</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45352</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45352</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45352</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45352</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45352</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45352</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45352</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45352</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45352</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45352</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45352</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45352</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45352</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45352</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45352</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45352</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45352</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45352</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45352</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45352</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45352</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45352</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45352</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45352</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45352</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45352</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45352</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45352</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45352</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45352</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45352</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45352</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45352</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45352</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45352</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45352</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45352</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45352</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45352</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45352</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45352</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45352</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45352</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45352</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45352</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45352</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45352</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45352</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45352</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45352</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45352</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45352</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45352</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45352</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45352</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45352</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45352</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45352</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45352</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45352</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45352</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45352</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45352</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45352</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45352</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45352</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45352</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45352</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45352</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45352</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45352</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45352</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45352</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45352</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45352</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45352</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45352</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45352</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45352</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45352</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45352</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45352</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45352</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45352</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45352</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45352</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45352</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45352</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45352</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45352</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45352</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45352</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45352</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45352</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45352</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45352</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45352</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45352</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45352</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45352</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45352</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45352</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45352</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45352</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45352</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45352</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45352</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45352</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45352</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45352</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45352</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45352</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45352</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45352</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45352</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45352</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45352</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45352</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45352</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45352</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45352</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45352</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45352</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45352</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45352</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45352</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45352</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45352</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45352</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45352</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45352</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45352</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45352</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45352</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45352</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45352</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45352</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45352</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45352</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45352</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45352</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45352</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45352</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45352</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45352</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45352</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45352</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45352</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45352</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45352</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45352</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45352</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45352</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45352</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45352</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45352</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45352</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45352</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45352</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45352</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45352</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45352</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45352</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45352</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45352</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45352</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45352</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45352</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45352</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45352</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45352</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45352</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45352</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45352</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45352</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45352</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45352</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45352</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45352</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45352</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45352</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45352</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45352</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45352</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45352</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45352</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45352</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45352</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45352</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45352</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45352</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45352</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45352</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45352</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45352</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45352</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45352</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45352</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45352</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45352</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45352</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45352</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45352</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45352</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45352</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45352</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45352</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45352</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45352</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45352</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45352</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45352</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45352</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45352</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45352</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45352</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45352</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45352</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45352</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45352</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45352</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45352</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45352</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45352</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45352</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45352</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45352</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45352</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45352</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45352</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45352</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45352</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45352</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45352</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45352</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45352</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45352</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45352</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45352</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45352</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45352</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45352</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45352</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45352</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45352</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45352</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45352</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45352</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45352</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45352</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45352</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45352</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45352</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45352</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45352</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45352</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45352</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45352</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45352</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45352</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45352</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45352</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45352</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45352</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45352</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45352</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45352</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45352</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45352</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45352</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45352</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45352</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45352</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45352</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45352</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45352</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45352</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45352</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45352</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45352</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45352</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45352</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45352</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45352</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45352</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45352</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45352</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45352</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45352</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45352</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45352</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45352</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45352</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45352</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45352</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45352</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45352</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45352</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45352</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45352</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45352</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45352</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45352</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45352</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45352</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45352</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45352</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45352</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45352</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45352</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45352</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45352</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45352</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45352</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45352</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45352</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45352</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45352</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45352</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45352</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45352</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45352</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45352</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45352</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45352</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45352</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45352</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45352</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45352</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45352</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45352</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45352</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45352</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45352</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45352</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45352</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45352</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45352</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45352</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45352</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45352</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45352</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45352</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45352</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45352</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45352</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45352</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45352</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45352</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45352</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45352</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45352</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45352</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45352</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45352</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45352</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45352</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45352</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45352</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45352</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45352</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45352</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45352</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45352</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45352</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45352</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45352</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45352</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45352</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45352</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45352</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45352</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45352</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45352</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45352</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45352</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45352</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45352</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45352</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45352</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45352</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45352</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45352</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45352</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45352</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45352</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45352</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45352</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45352</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45352</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45352</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45352</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45352</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45352</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45352</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45352</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45352</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45352</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45352</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45352</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45352</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45352</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45352</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45352</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45352</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45352</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45352</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45352</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45352</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45352</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45352</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45352</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45352</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45352</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45352</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45352</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45352</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45352</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45352</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45352</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45352</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45352</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45352</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45352</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45352</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45352</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45352</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45352</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45352</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45352</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45352</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45352</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45352</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45352</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45352</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45352</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45352</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45352</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45352</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45352</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45352</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45352</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45352</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45352</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45352</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45352</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45352</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45352</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45352</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45352</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45352</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45352</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45352</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45352</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45352</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45352</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45352</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45352</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45352</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45352</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45352</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45352</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45352</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45352</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45352</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45352</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45352</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45352</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45352</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45352</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45352</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45352</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45352</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45352</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45352</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45352</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45352</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45352</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45352</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45352</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45352</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45352</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45352</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45352</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45352</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45352</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45352</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45352</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45352</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45352</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45352</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45352</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45352</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45352</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45352</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45352</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45352</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45352</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45352</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45352</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45352</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45352</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45352</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45352</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45352</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45352</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45352</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45352</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45352</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45352</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45352</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45352</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45352</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45352</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45352</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45352</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45352</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45352</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45352</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45352</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45352</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45352</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45352</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45352</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45352</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45352</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45352</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45352</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45352</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45352</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45352</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45352</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45352</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45352</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45352</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45352</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45352</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45352</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45352</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45352</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45352</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45352</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45352</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45352</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45352</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45352</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45352</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45352</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45352</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45352</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45352</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45352</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45352</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45352</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45352</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45352</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45352</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45352</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45352</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45352</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45352</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45352</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45352</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45352</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45352</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45352</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45352</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45352</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45352</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45352</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45352</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45352</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45352</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45352</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45352</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45352</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45352</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45352</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45352</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45352</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45352</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45352</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45352</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45352</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45352</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45352</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45352</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45352</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45352</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45352</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45352</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45352</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45352</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45352</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45352</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45352</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45352</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45352</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45352</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45352</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45352</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45352</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45352</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45352</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45352</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45352</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45352</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45352</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45352</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45352</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45352</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45352</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45352</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45352</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45352</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45352</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45352</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45352</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45352</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45352</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45352</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45352</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45352</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45352</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45352</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45352</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45352</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45352</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45352</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45352</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45352</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45352</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45352</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45352</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45352</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45352</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45352</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45352</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45352</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45352</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45352</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45352</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45352</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45352</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45352</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45352</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45352</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45352</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45352</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45352</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45352</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45352</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45352</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45352</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45352</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45352</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45352</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45352</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45352</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45352</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45352</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45352</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45352</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45352</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45352</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45352</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45352</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45352</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45352</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45352</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45352</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45352</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45352</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45352</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45352</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45352</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45352</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45352</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45352</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45352</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45352</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45352</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45352</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45352</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45352</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45352</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45352</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45352</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45352</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45352</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45352</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45352</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45352</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45352</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45352</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45352</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45352</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45352</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45352</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45352</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45352</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45352</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45352</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45352</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45352</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45352</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45352</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45352</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45352</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45352</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45352</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45352</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45352</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45352</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45352</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45352</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45352</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45352</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45352</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45352</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45352</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45352</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45352</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45352</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45352</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45352</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45352</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45352</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45352</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45352</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45352</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45352</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45352</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45352</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45352</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45352</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45352</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45352</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45352</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45352</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45352</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45352</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45352</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45352</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45352</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45352</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45352</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45352</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45352</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45352</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45352</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45352</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45352</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45352</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45352</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45352</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45352</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45352</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45352</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45352</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45352</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45352</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45352</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45352</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45352</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45352</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45352</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45352</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45352</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45352</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45352</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45352</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45352</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45352</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45352</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45352</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45352</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45352</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45352</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45352</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45352</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45352</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45352</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45352</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45352</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45352</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45352</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45352</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45352</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45352</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45352</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45352</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45352</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45352</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45352</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45352</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45352</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45352</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45352</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45352</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45352</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45352</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45352</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45352</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45352</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45352</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45352</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45352</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45352</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45352</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45352</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45352</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45352</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45352</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45352</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45352</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45352</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45352</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45352</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45352</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45352</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45352</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45352</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45352</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45352</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45352</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45352</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45352</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45352</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45352</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45352</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45352</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45352</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45352</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45352</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45352</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45352</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45352</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45352</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45352</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45352</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45352</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45352</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45352</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45352</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45352</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45352</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45352</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45352</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45352</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45352</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45352</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45352</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45352</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45352</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45352</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45352</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45352</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45352</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45352</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45352</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45352</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45352</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45352</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45352</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45352</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45352</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45352</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45352</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45352</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45352</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45352</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45352</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45352</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45352</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45352</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45352</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45352</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45352</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45352</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45352</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45352</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45352</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45352</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45352</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45352</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45352</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45352</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45352</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45352</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45352</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45352</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45352</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45352</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45352</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45352</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45352</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45352</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45352</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45352</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45352</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45352</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45352</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45352</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45352</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45352</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45352</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45352</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45352</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45352</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45352</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45352</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45352</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45352</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45352</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45352</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45352</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45352</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45352</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45352</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45352</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45352</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45352</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45352</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45352</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45352</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45352</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45352</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45352</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45352</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45352</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45352</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45352</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45352</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45352</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45352</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45352</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45352</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45352</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45352</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45352</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45352</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45352</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45352</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45352</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45352</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45352</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45352</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45352</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45352</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45352</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45352</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45352</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45352</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45352</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45352</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45352</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45352</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45352</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45352</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45352</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45352</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45352</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45352</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45352</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45352</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45352</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45352</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45352</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45352</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45352</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45352</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45352</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45352</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45352</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45352</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45352</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45352</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45352</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45352</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45352</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45352</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45352</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45352</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45352</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45352</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45352</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45352</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45352</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45352</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45352</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45352</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45352</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45352</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45352</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45352</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45352</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45352</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45352</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45352</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45352</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45352</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45352</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45352</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45352</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45352</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45352</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45352</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45352</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45352</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45352</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45352</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45352</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45352</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45352</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45352</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45352</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45352</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45352</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45352</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45352</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45352</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45352</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45352</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45352</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45352</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45352</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45352</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45352</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45352</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45352</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45352</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45352</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45352</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45352</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45352</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45352</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45352</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45352</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45352</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45352</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45352</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45352</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45352</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45352</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45352</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45352</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45352</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45352</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45352</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45352</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45352</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45352</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45352</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45352</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45352</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45352</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45352</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45352</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45352</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45352</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45352</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45352</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45352</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45352</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45352</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45352</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45352</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45352</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45352</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45352</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45352</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45352</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45352</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45352</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45352</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45352</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45352</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45352</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45352</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45352</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45352</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45352</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45352</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45352</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45352</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45352</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45352</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45352</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45352</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45352</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45352</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45352</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45352</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45352</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45352</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45352</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45352</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45352</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45352</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45352</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45352</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45352</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45352</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45352</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45352</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45352</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45352</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45352</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45352</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45352</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45352</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45352</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45352</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45352</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45352</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45352</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45352</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45352</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45352</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45352</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45352</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45352</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45352</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45352</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45352</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45352</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45352</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45352</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45352</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45352</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45352</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45352</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45352</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45352</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45352</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45352</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45352</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45352</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45352</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45352</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45352</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45352</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45352</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45352</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45352</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45352</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45352</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45352</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45352</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45352</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45352</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45352</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45352</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45352</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45352</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45352</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45352</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45352</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45352</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45352</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45352</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45352</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45352</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45352</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45352</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45352</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45352</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45352</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45352</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45352</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45352</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45352</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45352</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45352</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45352</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45352</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45352</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45352</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45352</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45352</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45352</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45352</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45352</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45352</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45352</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45352</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45352</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45352</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45352</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45352</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45352</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45352</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45352</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45352</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45352</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45352</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45352</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45352</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45352</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45352</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45352</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45352</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45352</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45352</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45352</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45352</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45352</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45352</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45352</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45352</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45352</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45352</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45352</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45352</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45352</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45352</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45352</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45352</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45352</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45352</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45352</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45352</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45352</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45352</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45352</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45352</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45352</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45352</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45352</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45352</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45352</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45352</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45352</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45352</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45352</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45352</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45352</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45352</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45352</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45352</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45352</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45352</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45352</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45352</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45352</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45352</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45352</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45352</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45352</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45352</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45352</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45352</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45352</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45352</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45352</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45352</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45352</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45352</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45352</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45352</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45352</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45352</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45352</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45352</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45352</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45352</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45352</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45352</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45352</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45352</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45352</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45352</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45352</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45352</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45352</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45352</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45352</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45352</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45352</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45352</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45352</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45352</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45352</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45352</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45352</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45352</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45352</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45352</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45352</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45352</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45352</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45352</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45352</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45352</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45352</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45352</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45352</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45352</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45352</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45352</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45352</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45352</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45352</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45352</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45352</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45352</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45352</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45352</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45352</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45352</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45352</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45352</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45352</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45352</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45352</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45352</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45352</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45352</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45352</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45352</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45352</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45352</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45352</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45352</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45352</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45352</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45352</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45352</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45352</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45352</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45352</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45352</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45352</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45352</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45352</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45352</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45352</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45352</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45352</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45352</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45352</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45352</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45352</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45352</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45352</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45352</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45352</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45352</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45352</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45352</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45352</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45352</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45352</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45352</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45352</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45352</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45352</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45352</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45352</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45352</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45352</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45352</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45352</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45352</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45352</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45352</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45352</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45352</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45352</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45352</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45352</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45352</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45352</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45352</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45352</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45352</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45352</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45352</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45352</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45352</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45352</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45352</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45352</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45352</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45352</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45352</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45352</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45352</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45352</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45352</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45352</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45352</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45352</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45352</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45352</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45352</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45352</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45352</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45352</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45352</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45352</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45352</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45352</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45352</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45352</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45352</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45352</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45352</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45352</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45352</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45352</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45352</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45352</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45352</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45352</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45352</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45352</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45352</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45352</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45352</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45352</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45352</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45352</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45352</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45352</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45352</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45352</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45352</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45352</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45352</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45352</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45352</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45352</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45352</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45352</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45352</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45352</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45352</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45352</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45352</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45352</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45352</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45352</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45352</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45352</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45352</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45352</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45352</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45352</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45352</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45352</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45352</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45352</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45352</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45352</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45352</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45352</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45352</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45352</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45352</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45352</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45352</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45352</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45352</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45352</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45352</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45352</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45352</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45352</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45352</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45352</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45352</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45352</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45352</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45352</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45352</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45352</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45352</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45352</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45352</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45352</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45352</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45352</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45352</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45352</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45352</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45352</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45352</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45352</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45352</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45352</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45352</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45352</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45352</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45352</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45352</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45352</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45352</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45352</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45352</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45352</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45352</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45352</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45352</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45352</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45352</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45352</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45352</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45352</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45352</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45352</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45352</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45352</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45352</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45352</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45352</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45352</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45352</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45352</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45352</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45352</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45352</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45352</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45352</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45352</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45352</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45352</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45352</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45352</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45352</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45352</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45352</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45352</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45352</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45352</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45352</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45352</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45352</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45352</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45352</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45352</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45352</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45352</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45352</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45352</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45352</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45352</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45352</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45352</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45352</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45352</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45352</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45352</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45352</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45352</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45352</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45352</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45352</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45352</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45352</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45352</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45352</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45352</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45352</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45352</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45352</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45352</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45352</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45352</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45352</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45352</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45352</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45352</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45352</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45352</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45352</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45352</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45352</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45352</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45352</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45352</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45352</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45352</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45352</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45352</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45352</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45352</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45352</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45352</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45352</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45352</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45352</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45352</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45352</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45352</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45352</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45352</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45352</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45352</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45352</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45352</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45352</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45352</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45352</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45352</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45352</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45352</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45352</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45352</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45352</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45352</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45352</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45352</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45352</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45352</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45352</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45352</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45352</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45352</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45352</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45352</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45352</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45352</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45352</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45352</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45352</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45352</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45352</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45352</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45352</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45352</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45352</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45352</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45352</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45352</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45352</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45352</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45352</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45352</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45352</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45352</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45352</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45352</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45352</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45352</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45352</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45352</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45352</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45352</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45352</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45352</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45352</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45352</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45352</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45352</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45352</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45352</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45352</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45352</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45352</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45352</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45352</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45352</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45352</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45352</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45352</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45352</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45352</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45352</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45352</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45352</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45352</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45352</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45352</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45352</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45352</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45352</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45352</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45352</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45352</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45352</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45352</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45352</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45352</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45352</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45352</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45352</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45352</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45352</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45352</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45352</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45352</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45352</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45352</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45352</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45352</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45352</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45352</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45352</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45352</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45352</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45352</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45352</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45352</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45352</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45352</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45352</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45352</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45352</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45352</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45352</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45352</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45352</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45352</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45352</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45352</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45352</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45352</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45352</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45352</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45352</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45352</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45352</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45352</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45352</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45352</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45352</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45352</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45352</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45352</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45352</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45352</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45352</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45352</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45352</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45352</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45352</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45352</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45352</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45352</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45352</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45352</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45352</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45352</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45352</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45352</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45352</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45352</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45352</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45352</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45352</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45352</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45352</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45352</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45352</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45352</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45352</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45352</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45352</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45352</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45352</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45352</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45352</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45352</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45352</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45352</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45352</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45352</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45352</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45352</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45352</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45352</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45352</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45352</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45352</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45352</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45352</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45352</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45352</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45352</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45352</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45352</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45352</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45352</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45352</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45352</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45352</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45352</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45352</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45352</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45352</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45352</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45352</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45352</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45352</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45352</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45352</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45352</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45352</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45352</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45352</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45352</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45352</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45352</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45352</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45352</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45352</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45352</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45352</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45352</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45352</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45352</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45352</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45352</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45352</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45352</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45352</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45352</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45352</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45352</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45352</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45352</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45352</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45352</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45352</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45352</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45352</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45352</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45352</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45352</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45352</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45352</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45352</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45352</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45352</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45352</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45352</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45352</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45352</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45352</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45352</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45352</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45352</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45352</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45352</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45352</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45352</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45352</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45352</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45352</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45352</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45352</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45352</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45352</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45352</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45352</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45352</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45352</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45352</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45352</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45352</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45352</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45352</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45352</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45352</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45352</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45352</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45352</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45352</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45352</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45352</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45352</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45352</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45352</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45352</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45352</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45352</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45352</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45352</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45352</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45352</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45352</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45352</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45352</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45352</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45352</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45352</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45352</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45352</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45352</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45352</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45352</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45352</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45352</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45352</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45352</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45352</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45352</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45352</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45352</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45352</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45352</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45352</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45352</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45352</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45352</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45352</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45352</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45352</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45352</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45352</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45352</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45352</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45352</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45352</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45352</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45352</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45352</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45352</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45352</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45352</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45352</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45352</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45352</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45352</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45352</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45352</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45352</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45352</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45352</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45352</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45352</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45352</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45352</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45352</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45352</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45352</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45352</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45352</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45352</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45352</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45352</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45352</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45352</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45352</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45352</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45352</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45352</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45352</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45352</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45352</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45352</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45352</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45352</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45352</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45352</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45352</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45352</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45352</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45352</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45352</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45352</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45352</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45352</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45352</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45352</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45352</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45352</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45352</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45352</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45352</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45352</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45352</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45352</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45352</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45352</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45352</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45352</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45352</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45352</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45352</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45352</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45352</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45352</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45352</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45352</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45352</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45352</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45352</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45352</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45352</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45352</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45352</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45352</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45352</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45352</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45352</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45352</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45352</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45352</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45352</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45352</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45352</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45352</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45352</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45352</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45352</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45352</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45352</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45352</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45352</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45352</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45352</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45352</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45352</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45352</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45352</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45352</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45352</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45352</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45352</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45352</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45352</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45352</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45352</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45352</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45352</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45352</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45352</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45352</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45352</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45352</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45352</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45352</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45352</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45352</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45352</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45352</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45352</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45352</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45352</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45352</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45352</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45352</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45352</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45352</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45352</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45352</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45352</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45352</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45352</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45352</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45352</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45352</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45352</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45352</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45352</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45352</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45352</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45352</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45352</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45352</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45352</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45352</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45352</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45352</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45352</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45352</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45352</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45352</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45352</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45352</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45352</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45352</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45352</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45352</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45352</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45352</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45352</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45352</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45352</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45352</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45352</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45352</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45352</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45352</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45352</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45352</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45352</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45352</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45352</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45352</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45352</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45352</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45352</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45352</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45352</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45352</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45352</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45352</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45352</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45352</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45352</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45352</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45352</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45352</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45352</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45352</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45352</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45352</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45352</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45352</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45352</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45352</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45352</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45352</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45352</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45352</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45352</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45352</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45352</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45352</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45352</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45352</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45352</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45352</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45352</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45352</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45352</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45352</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45352</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45352</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45352</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45352</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45352</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45352</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45352</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45352</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45352</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45352</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45352</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45352</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45352</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45352</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45352</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45352</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45352</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45352</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45352</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45352</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45352</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45352</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45352</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45352</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45352</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45352</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45352</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45352</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45352</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45352</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45352</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45352</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45352</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45352</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45352</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45352</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45352</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45352</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45352</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45352</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45352</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45352</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45352</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45352</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45352</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45352</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45352</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45352</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45352</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45352</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45352</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45352</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45352</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45352</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45352</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45352</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45352</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45352</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45352</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45352</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45352</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45352</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45352</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45352</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45352</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45352</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45352</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45352</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45352</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45352</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45352</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45352</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45352</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45352</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45352</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45352</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45352</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45352</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45352</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45352</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45352</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45352</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45352</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45352</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45352</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45352</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45352</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45352</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45352</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45352</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45352</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45352</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45352</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45352</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45352</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45352</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45352</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45352</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45352</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45352</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45352</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45352</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45352</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45352</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45352</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45352</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45352</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45352</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45352</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45352</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45352</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45352</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45352</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45352</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45352</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45352</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45352</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45352</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45352</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45352</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45352</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45352</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45352</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45352</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45352</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45352</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45352</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45352</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45352</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45352</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45352</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45352</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45352</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45352</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45352</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45352</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45352</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45352</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45352</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45352</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45352</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45352</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45352</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45352</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45352</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45352</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45352</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45352</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45352</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45352</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45352</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45352</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45352</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45352</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45352</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45352</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45352</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45352</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45352</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45352</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45352</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45352</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45352</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45352</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45352</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45352</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45352</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45352</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45352</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45352</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45352</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45352</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45352</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45352</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45352</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45352</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45352</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45352</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45352</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45352</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45352</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45352</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45352</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45352</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45352</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45352</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45352</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45352</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45352</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45352</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45352</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45352</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45352</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45352</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45352</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45352</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45352</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45352</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45352</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45352</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45352</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45352</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45352</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45352</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45352</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45352</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45352</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45352</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45352</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45352</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45352</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45352</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45352</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45352</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45352</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45352</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45352</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45352</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45352</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45352</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45352</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45352</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45352</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45352</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45352</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45352</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45352</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45352</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45352</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45352</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45352</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45352</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45352</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45352</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45352</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45352</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45352</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45352</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45352</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45352</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45352</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45352</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45352</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45352</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45352</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45352</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45352</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45352</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45352</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45352</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45352</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45352</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45352</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45352</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45352</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45352</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45352</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45352</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45352</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45352</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45352</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45352</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45352</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45352</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45352</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45352</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45352</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45352</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45352</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45352</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45352</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45352</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45352</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45352</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45352</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45352</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45352</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45352</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45352</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45352</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45352</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45352</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45352</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45352</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45352</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45352</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45352</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45352</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45352</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45352</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45352</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45352</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45352</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45352</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45352</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45352</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45352</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45352</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45352</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45352</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45352</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45352</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45352</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45352</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45352</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45352</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45352</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45352</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45352</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45352</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45352</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45352</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45352</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45352</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45352</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45352</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45352</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45352</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45352</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45352</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45352</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45352</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45352</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45352</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45352</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45352</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45352</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45352</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45352</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45352</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45352</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45352</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45352</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45352</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45352</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45352</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45352</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45352</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45352</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45352</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45352</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45352</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45352</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45352</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45352</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45352</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45352</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45352</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45352</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45352</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45352</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45352</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45352</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45352</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45352</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45352</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45352</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45352</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45352</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45352</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45352</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45352</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45352</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45352</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45352</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45352</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45352</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45352</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45352</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45352</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45352</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45352</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45352</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45352</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45352</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45352</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45352</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45352</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45352</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45352</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45352</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45352</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45352</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45352</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45352</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45352</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45352</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45352</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45352</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45352</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45352</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45352</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45352</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45352</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45352</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45352</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45352</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45352</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45352</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45352</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45352</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45352</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45352</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45352</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45352</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45352</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45352</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45352</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45352</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45352</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45352</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45352</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45352</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45352</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45352</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45352</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45352</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45352</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45352</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45352</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45352</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45352</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45352</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45352</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45352</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45352</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45352</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45352</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45352</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45352</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45352</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45352</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45352</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45352</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45352</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45352</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45352</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45352</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45352</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45352</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45352</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45352</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45352</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45352</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45352</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45352</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45352</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45352</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45352</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45352</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45352</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45352</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45352</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45352</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45352</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45352</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45352</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45352</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45352</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45352</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45352</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45352</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45352</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45352</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45352</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45352</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45352</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45352</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45352</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45352</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45352</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45352</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45352</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45352</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45352</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45352</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45352</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45352</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45352</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45352</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45352</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45352</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45352</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45352</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45352</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45352</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45352</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45352</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45352</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45352</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45352</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45352</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45352</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45352</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45352</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45352</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45352</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45352</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45352</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45352</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45352</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45352</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45352</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45352</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45352</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45352</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45352</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45352</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45352</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45352</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45352</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45352</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45352</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45352</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45352</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45352</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45352</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45352</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45352</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45352</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45352</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45352</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45352</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45352</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45352</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45352</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45352</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45352</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45352</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45352</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45352</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45352</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45352</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45352</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45352</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45352</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45352</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45352</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45352</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45352</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45352</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45352</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45352</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45352</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45352</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45352</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45352</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45352</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45352</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45352</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45352</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45352</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45352</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45352</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45352</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45352</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45352</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45352</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45352</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45352</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45352</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45352</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45352</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45352</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45352</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45352</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45352</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45352</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45352</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45352</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45352</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45352</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45352</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45352</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45352</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45352</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45352</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45352</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45352</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45352</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45352</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45352</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45352</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45352</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45352</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45352</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45352</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45352</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45352</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45352</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45352</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45352</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45352</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45352</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45352</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45352</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45352</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45352</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45352</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45352</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45352</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45352</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45352</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45352</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45352</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45352</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45352</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45352</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45352</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45352</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45352</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45352</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45352</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45352</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45352</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45352</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45352</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45352</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45352</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45352</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45352</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45352</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45352</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45352</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45352</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45352</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45352</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45352</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45352</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45352</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45352</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45352</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45352</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45352</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45352</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45352</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45352</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45352</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45352</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45352</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45352</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45352</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45352</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45352</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45352</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45352</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45352</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45352</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45352</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45352</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45352</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45352</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45352</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45352</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45352</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45352</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45352</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45352</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45352</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45352</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45352</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45352</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45352</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45352</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45352</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45352</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45352</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45352</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45352</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45352</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45352</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45352</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45352</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45352</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45352</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45352</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45352</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45352</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45352</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45352</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45352</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45352</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45352</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45352</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45352</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45352</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45352</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45352</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45352</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45352</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45352</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45352</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45352</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45352</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45352</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45352</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45352</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45352</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45352</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45352</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45352</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45352</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45352</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45352</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45352</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45352</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45352</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45352</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45352</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45352</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45352</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45352</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45352</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45352</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45352</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45352</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45352</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45352</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45352</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45352</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45352</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45352</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45352</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45352</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45352</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45352</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45352</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45352</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45352</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45352</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45352</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45352</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45352</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45352</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45352</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45352</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45352</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45352</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45352</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45352</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45352</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45352</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45352</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45352</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45352</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45352</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45352</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45352</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45352</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45352</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45352</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45352</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45352</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45352</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45352</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45352</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45352</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45352</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45352</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45352</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45352</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45352</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45352</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45352</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45352</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45352</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45352</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45352</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45352</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45352</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45352</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45352</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45352</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45352</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45352</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45352</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45352</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45352</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45352</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45352</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45352</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45352</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45352</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45352</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45352</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45352</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45352</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45352</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45352</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45352</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45352</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45352</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45352</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45352</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45352</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45352</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45352</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45352</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45352</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45352</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45352</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45352</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45352</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45352</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45352</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45352</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45352</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45352</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45352</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45352</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45352</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45352</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45352</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45352</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45352</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45352</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45352</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45352</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45352</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45352</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45352</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45352</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45352</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45352</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45352</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45352</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45352</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45352</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45352</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45352</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45352</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45352</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45352</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45352</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45352</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45352</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45352</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45352</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45352</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45352</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45352</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45352</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45352</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45352</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45352</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45352</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45352</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45352</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45352</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45352</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45352</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45352</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45352</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45352</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45352</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45352</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45352</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45352</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45352</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45352</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45352</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45352</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45352</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45352</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45352</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45352</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45352</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45352</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45352</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45352</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45352</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45352</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45352</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45352</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45352</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45352</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45352</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45352</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45352</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45352</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45352</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45352</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45352</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45352</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45352</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45352</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45352</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45352</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45352</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45352</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45352</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45352</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45352</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45352</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45352</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45352</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45352</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45352</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45352</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45352</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45352</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45352</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45352</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45352</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45352</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45352</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45352</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45352</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45352</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45352</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45352</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45352</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45352</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45352</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45352</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45352</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45352</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45352</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45352</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45352</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45352</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45352</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45352</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45352</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45352</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45352</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45352</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45352</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45352</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45352</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45352</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45352</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45352</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45352</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45352</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45352</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45352</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45352</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45352</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45352</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45352</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45352</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45352</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45352</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45352</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45352</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45352</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45352</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45352</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45352</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45352</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45352</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45352</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45352</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45352</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45352</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45352</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45352</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45352</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45352</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45352</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45352</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45352</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45352</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45352</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45352</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45352</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45352</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45352</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45352</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45352</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45352</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45352</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45352</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45352</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45352</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45352</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45352</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45352</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45352</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45352</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45352</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45352</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45352</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45352</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45352</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45352</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45352</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45352</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45352</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45352</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45352</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45352</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45352</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45352</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45352</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45352</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45352</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45352</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45352</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45352</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45352</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45352</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45352</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45352</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45352</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45352</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45352</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45352</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45352</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45352</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45352</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45352</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45352</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45352</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45352</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45352</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45352</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45352</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45352</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45352</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45352</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45352</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45352</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45352</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45352</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45352</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45352</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45352</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45352</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45352</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45352</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45352</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45352</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45352</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45352</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45352</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45352</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45352</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45352</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45352</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45352</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45352</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45352</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45352</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45352</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45352</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45352</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45352</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45352</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45352</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45352</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45352</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45352</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45352</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45352</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45352</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45352</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45352</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45352</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45352</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45352</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45352</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45352</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45352</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45352</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45352</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45352</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45352</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45352</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45352</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45352</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45352</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45352</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45352</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45352</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45352</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45352</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45352</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45352</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45352</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45352</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45352</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45352</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45352</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45352</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45352</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45352</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45352</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45352</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45352</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45352</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45352</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45352</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45352</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45352</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45352</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45352</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45352</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45352</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45352</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45352</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45352</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45352</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45352</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45352</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45352</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45352</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45352</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45352</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45352</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45352</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45352</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45352</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45352</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45352</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45352</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45352</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45352</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45352</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45352</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45352</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45352</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45352</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45352</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45352</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45352</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45352</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45352</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45352</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45352</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45352</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45352</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45352</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45352</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45352</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45352</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45352</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45352</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45352</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45352</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45352</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45352</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45352</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45352</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45352</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45352</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45352</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45352</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45352</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45352</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45352</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45352</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45352</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45352</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45352</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45352</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45352</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45352</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45352</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45352</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45352</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45352</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45352</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45352</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45352</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45352</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45352</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45352</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45352</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45352</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45352</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45352</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45352</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45352</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45352</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45352</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45352</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45352</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45352</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45352</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45352</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45352</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45352</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45352</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45352</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45352</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45352</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45352</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45352</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45352</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45352</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45352</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45352</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45352</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45352</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45352</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45352</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45352</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45352</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45352</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45352</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45352</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45352</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45352</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45352</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45352</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45352</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45352</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45352</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45352</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45352</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45352</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45352</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45352</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45352</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45352</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45352</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45352</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45352</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45352</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45352</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45352</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45352</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45352</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45352</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45352</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45352</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45352</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45352</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45352</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45352</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45352</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45352</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45352</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45352</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45352</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45352</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45352</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45352</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45352</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45352</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45352</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45352</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45352</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45352</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45352</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45352</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45352</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45352</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45352</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45352</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45352</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45352</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45352</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45352</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45352</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45352</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45352</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45352</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45352</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45352</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45352</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45352</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45352</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45352</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45352</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45352</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45352</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45352</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45352</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45352</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45352</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45352</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45352</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45352</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45352</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45352</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45352</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45352</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45352</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45352</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45352</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45352</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45352</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45352</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45352</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45352</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45352</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45352</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45352</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45352</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45352</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45352</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45352</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45352</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45352</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45352</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45352</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45352</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45352</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45352</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45352</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45352</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45352</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45352</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45352</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45352</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45352</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45352</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45352</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45352</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45352</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45352</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45352</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45352</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45352</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45352</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45352</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45352</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45352</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45352</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45352</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45352</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45352</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45352</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45352</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45352</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45352</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45352</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45352</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45352</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45352</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45352</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45352</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45352</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45352</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45352</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45352</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45352</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45352</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45352</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45352</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45352</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45352</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45352</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45352</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45352</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45352</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45352</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45352</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45352</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45352</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45352</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45352</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45352</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45352</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45352</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45352</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45352</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45352</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45352</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45352</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45352</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45352</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45352</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45352</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45352</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45352</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45352</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45352</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45352</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45352</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45352</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45352</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45352</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45352</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45352</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45352</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45352</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45352</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45352</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45352</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45352</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45352</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45352</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45352</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45352</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45352</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45352</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45352</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45352</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45352</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45352</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45352</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45352</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45352</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45352</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45352</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45352</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45352</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45352</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45352</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45352</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45352</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45352</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45352</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45352</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45352</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45352</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45352</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45352</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45352</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45352</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45352</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45352</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45352</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45352</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45352</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45352</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45352</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45352</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45352</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45352</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45352</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45352</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45352</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45352</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45352</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45352</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45352</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45352</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45352</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45352</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45352</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45352</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45352</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45352</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45352</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45352</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45352</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45352</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45352</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45352</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45352</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45352</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45352</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45352</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45352</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45352</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45352</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45352</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45352</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45352</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45352</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45352</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45352</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45352</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45352</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45352</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45352</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45352</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45352</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45352</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45352</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45352</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45352</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45352</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45352</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45352</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45352</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45352</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45352</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45352</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45352</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45352</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45352</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45352</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45352</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45352</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45352</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45352</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45352</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45352</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45352</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45352</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45352</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45352</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45352</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45352</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45352</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45352</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45352</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45352</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45352</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45352</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45352</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45352</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45352</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45352</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45352</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45352</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45352</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45352</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45352</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45352</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45352</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45352</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45352</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45352</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45352</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45352</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45352</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45352</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45352</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45352</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45352</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45352</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45352</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45352</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45352</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45352</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45352</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45352</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45352</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45352</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45352</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45352</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45352</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45352</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45352</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45352</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45352</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45352</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45352</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45352</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45352</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45352</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45352</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45352</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45352</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45352</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45352</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45352</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45352</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45352</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45352</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45352</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45352</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45352</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45352</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45352</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45352</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45352</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45352</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45352</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45352</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45352</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45352</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45352</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45352</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45352</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45352</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45352</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45352</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45352</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45352</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45352</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45352</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45352</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45352</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45352</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45352</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45352</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45352</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45352</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45352</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45352</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45352</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45352</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45352</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45352</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45352</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45352</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45352</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45352</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45352</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45352</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45352</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45352</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45352</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45352</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45352</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45352</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45352</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45352</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45352</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45352</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45352</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45352</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45352</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45352</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45352</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45352</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45352</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45352</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45352</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45352</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45352</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45352</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45352</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45352</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45352</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45352</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45352</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45352</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45352</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45352</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45352</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45352</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45352</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45352</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45352</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45352</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45352</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45352</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45352</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45352</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45352</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45352</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45352</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45352</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45352</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45352</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45352</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45352</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45352</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45352</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45352</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45352</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45352</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45352</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45352</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45352</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45352</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45352</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45352</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45352</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45352</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45352</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45352</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45352</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45352</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45352</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45352</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45352</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45352</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45352</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45352</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45352</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45352</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45352</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45352</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45352</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45352</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45352</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45352</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45352</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45352</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45352</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45352</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45352</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45352</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45352</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45352</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45352</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45352</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45352</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45352</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45352</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45352</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45352</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45352</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45352</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45352</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45352</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45352</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45352</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45352</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45352</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45352</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45352</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45352</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45352</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45352</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45352</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45352</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45352</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45352</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45352</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45352</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45352</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45352</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45352</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45352</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45352</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45352</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45352</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45352</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45352</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45352</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45352</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45352</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45352</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45352</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45352</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45352</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45352</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45352</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45352</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45352</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45352</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45352</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45352</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45352</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45352</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45352</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45352</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45352</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45352</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45352</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45352</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45352</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45352</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45352</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45352</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45352</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45352</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45352</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45352</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45352</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45352</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45352</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45352</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45352</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45352</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45352</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45352</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45352</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45352</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45352</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45352</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45352</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45352</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45352</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45352</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45352</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45352</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45352</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45352</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45352</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45352</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45352</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45352</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45352</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45352</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45352</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45352</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45352</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45352</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45352</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45352</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45352</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45352</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45352</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45352</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45352</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45352</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45352</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45352</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45352</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45352</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45352</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45352</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45352</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45352</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45352</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45352</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45352</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45352</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45352</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45352</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45352</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45352</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45352</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45352</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45352</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45352</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45352</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45352</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45352</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45352</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45352</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45352</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45352</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45352</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45352</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45352</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45352</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45352</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45352</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45352</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45352</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45352</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45352</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45352</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45352</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45352</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45352</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45352</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45352</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45352</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45352</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45352</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45352</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45352</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45352</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45352</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45352</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45352</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45352</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45352</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45352</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45352</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45352</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45352</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45352</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45352</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45352</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45352</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45352</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45352</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45352</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45352</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45352</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45352</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45352</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45352</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45352</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45352</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45352</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45352</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45352</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45352</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45352</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45352</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45352</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45352</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45352</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45352</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45352</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45352</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45352</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45352</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45352</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45352</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45352</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45352</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45352</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45352</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45352</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45352</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45352</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45352</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45352</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45352</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45352</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45352</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45352</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45352</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45352</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45352</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45352</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45352</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45352</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45352</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45352</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45352</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45352</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45352</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45352</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45352</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45352</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45352</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45352</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45352</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45352</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45352</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45352</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45352</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45352</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45352</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45352</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45352</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45352</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45352</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45352</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45352</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45352</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45352</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45352</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45352</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45352</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45352</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45352</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45352</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45352</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45352</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45352</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45352</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45352</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45352</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45352</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45352</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45352</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45352</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45352</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45352</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45352</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45352</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45352</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45352</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45352</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45352</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45352</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45352</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45352</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45352</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45352</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45352</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45352</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45352</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45352</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45352</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45352</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45352</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45352</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45352</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45352</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45352</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45352</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45352</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45352</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45352</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45352</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45352</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45352</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45352</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45352</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45352</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45352</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45352</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45352</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45352</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45352</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45352</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45352</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45352</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45352</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45352</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45352</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45352</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45352</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45352</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45352</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45352</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45352</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45352</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45352</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45352</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45352</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45352</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45352</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45352</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45352</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45352</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45352</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45352</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45352</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45352</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45352</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45352</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45352</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45352</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45352</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45352</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45352</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45352</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45352</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45352</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45352</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45352</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45352</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45352</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45352</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45352</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45352</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45352</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45352</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45352</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45352</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45352</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45352</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45352</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45352</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45352</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45352</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45352</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45352</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45352</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45352</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45352</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45352</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45352</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45352</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45352</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45352</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45352</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45352</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45352</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45352</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45352</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45352</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45352</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45352</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45352</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45352</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45352</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45352</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45352</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45352</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45352</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45352</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45352</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45352</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45352</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45352</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45352</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45352</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45352</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45352</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45352</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45352</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45352</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45352</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45352</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45352</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45352</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45352</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45352</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45352</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45352</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45352</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45352</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45352</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45352</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45352</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45352</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45352</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45352</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45352</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45352</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45352</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45352</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45352</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45352</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45352</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45352</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45352</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45352</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45352</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45352</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45352</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45352</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45352</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45352</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45352</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45352</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45352</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45352</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45352</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45352</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45352</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45352</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45352</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45352</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45352</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45352</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45352</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45352</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45352</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45352</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45352</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45352</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45352</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45352</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45352</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45352</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45352</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45352</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45352</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45352</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45352</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45352</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45352</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45352</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45352</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45352</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45352</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45352</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45352</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45352</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45352</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45352</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45352</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45352</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45352</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45352</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45352</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45352</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45352</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45352</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45352</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45352</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45352</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45352</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45352</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45352</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45352</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45352</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45352</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45352</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45352</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45352</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45352</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45352</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45352</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45352</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45352</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45352</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45352</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45352</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45352</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45352</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45352</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45352</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45352</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45352</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45352</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45352</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45352</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45352</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45352</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45352</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45352</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45352</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45352</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45352</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45352</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45352</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45352</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45352</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45352</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45352</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45352</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45352</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45352</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45352</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45352</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45352</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45352</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45352</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45352</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45352</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45352</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45352</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45352</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45352</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45352</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45352</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45352</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45352</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45352</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45352</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45352</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45352</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45352</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45352</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45352</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45352</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45352</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45352</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45352</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45352</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45352</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45352</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45352</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45352</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45352</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45352</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45352</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45352</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45352</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45352</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45352</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45352</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45352</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45352</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45352</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45352</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45352</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45352</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45352</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45352</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45352</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45352</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45352</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45352</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45352</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45352</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45352</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45352</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45352</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45352</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45352</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45352</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45352</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45352</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45352</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45352</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45352</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45352</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45352</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45352</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45352</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45352</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45352</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45352</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45352</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45352</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45352</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45352</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45352</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45352</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45352</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45352</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45352</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45352</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45352</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45352</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45352</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45352</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45352</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45352</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45352</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45352</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45352</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45352</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45352</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45352</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45352</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45352</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45352</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45352</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45352</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45352</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45352</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45352</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45352</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45352</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45352</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45352</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45352</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45352</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45352</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45352</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45352</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45352</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45352</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45352</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45352</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45352</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45352</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45352</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45352</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45352</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45352</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45352</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45352</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45352</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45352</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45352</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45352</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45352</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45352</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45352</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45352</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45352</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45352</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45352</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45352</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45352</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45352</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45352</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45352</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45352</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45352</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45352</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45352</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45352</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45352</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45352</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45352</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45352</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45352</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45352</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45352</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45352</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45352</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45352</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45352</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45352</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45352</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45352</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45352</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45352</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45352</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45352</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45352</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45352</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45352</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45352</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45352</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45352</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45352</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45352</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45352</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45352</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45352</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45352</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45352</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45352</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45352</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45352</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45352</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45352</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45352</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45352</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45352</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45352</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45352</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45352</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45352</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45352</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45352</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45352</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45352</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45352</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45352</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45352</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45352</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45352</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45352</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45352</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45352</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45352</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45352</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45352</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45352</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45352</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45352</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45352</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45352</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45352</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45352</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45352</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45352</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45352</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45352</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45352</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45352</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45352</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45352</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45352</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45352</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45352</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45352</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45352</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45352</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45352</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45352</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45352</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45352</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45352</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45352</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45352</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45352</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45352</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45352</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45352</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45352</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45352</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45352</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45352</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45352</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45352</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45352</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45352</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45352</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45352</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45352</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45352</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45352</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45352</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45352</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45352</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45352</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45352</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45352</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45352</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45352</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45352</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45352</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45352</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45352</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45352</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45352</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45352</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45352</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45352</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45352</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45352</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45352</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45352</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45352</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45352</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45352</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45352</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45352</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45352</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45352</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45352</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45352</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45352</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45352</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45352</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45352</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45352</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45352</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45352</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45352</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45352</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45352</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45352</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45352</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45352</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45352</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45352</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45352</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45352</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45352</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45352</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45352</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45352</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45352</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45352</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45352</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45352</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45352</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45352</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45352</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45352</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45352</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45352</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45352</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45352</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45352</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45352</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45352</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45352</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45352</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45352</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45352</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45352</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45352</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45352</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45352</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45352</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45352</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45352</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45352</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45352</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45352</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45352</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45352</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45352</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45352</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45352</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45352</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45352</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45352</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45352</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45352</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45352</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45352</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45352</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45352</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45352</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45352</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45352</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45352</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45352</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45352</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45352</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45352</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45352</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45352</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45352</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45352</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45352</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45352</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45352</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45352</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45352</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45352</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45352</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45352</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45352</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45352</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45352</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45352</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45352</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45352</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45352</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45352</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45352</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45352</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45352</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45352</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45352</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45352</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45352</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45352</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45352</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45352</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45352</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45352</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45352</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45352</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45352</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45352</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45352</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45352</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45352</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45352</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3443-2024</t>
        </is>
      </c>
      <c r="B10243" s="1" t="n">
        <v>45320</v>
      </c>
      <c r="C10243" s="1" t="n">
        <v>45352</v>
      </c>
      <c r="D10243" t="inlineStr">
        <is>
          <t>GÄVLEBORGS LÄN</t>
        </is>
      </c>
      <c r="E10243" t="inlineStr">
        <is>
          <t>OVANÅKER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45352</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45352</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45352</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45352</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45352</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45352</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45352</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45352</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45352</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45352</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3788-2024</t>
        </is>
      </c>
      <c r="B10254" s="1" t="n">
        <v>45321</v>
      </c>
      <c r="C10254" s="1" t="n">
        <v>45352</v>
      </c>
      <c r="D10254" t="inlineStr">
        <is>
          <t>GÄVLEBORGS LÄN</t>
        </is>
      </c>
      <c r="E10254" t="inlineStr">
        <is>
          <t>OCKELBO</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3833-2024</t>
        </is>
      </c>
      <c r="B10255" s="1" t="n">
        <v>45321</v>
      </c>
      <c r="C10255" s="1" t="n">
        <v>45352</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45352</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45352</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3859-2024</t>
        </is>
      </c>
      <c r="B10258" s="1" t="n">
        <v>45322</v>
      </c>
      <c r="C10258" s="1" t="n">
        <v>45352</v>
      </c>
      <c r="D10258" t="inlineStr">
        <is>
          <t>GÄVLEBORGS LÄN</t>
        </is>
      </c>
      <c r="E10258" t="inlineStr">
        <is>
          <t>OVANÅKER</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3871-2024</t>
        </is>
      </c>
      <c r="B10259" s="1" t="n">
        <v>45322</v>
      </c>
      <c r="C10259" s="1" t="n">
        <v>45352</v>
      </c>
      <c r="D10259" t="inlineStr">
        <is>
          <t>GÄVLEBORGS LÄN</t>
        </is>
      </c>
      <c r="E10259" t="inlineStr">
        <is>
          <t>OVANÅKER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3907-2024</t>
        </is>
      </c>
      <c r="B10260" s="1" t="n">
        <v>45322</v>
      </c>
      <c r="C10260" s="1" t="n">
        <v>45352</v>
      </c>
      <c r="D10260" t="inlineStr">
        <is>
          <t>GÄVLEBORGS LÄN</t>
        </is>
      </c>
      <c r="E10260" t="inlineStr">
        <is>
          <t>OCKELBO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3862-2024</t>
        </is>
      </c>
      <c r="B10261" s="1" t="n">
        <v>45322</v>
      </c>
      <c r="C10261" s="1" t="n">
        <v>45352</v>
      </c>
      <c r="D10261" t="inlineStr">
        <is>
          <t>GÄVLEBORGS LÄN</t>
        </is>
      </c>
      <c r="E10261" t="inlineStr">
        <is>
          <t>GÄVLE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4021-2024</t>
        </is>
      </c>
      <c r="B10262" s="1" t="n">
        <v>45323</v>
      </c>
      <c r="C10262" s="1" t="n">
        <v>45352</v>
      </c>
      <c r="D10262" t="inlineStr">
        <is>
          <t>GÄVLEBORGS LÄN</t>
        </is>
      </c>
      <c r="E10262" t="inlineStr">
        <is>
          <t>LJUSDAL</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4069-2024</t>
        </is>
      </c>
      <c r="B10263" s="1" t="n">
        <v>45323</v>
      </c>
      <c r="C10263" s="1" t="n">
        <v>45352</v>
      </c>
      <c r="D10263" t="inlineStr">
        <is>
          <t>GÄVLEBORGS LÄN</t>
        </is>
      </c>
      <c r="E10263" t="inlineStr">
        <is>
          <t>OCKELBO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4087-2024</t>
        </is>
      </c>
      <c r="B10264" s="1" t="n">
        <v>45323</v>
      </c>
      <c r="C10264" s="1" t="n">
        <v>45352</v>
      </c>
      <c r="D10264" t="inlineStr">
        <is>
          <t>GÄVLEBORGS LÄN</t>
        </is>
      </c>
      <c r="E10264" t="inlineStr">
        <is>
          <t>OVANÅKER</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4043-2024</t>
        </is>
      </c>
      <c r="B10265" s="1" t="n">
        <v>45323</v>
      </c>
      <c r="C10265" s="1" t="n">
        <v>45352</v>
      </c>
      <c r="D10265" t="inlineStr">
        <is>
          <t>GÄVLEBORGS LÄN</t>
        </is>
      </c>
      <c r="E10265" t="inlineStr">
        <is>
          <t>LJUSDAL</t>
        </is>
      </c>
      <c r="G10265" t="n">
        <v>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4095-2024</t>
        </is>
      </c>
      <c r="B10266" s="1" t="n">
        <v>45323</v>
      </c>
      <c r="C10266" s="1" t="n">
        <v>45352</v>
      </c>
      <c r="D10266" t="inlineStr">
        <is>
          <t>GÄVLEBORGS LÄN</t>
        </is>
      </c>
      <c r="E10266" t="inlineStr">
        <is>
          <t>LJUSDAL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45352</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4260-2024</t>
        </is>
      </c>
      <c r="B10268" s="1" t="n">
        <v>45324</v>
      </c>
      <c r="C10268" s="1" t="n">
        <v>45352</v>
      </c>
      <c r="D10268" t="inlineStr">
        <is>
          <t>GÄVLEBORGS LÄN</t>
        </is>
      </c>
      <c r="E10268" t="inlineStr">
        <is>
          <t>LJUSDAL</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4300-2024</t>
        </is>
      </c>
      <c r="B10269" s="1" t="n">
        <v>45324</v>
      </c>
      <c r="C10269" s="1" t="n">
        <v>45352</v>
      </c>
      <c r="D10269" t="inlineStr">
        <is>
          <t>GÄVLEBORGS LÄN</t>
        </is>
      </c>
      <c r="E10269" t="inlineStr">
        <is>
          <t>HUDIKSVALL</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4255-2024</t>
        </is>
      </c>
      <c r="B10270" s="1" t="n">
        <v>45324</v>
      </c>
      <c r="C10270" s="1" t="n">
        <v>45352</v>
      </c>
      <c r="D10270" t="inlineStr">
        <is>
          <t>GÄVLEBORGS LÄN</t>
        </is>
      </c>
      <c r="E10270" t="inlineStr">
        <is>
          <t>NORDANSTIG</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4283-2024</t>
        </is>
      </c>
      <c r="B10271" s="1" t="n">
        <v>45324</v>
      </c>
      <c r="C10271" s="1" t="n">
        <v>45352</v>
      </c>
      <c r="D10271" t="inlineStr">
        <is>
          <t>GÄVLEBORGS LÄN</t>
        </is>
      </c>
      <c r="E10271" t="inlineStr">
        <is>
          <t>SÖDERHAMN</t>
        </is>
      </c>
      <c r="G10271" t="n">
        <v>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4287-2024</t>
        </is>
      </c>
      <c r="B10272" s="1" t="n">
        <v>45324</v>
      </c>
      <c r="C10272" s="1" t="n">
        <v>45352</v>
      </c>
      <c r="D10272" t="inlineStr">
        <is>
          <t>GÄVLEBORGS LÄN</t>
        </is>
      </c>
      <c r="E10272" t="inlineStr">
        <is>
          <t>GÄVLE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4221-2024</t>
        </is>
      </c>
      <c r="B10273" s="1" t="n">
        <v>45324</v>
      </c>
      <c r="C10273" s="1" t="n">
        <v>45352</v>
      </c>
      <c r="D10273" t="inlineStr">
        <is>
          <t>GÄVLEBORGS LÄN</t>
        </is>
      </c>
      <c r="E10273" t="inlineStr">
        <is>
          <t>LJUSDAL</t>
        </is>
      </c>
      <c r="G10273" t="n">
        <v>14.5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4230-2024</t>
        </is>
      </c>
      <c r="B10274" s="1" t="n">
        <v>45324</v>
      </c>
      <c r="C10274" s="1" t="n">
        <v>45352</v>
      </c>
      <c r="D10274" t="inlineStr">
        <is>
          <t>GÄVLEBORGS LÄN</t>
        </is>
      </c>
      <c r="E10274" t="inlineStr">
        <is>
          <t>LJUSDAL</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4234-2024</t>
        </is>
      </c>
      <c r="B10275" s="1" t="n">
        <v>45324</v>
      </c>
      <c r="C10275" s="1" t="n">
        <v>45352</v>
      </c>
      <c r="D10275" t="inlineStr">
        <is>
          <t>GÄVLEBORGS LÄN</t>
        </is>
      </c>
      <c r="E10275" t="inlineStr">
        <is>
          <t>OVANÅKER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4238-2024</t>
        </is>
      </c>
      <c r="B10276" s="1" t="n">
        <v>45324</v>
      </c>
      <c r="C10276" s="1" t="n">
        <v>45352</v>
      </c>
      <c r="D10276" t="inlineStr">
        <is>
          <t>GÄVLEBORGS LÄN</t>
        </is>
      </c>
      <c r="E10276" t="inlineStr">
        <is>
          <t>LJUSDAL</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4290-2024</t>
        </is>
      </c>
      <c r="B10277" s="1" t="n">
        <v>45324</v>
      </c>
      <c r="C10277" s="1" t="n">
        <v>45352</v>
      </c>
      <c r="D10277" t="inlineStr">
        <is>
          <t>GÄVLEBORGS LÄN</t>
        </is>
      </c>
      <c r="E10277" t="inlineStr">
        <is>
          <t>GÄVLE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4294-2024</t>
        </is>
      </c>
      <c r="B10278" s="1" t="n">
        <v>45324</v>
      </c>
      <c r="C10278" s="1" t="n">
        <v>45352</v>
      </c>
      <c r="D10278" t="inlineStr">
        <is>
          <t>GÄVLEBORGS LÄN</t>
        </is>
      </c>
      <c r="E10278" t="inlineStr">
        <is>
          <t>GÄVLE</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4298-2024</t>
        </is>
      </c>
      <c r="B10279" s="1" t="n">
        <v>45324</v>
      </c>
      <c r="C10279" s="1" t="n">
        <v>45352</v>
      </c>
      <c r="D10279" t="inlineStr">
        <is>
          <t>GÄVLEBORGS LÄN</t>
        </is>
      </c>
      <c r="E10279" t="inlineStr">
        <is>
          <t>SÖDERHAMN</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45352</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45352</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45352</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4420-2024</t>
        </is>
      </c>
      <c r="B10283" s="1" t="n">
        <v>45327</v>
      </c>
      <c r="C10283" s="1" t="n">
        <v>45352</v>
      </c>
      <c r="D10283" t="inlineStr">
        <is>
          <t>GÄVLEBORGS LÄN</t>
        </is>
      </c>
      <c r="E10283" t="inlineStr">
        <is>
          <t>LJUSDAL</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4497-2024</t>
        </is>
      </c>
      <c r="B10284" s="1" t="n">
        <v>45327</v>
      </c>
      <c r="C10284" s="1" t="n">
        <v>45352</v>
      </c>
      <c r="D10284" t="inlineStr">
        <is>
          <t>GÄVLEBORGS LÄN</t>
        </is>
      </c>
      <c r="E10284" t="inlineStr">
        <is>
          <t>SÖDERHAMN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4505-2024</t>
        </is>
      </c>
      <c r="B10285" s="1" t="n">
        <v>45327</v>
      </c>
      <c r="C10285" s="1" t="n">
        <v>45352</v>
      </c>
      <c r="D10285" t="inlineStr">
        <is>
          <t>GÄVLEBORGS LÄN</t>
        </is>
      </c>
      <c r="E10285" t="inlineStr">
        <is>
          <t>HUDIKSVALL</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4517-2024</t>
        </is>
      </c>
      <c r="B10286" s="1" t="n">
        <v>45327</v>
      </c>
      <c r="C10286" s="1" t="n">
        <v>45352</v>
      </c>
      <c r="D10286" t="inlineStr">
        <is>
          <t>GÄVLEBORGS LÄN</t>
        </is>
      </c>
      <c r="E10286" t="inlineStr">
        <is>
          <t>BOLLNÄS</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4498-2024</t>
        </is>
      </c>
      <c r="B10287" s="1" t="n">
        <v>45327</v>
      </c>
      <c r="C10287" s="1" t="n">
        <v>45352</v>
      </c>
      <c r="D10287" t="inlineStr">
        <is>
          <t>GÄVLEBORGS LÄN</t>
        </is>
      </c>
      <c r="E10287" t="inlineStr">
        <is>
          <t>SANDVIKEN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4502-2024</t>
        </is>
      </c>
      <c r="B10288" s="1" t="n">
        <v>45327</v>
      </c>
      <c r="C10288" s="1" t="n">
        <v>45352</v>
      </c>
      <c r="D10288" t="inlineStr">
        <is>
          <t>GÄVLEBORGS LÄN</t>
        </is>
      </c>
      <c r="E10288" t="inlineStr">
        <is>
          <t>SANDVIKEN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4500-2024</t>
        </is>
      </c>
      <c r="B10289" s="1" t="n">
        <v>45327</v>
      </c>
      <c r="C10289" s="1" t="n">
        <v>45352</v>
      </c>
      <c r="D10289" t="inlineStr">
        <is>
          <t>GÄVLEBORGS LÄN</t>
        </is>
      </c>
      <c r="E10289" t="inlineStr">
        <is>
          <t>SANDVIKEN</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4504-2024</t>
        </is>
      </c>
      <c r="B10290" s="1" t="n">
        <v>45327</v>
      </c>
      <c r="C10290" s="1" t="n">
        <v>45352</v>
      </c>
      <c r="D10290" t="inlineStr">
        <is>
          <t>GÄVLEBORGS LÄN</t>
        </is>
      </c>
      <c r="E10290" t="inlineStr">
        <is>
          <t>HUDIKSVALL</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4557-2024</t>
        </is>
      </c>
      <c r="B10291" s="1" t="n">
        <v>45327</v>
      </c>
      <c r="C10291" s="1" t="n">
        <v>45352</v>
      </c>
      <c r="D10291" t="inlineStr">
        <is>
          <t>GÄVLEBORGS LÄN</t>
        </is>
      </c>
      <c r="E10291" t="inlineStr">
        <is>
          <t>SÖDERHAMN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4565-2024</t>
        </is>
      </c>
      <c r="B10292" s="1" t="n">
        <v>45327</v>
      </c>
      <c r="C10292" s="1" t="n">
        <v>45352</v>
      </c>
      <c r="D10292" t="inlineStr">
        <is>
          <t>GÄVLEBORGS LÄN</t>
        </is>
      </c>
      <c r="E10292" t="inlineStr">
        <is>
          <t>HUDIKSVALL</t>
        </is>
      </c>
      <c r="F10292" t="inlineStr">
        <is>
          <t>Holmen skog AB</t>
        </is>
      </c>
      <c r="G10292" t="n">
        <v>34.7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4573-2024</t>
        </is>
      </c>
      <c r="B10293" s="1" t="n">
        <v>45327</v>
      </c>
      <c r="C10293" s="1" t="n">
        <v>45352</v>
      </c>
      <c r="D10293" t="inlineStr">
        <is>
          <t>GÄVLEBORGS LÄN</t>
        </is>
      </c>
      <c r="E10293" t="inlineStr">
        <is>
          <t>HUDIKSVALL</t>
        </is>
      </c>
      <c r="F10293" t="inlineStr">
        <is>
          <t>Holmen skog AB</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4581-2024</t>
        </is>
      </c>
      <c r="B10294" s="1" t="n">
        <v>45327</v>
      </c>
      <c r="C10294" s="1" t="n">
        <v>45352</v>
      </c>
      <c r="D10294" t="inlineStr">
        <is>
          <t>GÄVLEBORGS LÄN</t>
        </is>
      </c>
      <c r="E10294" t="inlineStr">
        <is>
          <t>LJUSDAL</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4495-2024</t>
        </is>
      </c>
      <c r="B10295" s="1" t="n">
        <v>45327</v>
      </c>
      <c r="C10295" s="1" t="n">
        <v>45352</v>
      </c>
      <c r="D10295" t="inlineStr">
        <is>
          <t>GÄVLEBORGS LÄN</t>
        </is>
      </c>
      <c r="E10295" t="inlineStr">
        <is>
          <t>SANDVIKEN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4511-2024</t>
        </is>
      </c>
      <c r="B10296" s="1" t="n">
        <v>45327</v>
      </c>
      <c r="C10296" s="1" t="n">
        <v>45352</v>
      </c>
      <c r="D10296" t="inlineStr">
        <is>
          <t>GÄVLEBORGS LÄN</t>
        </is>
      </c>
      <c r="E10296" t="inlineStr">
        <is>
          <t>SANDVIKEN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45352</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4531-2024</t>
        </is>
      </c>
      <c r="B10298" s="1" t="n">
        <v>45327</v>
      </c>
      <c r="C10298" s="1" t="n">
        <v>45352</v>
      </c>
      <c r="D10298" t="inlineStr">
        <is>
          <t>GÄVLEBORGS LÄN</t>
        </is>
      </c>
      <c r="E10298" t="inlineStr">
        <is>
          <t>NORDANSTIG</t>
        </is>
      </c>
      <c r="F10298" t="inlineStr">
        <is>
          <t>Holmen skog AB</t>
        </is>
      </c>
      <c r="G10298" t="n">
        <v>7.2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4580-2024</t>
        </is>
      </c>
      <c r="B10299" s="1" t="n">
        <v>45327</v>
      </c>
      <c r="C10299" s="1" t="n">
        <v>45352</v>
      </c>
      <c r="D10299" t="inlineStr">
        <is>
          <t>GÄVLEBORGS LÄN</t>
        </is>
      </c>
      <c r="E10299" t="inlineStr">
        <is>
          <t>LJUSDAL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45352</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4683-2024</t>
        </is>
      </c>
      <c r="B10301" s="1" t="n">
        <v>45328</v>
      </c>
      <c r="C10301" s="1" t="n">
        <v>45352</v>
      </c>
      <c r="D10301" t="inlineStr">
        <is>
          <t>GÄVLEBORGS LÄN</t>
        </is>
      </c>
      <c r="E10301" t="inlineStr">
        <is>
          <t>HUDIKSVALL</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4619-2024</t>
        </is>
      </c>
      <c r="B10302" s="1" t="n">
        <v>45328</v>
      </c>
      <c r="C10302" s="1" t="n">
        <v>45352</v>
      </c>
      <c r="D10302" t="inlineStr">
        <is>
          <t>GÄVLEBORGS LÄN</t>
        </is>
      </c>
      <c r="E10302" t="inlineStr">
        <is>
          <t>HUDIKSVALL</t>
        </is>
      </c>
      <c r="F10302" t="inlineStr">
        <is>
          <t>Holmen skog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4685-2024</t>
        </is>
      </c>
      <c r="B10303" s="1" t="n">
        <v>45328</v>
      </c>
      <c r="C10303" s="1" t="n">
        <v>45352</v>
      </c>
      <c r="D10303" t="inlineStr">
        <is>
          <t>GÄVLEBORGS LÄN</t>
        </is>
      </c>
      <c r="E10303" t="inlineStr">
        <is>
          <t>HUDIKSVALL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45352</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45352</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45352</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45352</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4830-2024</t>
        </is>
      </c>
      <c r="B10308" s="1" t="n">
        <v>45329</v>
      </c>
      <c r="C10308" s="1" t="n">
        <v>45352</v>
      </c>
      <c r="D10308" t="inlineStr">
        <is>
          <t>GÄVLEBORGS LÄN</t>
        </is>
      </c>
      <c r="E10308" t="inlineStr">
        <is>
          <t>OVANÅKER</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4874-2024</t>
        </is>
      </c>
      <c r="B10309" s="1" t="n">
        <v>45329</v>
      </c>
      <c r="C10309" s="1" t="n">
        <v>45352</v>
      </c>
      <c r="D10309" t="inlineStr">
        <is>
          <t>GÄVLEBORGS LÄN</t>
        </is>
      </c>
      <c r="E10309" t="inlineStr">
        <is>
          <t>HUDIKSVALL</t>
        </is>
      </c>
      <c r="F10309" t="inlineStr">
        <is>
          <t>Holmen skog AB</t>
        </is>
      </c>
      <c r="G10309" t="n">
        <v>40.8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4912-2024</t>
        </is>
      </c>
      <c r="B10310" s="1" t="n">
        <v>45329</v>
      </c>
      <c r="C10310" s="1" t="n">
        <v>45352</v>
      </c>
      <c r="D10310" t="inlineStr">
        <is>
          <t>GÄVLEBORGS LÄN</t>
        </is>
      </c>
      <c r="E10310" t="inlineStr">
        <is>
          <t>BOLLNÄS</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5000-2024</t>
        </is>
      </c>
      <c r="B10311" s="1" t="n">
        <v>45329</v>
      </c>
      <c r="C10311" s="1" t="n">
        <v>45352</v>
      </c>
      <c r="D10311" t="inlineStr">
        <is>
          <t>GÄVLEBORGS LÄN</t>
        </is>
      </c>
      <c r="E10311" t="inlineStr">
        <is>
          <t>GÄVLE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5010-2024</t>
        </is>
      </c>
      <c r="B10312" s="1" t="n">
        <v>45329</v>
      </c>
      <c r="C10312" s="1" t="n">
        <v>45352</v>
      </c>
      <c r="D10312" t="inlineStr">
        <is>
          <t>GÄVLEBORGS LÄN</t>
        </is>
      </c>
      <c r="E10312" t="inlineStr">
        <is>
          <t>SANDVIKEN</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45352</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45352</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45352</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5090-2024</t>
        </is>
      </c>
      <c r="B10316" s="1" t="n">
        <v>45330</v>
      </c>
      <c r="C10316" s="1" t="n">
        <v>45352</v>
      </c>
      <c r="D10316" t="inlineStr">
        <is>
          <t>GÄVLEBORGS LÄN</t>
        </is>
      </c>
      <c r="E10316" t="inlineStr">
        <is>
          <t>LJUSDAL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5098-2024</t>
        </is>
      </c>
      <c r="B10317" s="1" t="n">
        <v>45330</v>
      </c>
      <c r="C10317" s="1" t="n">
        <v>45352</v>
      </c>
      <c r="D10317" t="inlineStr">
        <is>
          <t>GÄVLEBORGS LÄN</t>
        </is>
      </c>
      <c r="E10317" t="inlineStr">
        <is>
          <t>LJUSDAL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5151-2024</t>
        </is>
      </c>
      <c r="B10318" s="1" t="n">
        <v>45330</v>
      </c>
      <c r="C10318" s="1" t="n">
        <v>45352</v>
      </c>
      <c r="D10318" t="inlineStr">
        <is>
          <t>GÄVLEBORGS LÄN</t>
        </is>
      </c>
      <c r="E10318" t="inlineStr">
        <is>
          <t>OVANÅKER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5230-2024</t>
        </is>
      </c>
      <c r="B10319" s="1" t="n">
        <v>45330</v>
      </c>
      <c r="C10319" s="1" t="n">
        <v>45352</v>
      </c>
      <c r="D10319" t="inlineStr">
        <is>
          <t>GÄVLEBORGS LÄN</t>
        </is>
      </c>
      <c r="E10319" t="inlineStr">
        <is>
          <t>HUDIKSVALL</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5244-2024</t>
        </is>
      </c>
      <c r="B10320" s="1" t="n">
        <v>45330</v>
      </c>
      <c r="C10320" s="1" t="n">
        <v>45352</v>
      </c>
      <c r="D10320" t="inlineStr">
        <is>
          <t>GÄVLEBORGS LÄN</t>
        </is>
      </c>
      <c r="E10320" t="inlineStr">
        <is>
          <t>SANDVIKEN</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45352</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45352</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5243-2024</t>
        </is>
      </c>
      <c r="B10323" s="1" t="n">
        <v>45330</v>
      </c>
      <c r="C10323" s="1" t="n">
        <v>45352</v>
      </c>
      <c r="D10323" t="inlineStr">
        <is>
          <t>GÄVLEBORGS LÄN</t>
        </is>
      </c>
      <c r="E10323" t="inlineStr">
        <is>
          <t>GÄVLE</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45352</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5388-2024</t>
        </is>
      </c>
      <c r="B10325" s="1" t="n">
        <v>45331</v>
      </c>
      <c r="C10325" s="1" t="n">
        <v>45352</v>
      </c>
      <c r="D10325" t="inlineStr">
        <is>
          <t>GÄVLEBORGS LÄN</t>
        </is>
      </c>
      <c r="E10325" t="inlineStr">
        <is>
          <t>BOLLNÄS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5416-2024</t>
        </is>
      </c>
      <c r="B10326" s="1" t="n">
        <v>45331</v>
      </c>
      <c r="C10326" s="1" t="n">
        <v>45352</v>
      </c>
      <c r="D10326" t="inlineStr">
        <is>
          <t>GÄVLEBORGS LÄN</t>
        </is>
      </c>
      <c r="E10326" t="inlineStr">
        <is>
          <t>OVANÅKER</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5366-2024</t>
        </is>
      </c>
      <c r="B10327" s="1" t="n">
        <v>45331</v>
      </c>
      <c r="C10327" s="1" t="n">
        <v>45352</v>
      </c>
      <c r="D10327" t="inlineStr">
        <is>
          <t>GÄVLEBORGS LÄN</t>
        </is>
      </c>
      <c r="E10327" t="inlineStr">
        <is>
          <t>SÖDERHAMN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5385-2024</t>
        </is>
      </c>
      <c r="B10328" s="1" t="n">
        <v>45331</v>
      </c>
      <c r="C10328" s="1" t="n">
        <v>45352</v>
      </c>
      <c r="D10328" t="inlineStr">
        <is>
          <t>GÄVLEBORGS LÄN</t>
        </is>
      </c>
      <c r="E10328" t="inlineStr">
        <is>
          <t>NORDANSTIG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45352</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5620-2024</t>
        </is>
      </c>
      <c r="B10330" s="1" t="n">
        <v>45334</v>
      </c>
      <c r="C10330" s="1" t="n">
        <v>45352</v>
      </c>
      <c r="D10330" t="inlineStr">
        <is>
          <t>GÄVLEBORGS LÄN</t>
        </is>
      </c>
      <c r="E10330" t="inlineStr">
        <is>
          <t>SANDVIKEN</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5725-2024</t>
        </is>
      </c>
      <c r="B10331" s="1" t="n">
        <v>45334</v>
      </c>
      <c r="C10331" s="1" t="n">
        <v>45352</v>
      </c>
      <c r="D10331" t="inlineStr">
        <is>
          <t>GÄVLEBORGS LÄN</t>
        </is>
      </c>
      <c r="E10331" t="inlineStr">
        <is>
          <t>HUDIKSVALL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5534-2024</t>
        </is>
      </c>
      <c r="B10332" s="1" t="n">
        <v>45334</v>
      </c>
      <c r="C10332" s="1" t="n">
        <v>45352</v>
      </c>
      <c r="D10332" t="inlineStr">
        <is>
          <t>GÄVLEBORGS LÄN</t>
        </is>
      </c>
      <c r="E10332" t="inlineStr">
        <is>
          <t>LJUSDAL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5604-2024</t>
        </is>
      </c>
      <c r="B10333" s="1" t="n">
        <v>45334</v>
      </c>
      <c r="C10333" s="1" t="n">
        <v>45352</v>
      </c>
      <c r="D10333" t="inlineStr">
        <is>
          <t>GÄVLEBORGS LÄN</t>
        </is>
      </c>
      <c r="E10333" t="inlineStr">
        <is>
          <t>HUDIKSVALL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5633-2024</t>
        </is>
      </c>
      <c r="B10334" s="1" t="n">
        <v>45334</v>
      </c>
      <c r="C10334" s="1" t="n">
        <v>45352</v>
      </c>
      <c r="D10334" t="inlineStr">
        <is>
          <t>GÄVLEBORGS LÄN</t>
        </is>
      </c>
      <c r="E10334" t="inlineStr">
        <is>
          <t>GÄVLE</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5635-2024</t>
        </is>
      </c>
      <c r="B10335" s="1" t="n">
        <v>45334</v>
      </c>
      <c r="C10335" s="1" t="n">
        <v>45352</v>
      </c>
      <c r="D10335" t="inlineStr">
        <is>
          <t>GÄVLEBORGS LÄN</t>
        </is>
      </c>
      <c r="E10335" t="inlineStr">
        <is>
          <t>HUDIKSVALL</t>
        </is>
      </c>
      <c r="F10335" t="inlineStr">
        <is>
          <t>Kommuner</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5500-2024</t>
        </is>
      </c>
      <c r="B10336" s="1" t="n">
        <v>45334</v>
      </c>
      <c r="C10336" s="1" t="n">
        <v>45352</v>
      </c>
      <c r="D10336" t="inlineStr">
        <is>
          <t>GÄVLEBORGS LÄN</t>
        </is>
      </c>
      <c r="E10336" t="inlineStr">
        <is>
          <t>HUDIKSVALL</t>
        </is>
      </c>
      <c r="F10336" t="inlineStr">
        <is>
          <t>Holmen skog AB</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5535-2024</t>
        </is>
      </c>
      <c r="B10337" s="1" t="n">
        <v>45334</v>
      </c>
      <c r="C10337" s="1" t="n">
        <v>45352</v>
      </c>
      <c r="D10337" t="inlineStr">
        <is>
          <t>GÄVLEBORGS LÄN</t>
        </is>
      </c>
      <c r="E10337" t="inlineStr">
        <is>
          <t>LJUSDAL</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5554-2024</t>
        </is>
      </c>
      <c r="B10338" s="1" t="n">
        <v>45334</v>
      </c>
      <c r="C10338" s="1" t="n">
        <v>45352</v>
      </c>
      <c r="D10338" t="inlineStr">
        <is>
          <t>GÄVLEBORGS LÄN</t>
        </is>
      </c>
      <c r="E10338" t="inlineStr">
        <is>
          <t>HOFORS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5558-2024</t>
        </is>
      </c>
      <c r="B10339" s="1" t="n">
        <v>45334</v>
      </c>
      <c r="C10339" s="1" t="n">
        <v>45352</v>
      </c>
      <c r="D10339" t="inlineStr">
        <is>
          <t>GÄVLEBORGS LÄN</t>
        </is>
      </c>
      <c r="E10339" t="inlineStr">
        <is>
          <t>OCKELBO</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5571-2024</t>
        </is>
      </c>
      <c r="B10340" s="1" t="n">
        <v>45334</v>
      </c>
      <c r="C10340" s="1" t="n">
        <v>45352</v>
      </c>
      <c r="D10340" t="inlineStr">
        <is>
          <t>GÄVLEBORGS LÄN</t>
        </is>
      </c>
      <c r="E10340" t="inlineStr">
        <is>
          <t>OCKELBO</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5579-2024</t>
        </is>
      </c>
      <c r="B10341" s="1" t="n">
        <v>45334</v>
      </c>
      <c r="C10341" s="1" t="n">
        <v>45352</v>
      </c>
      <c r="D10341" t="inlineStr">
        <is>
          <t>GÄVLEBORGS LÄN</t>
        </is>
      </c>
      <c r="E10341" t="inlineStr">
        <is>
          <t>LJUSDAL</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5605-2024</t>
        </is>
      </c>
      <c r="B10342" s="1" t="n">
        <v>45334</v>
      </c>
      <c r="C10342" s="1" t="n">
        <v>45352</v>
      </c>
      <c r="D10342" t="inlineStr">
        <is>
          <t>GÄVLEBORGS LÄN</t>
        </is>
      </c>
      <c r="E10342" t="inlineStr">
        <is>
          <t>GÄVLE</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5711-2024</t>
        </is>
      </c>
      <c r="B10343" s="1" t="n">
        <v>45334</v>
      </c>
      <c r="C10343" s="1" t="n">
        <v>45352</v>
      </c>
      <c r="D10343" t="inlineStr">
        <is>
          <t>GÄVLEBORGS LÄN</t>
        </is>
      </c>
      <c r="E10343" t="inlineStr">
        <is>
          <t>HUDIKSVALL</t>
        </is>
      </c>
      <c r="F10343" t="inlineStr">
        <is>
          <t>Holmen skog AB</t>
        </is>
      </c>
      <c r="G10343" t="n">
        <v>14.5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5756-2024</t>
        </is>
      </c>
      <c r="B10344" s="1" t="n">
        <v>45335</v>
      </c>
      <c r="C10344" s="1" t="n">
        <v>45352</v>
      </c>
      <c r="D10344" t="inlineStr">
        <is>
          <t>GÄVLEBORGS LÄN</t>
        </is>
      </c>
      <c r="E10344" t="inlineStr">
        <is>
          <t>BOLLNÄS</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45352</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5893-2024</t>
        </is>
      </c>
      <c r="B10346" s="1" t="n">
        <v>45335</v>
      </c>
      <c r="C10346" s="1" t="n">
        <v>45352</v>
      </c>
      <c r="D10346" t="inlineStr">
        <is>
          <t>GÄVLEBORGS LÄN</t>
        </is>
      </c>
      <c r="E10346" t="inlineStr">
        <is>
          <t>GÄVLE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5897-2024</t>
        </is>
      </c>
      <c r="B10347" s="1" t="n">
        <v>45335</v>
      </c>
      <c r="C10347" s="1" t="n">
        <v>45352</v>
      </c>
      <c r="D10347" t="inlineStr">
        <is>
          <t>GÄVLEBORGS LÄN</t>
        </is>
      </c>
      <c r="E10347" t="inlineStr">
        <is>
          <t>HUDIKSVALL</t>
        </is>
      </c>
      <c r="F10347" t="inlineStr">
        <is>
          <t>Holmen skog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5836-2024</t>
        </is>
      </c>
      <c r="B10348" s="1" t="n">
        <v>45335</v>
      </c>
      <c r="C10348" s="1" t="n">
        <v>45352</v>
      </c>
      <c r="D10348" t="inlineStr">
        <is>
          <t>GÄVLEBORGS LÄN</t>
        </is>
      </c>
      <c r="E10348" t="inlineStr">
        <is>
          <t>BOLLNÄS</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45352</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6016-2024</t>
        </is>
      </c>
      <c r="B10350" s="1" t="n">
        <v>45336</v>
      </c>
      <c r="C10350" s="1" t="n">
        <v>45352</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6062-2024</t>
        </is>
      </c>
      <c r="B10351" s="1" t="n">
        <v>45336</v>
      </c>
      <c r="C10351" s="1" t="n">
        <v>45352</v>
      </c>
      <c r="D10351" t="inlineStr">
        <is>
          <t>GÄVLEBORGS LÄN</t>
        </is>
      </c>
      <c r="E10351" t="inlineStr">
        <is>
          <t>HUDIKSVALL</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5999-2024</t>
        </is>
      </c>
      <c r="B10352" s="1" t="n">
        <v>45336</v>
      </c>
      <c r="C10352" s="1" t="n">
        <v>45352</v>
      </c>
      <c r="D10352" t="inlineStr">
        <is>
          <t>GÄVLEBORGS LÄN</t>
        </is>
      </c>
      <c r="E10352" t="inlineStr">
        <is>
          <t>NORDANSTIG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6015-2024</t>
        </is>
      </c>
      <c r="B10353" s="1" t="n">
        <v>45336</v>
      </c>
      <c r="C10353" s="1" t="n">
        <v>45352</v>
      </c>
      <c r="D10353" t="inlineStr">
        <is>
          <t>GÄVLEBORGS LÄN</t>
        </is>
      </c>
      <c r="E10353" t="inlineStr">
        <is>
          <t>HUDIKSVALL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6031-2024</t>
        </is>
      </c>
      <c r="B10354" s="1" t="n">
        <v>45336</v>
      </c>
      <c r="C10354" s="1" t="n">
        <v>45352</v>
      </c>
      <c r="D10354" t="inlineStr">
        <is>
          <t>GÄVLEBORGS LÄN</t>
        </is>
      </c>
      <c r="E10354" t="inlineStr">
        <is>
          <t>HUDIKSVALL</t>
        </is>
      </c>
      <c r="G10354" t="n">
        <v>24.4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6074-2024</t>
        </is>
      </c>
      <c r="B10355" s="1" t="n">
        <v>45336</v>
      </c>
      <c r="C10355" s="1" t="n">
        <v>45352</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6073-2024</t>
        </is>
      </c>
      <c r="B10356" s="1" t="n">
        <v>45336</v>
      </c>
      <c r="C10356" s="1" t="n">
        <v>45352</v>
      </c>
      <c r="D10356" t="inlineStr">
        <is>
          <t>GÄVLEBORGS LÄN</t>
        </is>
      </c>
      <c r="E10356" t="inlineStr">
        <is>
          <t>LJUSDAL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6072-2024</t>
        </is>
      </c>
      <c r="B10357" s="1" t="n">
        <v>45336</v>
      </c>
      <c r="C10357" s="1" t="n">
        <v>45352</v>
      </c>
      <c r="D10357" t="inlineStr">
        <is>
          <t>GÄVLEBORGS LÄN</t>
        </is>
      </c>
      <c r="E10357" t="inlineStr">
        <is>
          <t>LJUSDAL</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6110-2024</t>
        </is>
      </c>
      <c r="B10358" s="1" t="n">
        <v>45337</v>
      </c>
      <c r="C10358" s="1" t="n">
        <v>45352</v>
      </c>
      <c r="D10358" t="inlineStr">
        <is>
          <t>GÄVLEBORGS LÄN</t>
        </is>
      </c>
      <c r="E10358" t="inlineStr">
        <is>
          <t>HUDIKSVALL</t>
        </is>
      </c>
      <c r="F10358" t="inlineStr">
        <is>
          <t>Kommuner</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6188-2024</t>
        </is>
      </c>
      <c r="B10359" s="1" t="n">
        <v>45337</v>
      </c>
      <c r="C10359" s="1" t="n">
        <v>45352</v>
      </c>
      <c r="D10359" t="inlineStr">
        <is>
          <t>GÄVLEBORGS LÄN</t>
        </is>
      </c>
      <c r="E10359" t="inlineStr">
        <is>
          <t>OVANÅKER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6260-2024</t>
        </is>
      </c>
      <c r="B10360" s="1" t="n">
        <v>45337</v>
      </c>
      <c r="C10360" s="1" t="n">
        <v>45352</v>
      </c>
      <c r="D10360" t="inlineStr">
        <is>
          <t>GÄVLEBORGS LÄN</t>
        </is>
      </c>
      <c r="E10360" t="inlineStr">
        <is>
          <t>HUDIKSVALL</t>
        </is>
      </c>
      <c r="F10360" t="inlineStr">
        <is>
          <t>Holmen skog AB</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6095-2024</t>
        </is>
      </c>
      <c r="B10361" s="1" t="n">
        <v>45337</v>
      </c>
      <c r="C10361" s="1" t="n">
        <v>45352</v>
      </c>
      <c r="D10361" t="inlineStr">
        <is>
          <t>GÄVLEBORGS LÄN</t>
        </is>
      </c>
      <c r="E10361" t="inlineStr">
        <is>
          <t>HUDIKSVALL</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6128-2024</t>
        </is>
      </c>
      <c r="B10362" s="1" t="n">
        <v>45337</v>
      </c>
      <c r="C10362" s="1" t="n">
        <v>45352</v>
      </c>
      <c r="D10362" t="inlineStr">
        <is>
          <t>GÄVLEBORGS LÄN</t>
        </is>
      </c>
      <c r="E10362" t="inlineStr">
        <is>
          <t>OCKELBO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6191-2024</t>
        </is>
      </c>
      <c r="B10363" s="1" t="n">
        <v>45337</v>
      </c>
      <c r="C10363" s="1" t="n">
        <v>45352</v>
      </c>
      <c r="D10363" t="inlineStr">
        <is>
          <t>GÄVLEBORGS LÄN</t>
        </is>
      </c>
      <c r="E10363" t="inlineStr">
        <is>
          <t>BOLLNÄS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6235-2024</t>
        </is>
      </c>
      <c r="B10364" s="1" t="n">
        <v>45337</v>
      </c>
      <c r="C10364" s="1" t="n">
        <v>45352</v>
      </c>
      <c r="D10364" t="inlineStr">
        <is>
          <t>GÄVLEBORGS LÄN</t>
        </is>
      </c>
      <c r="E10364" t="inlineStr">
        <is>
          <t>SANDVIKEN</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6331-2024</t>
        </is>
      </c>
      <c r="B10365" s="1" t="n">
        <v>45338</v>
      </c>
      <c r="C10365" s="1" t="n">
        <v>45352</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6388-2024</t>
        </is>
      </c>
      <c r="B10366" s="1" t="n">
        <v>45338</v>
      </c>
      <c r="C10366" s="1" t="n">
        <v>45352</v>
      </c>
      <c r="D10366" t="inlineStr">
        <is>
          <t>GÄVLEBORGS LÄN</t>
        </is>
      </c>
      <c r="E10366" t="inlineStr">
        <is>
          <t>SÖDERHAMN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6389-2024</t>
        </is>
      </c>
      <c r="B10367" s="1" t="n">
        <v>45338</v>
      </c>
      <c r="C10367" s="1" t="n">
        <v>45352</v>
      </c>
      <c r="D10367" t="inlineStr">
        <is>
          <t>GÄVLEBORGS LÄN</t>
        </is>
      </c>
      <c r="E10367" t="inlineStr">
        <is>
          <t>SÖDERHAMN</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6467-2024</t>
        </is>
      </c>
      <c r="B10368" s="1" t="n">
        <v>45338</v>
      </c>
      <c r="C10368" s="1" t="n">
        <v>45352</v>
      </c>
      <c r="D10368" t="inlineStr">
        <is>
          <t>GÄVLEBORGS LÄN</t>
        </is>
      </c>
      <c r="E10368" t="inlineStr">
        <is>
          <t>NORDANSTIG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6378-2024</t>
        </is>
      </c>
      <c r="B10369" s="1" t="n">
        <v>45338</v>
      </c>
      <c r="C10369" s="1" t="n">
        <v>45352</v>
      </c>
      <c r="D10369" t="inlineStr">
        <is>
          <t>GÄVLEBORGS LÄN</t>
        </is>
      </c>
      <c r="E10369" t="inlineStr">
        <is>
          <t>SÖDERHAMN</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45352</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6425-2024</t>
        </is>
      </c>
      <c r="B10371" s="1" t="n">
        <v>45338</v>
      </c>
      <c r="C10371" s="1" t="n">
        <v>45352</v>
      </c>
      <c r="D10371" t="inlineStr">
        <is>
          <t>GÄVLEBORGS LÄN</t>
        </is>
      </c>
      <c r="E10371" t="inlineStr">
        <is>
          <t>HUDIKSVALL</t>
        </is>
      </c>
      <c r="F10371" t="inlineStr">
        <is>
          <t>Holmen skog AB</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6474-2024</t>
        </is>
      </c>
      <c r="B10372" s="1" t="n">
        <v>45338</v>
      </c>
      <c r="C10372" s="1" t="n">
        <v>45352</v>
      </c>
      <c r="D10372" t="inlineStr">
        <is>
          <t>GÄVLEBORGS LÄN</t>
        </is>
      </c>
      <c r="E10372" t="inlineStr">
        <is>
          <t>GÄVLE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45352</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6626-2024</t>
        </is>
      </c>
      <c r="B10374" s="1" t="n">
        <v>45341</v>
      </c>
      <c r="C10374" s="1" t="n">
        <v>45352</v>
      </c>
      <c r="D10374" t="inlineStr">
        <is>
          <t>GÄVLEBORGS LÄN</t>
        </is>
      </c>
      <c r="E10374" t="inlineStr">
        <is>
          <t>OCKELBO</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45352</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6752-2024</t>
        </is>
      </c>
      <c r="B10376" s="1" t="n">
        <v>45342</v>
      </c>
      <c r="C10376" s="1" t="n">
        <v>45352</v>
      </c>
      <c r="D10376" t="inlineStr">
        <is>
          <t>GÄVLEBORGS LÄN</t>
        </is>
      </c>
      <c r="E10376" t="inlineStr">
        <is>
          <t>BOLLNÄS</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6761-2024</t>
        </is>
      </c>
      <c r="B10377" s="1" t="n">
        <v>45342</v>
      </c>
      <c r="C10377" s="1" t="n">
        <v>45352</v>
      </c>
      <c r="D10377" t="inlineStr">
        <is>
          <t>GÄVLEBORGS LÄN</t>
        </is>
      </c>
      <c r="E10377" t="inlineStr">
        <is>
          <t>OVANÅKER</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6729-2024</t>
        </is>
      </c>
      <c r="B10378" s="1" t="n">
        <v>45342</v>
      </c>
      <c r="C10378" s="1" t="n">
        <v>45352</v>
      </c>
      <c r="D10378" t="inlineStr">
        <is>
          <t>GÄVLEBORGS LÄN</t>
        </is>
      </c>
      <c r="E10378" t="inlineStr">
        <is>
          <t>LJUSDAL</t>
        </is>
      </c>
      <c r="F10378" t="inlineStr">
        <is>
          <t>Bergvik skog väst AB</t>
        </is>
      </c>
      <c r="G10378" t="n">
        <v>22.5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6742-2024</t>
        </is>
      </c>
      <c r="B10379" s="1" t="n">
        <v>45342</v>
      </c>
      <c r="C10379" s="1" t="n">
        <v>45352</v>
      </c>
      <c r="D10379" t="inlineStr">
        <is>
          <t>GÄVLEBORGS LÄN</t>
        </is>
      </c>
      <c r="E10379" t="inlineStr">
        <is>
          <t>OCKELBO</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6724-2024</t>
        </is>
      </c>
      <c r="B10380" s="1" t="n">
        <v>45342</v>
      </c>
      <c r="C10380" s="1" t="n">
        <v>45352</v>
      </c>
      <c r="D10380" t="inlineStr">
        <is>
          <t>GÄVLEBORGS LÄN</t>
        </is>
      </c>
      <c r="E10380" t="inlineStr">
        <is>
          <t>LJUSDAL</t>
        </is>
      </c>
      <c r="F10380" t="inlineStr">
        <is>
          <t>Bergvik skog väst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6730-2024</t>
        </is>
      </c>
      <c r="B10381" s="1" t="n">
        <v>45342</v>
      </c>
      <c r="C10381" s="1" t="n">
        <v>45352</v>
      </c>
      <c r="D10381" t="inlineStr">
        <is>
          <t>GÄVLEBORGS LÄN</t>
        </is>
      </c>
      <c r="E10381" t="inlineStr">
        <is>
          <t>HUDIKSVALL</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6755-2024</t>
        </is>
      </c>
      <c r="B10382" s="1" t="n">
        <v>45342</v>
      </c>
      <c r="C10382" s="1" t="n">
        <v>45352</v>
      </c>
      <c r="D10382" t="inlineStr">
        <is>
          <t>GÄVLEBORGS LÄN</t>
        </is>
      </c>
      <c r="E10382" t="inlineStr">
        <is>
          <t>BOLLNÄS</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6802-2024</t>
        </is>
      </c>
      <c r="B10383" s="1" t="n">
        <v>45342</v>
      </c>
      <c r="C10383" s="1" t="n">
        <v>45352</v>
      </c>
      <c r="D10383" t="inlineStr">
        <is>
          <t>GÄVLEBORGS LÄN</t>
        </is>
      </c>
      <c r="E10383" t="inlineStr">
        <is>
          <t>LJUSDAL</t>
        </is>
      </c>
      <c r="F10383" t="inlineStr">
        <is>
          <t>Holmen skog AB</t>
        </is>
      </c>
      <c r="G10383" t="n">
        <v>23.2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6792-2024</t>
        </is>
      </c>
      <c r="B10384" s="1" t="n">
        <v>45342</v>
      </c>
      <c r="C10384" s="1" t="n">
        <v>45352</v>
      </c>
      <c r="D10384" t="inlineStr">
        <is>
          <t>GÄVLEBORGS LÄN</t>
        </is>
      </c>
      <c r="E10384" t="inlineStr">
        <is>
          <t>SÖDERHAMN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6853-2024</t>
        </is>
      </c>
      <c r="B10385" s="1" t="n">
        <v>45342</v>
      </c>
      <c r="C10385" s="1" t="n">
        <v>45352</v>
      </c>
      <c r="D10385" t="inlineStr">
        <is>
          <t>GÄVLEBORGS LÄN</t>
        </is>
      </c>
      <c r="E10385" t="inlineStr">
        <is>
          <t>SÖDERHAMN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6844-2024</t>
        </is>
      </c>
      <c r="B10386" s="1" t="n">
        <v>45342</v>
      </c>
      <c r="C10386" s="1" t="n">
        <v>45352</v>
      </c>
      <c r="D10386" t="inlineStr">
        <is>
          <t>GÄVLEBORGS LÄN</t>
        </is>
      </c>
      <c r="E10386" t="inlineStr">
        <is>
          <t>LJUSDAL</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6851-2024</t>
        </is>
      </c>
      <c r="B10387" s="1" t="n">
        <v>45342</v>
      </c>
      <c r="C10387" s="1" t="n">
        <v>45352</v>
      </c>
      <c r="D10387" t="inlineStr">
        <is>
          <t>GÄVLEBORGS LÄN</t>
        </is>
      </c>
      <c r="E10387" t="inlineStr">
        <is>
          <t>SÖDERHAMN</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6872-2024</t>
        </is>
      </c>
      <c r="B10388" s="1" t="n">
        <v>45342</v>
      </c>
      <c r="C10388" s="1" t="n">
        <v>45352</v>
      </c>
      <c r="D10388" t="inlineStr">
        <is>
          <t>GÄVLEBORGS LÄN</t>
        </is>
      </c>
      <c r="E10388" t="inlineStr">
        <is>
          <t>HUDIKSVALL</t>
        </is>
      </c>
      <c r="F10388" t="inlineStr">
        <is>
          <t>Holmen skog AB</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6958-2024</t>
        </is>
      </c>
      <c r="B10389" s="1" t="n">
        <v>45343</v>
      </c>
      <c r="C10389" s="1" t="n">
        <v>45352</v>
      </c>
      <c r="D10389" t="inlineStr">
        <is>
          <t>GÄVLEBORGS LÄN</t>
        </is>
      </c>
      <c r="E10389" t="inlineStr">
        <is>
          <t>HOFORS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6951-2024</t>
        </is>
      </c>
      <c r="B10390" s="1" t="n">
        <v>45343</v>
      </c>
      <c r="C10390" s="1" t="n">
        <v>45352</v>
      </c>
      <c r="D10390" t="inlineStr">
        <is>
          <t>GÄVLEBORGS LÄN</t>
        </is>
      </c>
      <c r="E10390" t="inlineStr">
        <is>
          <t>SANDVIKEN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6963-2024</t>
        </is>
      </c>
      <c r="B10391" s="1" t="n">
        <v>45343</v>
      </c>
      <c r="C10391" s="1" t="n">
        <v>45352</v>
      </c>
      <c r="D10391" t="inlineStr">
        <is>
          <t>GÄVLEBORGS LÄN</t>
        </is>
      </c>
      <c r="E10391" t="inlineStr">
        <is>
          <t>HOFORS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7031-2024</t>
        </is>
      </c>
      <c r="B10392" s="1" t="n">
        <v>45343</v>
      </c>
      <c r="C10392" s="1" t="n">
        <v>45352</v>
      </c>
      <c r="D10392" t="inlineStr">
        <is>
          <t>GÄVLEBORGS LÄN</t>
        </is>
      </c>
      <c r="E10392" t="inlineStr">
        <is>
          <t>LJUSDAL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7103-2024</t>
        </is>
      </c>
      <c r="B10393" s="1" t="n">
        <v>45343</v>
      </c>
      <c r="C10393" s="1" t="n">
        <v>45352</v>
      </c>
      <c r="D10393" t="inlineStr">
        <is>
          <t>GÄVLEBORGS LÄN</t>
        </is>
      </c>
      <c r="E10393" t="inlineStr">
        <is>
          <t>HUDIKSVALL</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6923-2024</t>
        </is>
      </c>
      <c r="B10394" s="1" t="n">
        <v>45343</v>
      </c>
      <c r="C10394" s="1" t="n">
        <v>45352</v>
      </c>
      <c r="D10394" t="inlineStr">
        <is>
          <t>GÄVLEBORGS LÄN</t>
        </is>
      </c>
      <c r="E10394" t="inlineStr">
        <is>
          <t>NORDANSTIG</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45352</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7105-2024</t>
        </is>
      </c>
      <c r="B10396" s="1" t="n">
        <v>45343</v>
      </c>
      <c r="C10396" s="1" t="n">
        <v>45352</v>
      </c>
      <c r="D10396" t="inlineStr">
        <is>
          <t>GÄVLEBORGS LÄN</t>
        </is>
      </c>
      <c r="E10396" t="inlineStr">
        <is>
          <t>HUDIKSVALL</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7104-2024</t>
        </is>
      </c>
      <c r="B10397" s="1" t="n">
        <v>45343</v>
      </c>
      <c r="C10397" s="1" t="n">
        <v>45352</v>
      </c>
      <c r="D10397" t="inlineStr">
        <is>
          <t>GÄVLEBORGS LÄN</t>
        </is>
      </c>
      <c r="E10397" t="inlineStr">
        <is>
          <t>HUDIKSVALL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45352</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45352</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7298-2024</t>
        </is>
      </c>
      <c r="B10400" s="1" t="n">
        <v>45344</v>
      </c>
      <c r="C10400" s="1" t="n">
        <v>45352</v>
      </c>
      <c r="D10400" t="inlineStr">
        <is>
          <t>GÄVLEBORGS LÄN</t>
        </is>
      </c>
      <c r="E10400" t="inlineStr">
        <is>
          <t>GÄVLE</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45352</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7348-2024</t>
        </is>
      </c>
      <c r="B10402" s="1" t="n">
        <v>45345</v>
      </c>
      <c r="C10402" s="1" t="n">
        <v>45352</v>
      </c>
      <c r="D10402" t="inlineStr">
        <is>
          <t>GÄVLEBORGS LÄN</t>
        </is>
      </c>
      <c r="E10402" t="inlineStr">
        <is>
          <t>LJUSDAL</t>
        </is>
      </c>
      <c r="F10402" t="inlineStr">
        <is>
          <t>Bergvik skog väst AB</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7360-2024</t>
        </is>
      </c>
      <c r="B10403" s="1" t="n">
        <v>45345</v>
      </c>
      <c r="C10403" s="1" t="n">
        <v>45352</v>
      </c>
      <c r="D10403" t="inlineStr">
        <is>
          <t>GÄVLEBORGS LÄN</t>
        </is>
      </c>
      <c r="E10403" t="inlineStr">
        <is>
          <t>SÖDERHAMN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7436-2024</t>
        </is>
      </c>
      <c r="B10404" s="1" t="n">
        <v>45345</v>
      </c>
      <c r="C10404" s="1" t="n">
        <v>45352</v>
      </c>
      <c r="D10404" t="inlineStr">
        <is>
          <t>GÄVLEBORGS LÄN</t>
        </is>
      </c>
      <c r="E10404" t="inlineStr">
        <is>
          <t>NORDANSTIG</t>
        </is>
      </c>
      <c r="F10404" t="inlineStr">
        <is>
          <t>Holmen skog AB</t>
        </is>
      </c>
      <c r="G10404" t="n">
        <v>62.5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7386-2024</t>
        </is>
      </c>
      <c r="B10405" s="1" t="n">
        <v>45345</v>
      </c>
      <c r="C10405" s="1" t="n">
        <v>45352</v>
      </c>
      <c r="D10405" t="inlineStr">
        <is>
          <t>GÄVLEBORGS LÄN</t>
        </is>
      </c>
      <c r="E10405" t="inlineStr">
        <is>
          <t>LJUSDAL</t>
        </is>
      </c>
      <c r="F10405" t="inlineStr">
        <is>
          <t>Holmen skog AB</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7460-2024</t>
        </is>
      </c>
      <c r="B10406" s="1" t="n">
        <v>45345</v>
      </c>
      <c r="C10406" s="1" t="n">
        <v>45352</v>
      </c>
      <c r="D10406" t="inlineStr">
        <is>
          <t>GÄVLEBORGS LÄN</t>
        </is>
      </c>
      <c r="E10406" t="inlineStr">
        <is>
          <t>NORDANSTIG</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7363-2024</t>
        </is>
      </c>
      <c r="B10407" s="1" t="n">
        <v>45345</v>
      </c>
      <c r="C10407" s="1" t="n">
        <v>45352</v>
      </c>
      <c r="D10407" t="inlineStr">
        <is>
          <t>GÄVLEBORGS LÄN</t>
        </is>
      </c>
      <c r="E10407" t="inlineStr">
        <is>
          <t>SÖDERHAMN</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7411-2024</t>
        </is>
      </c>
      <c r="B10408" s="1" t="n">
        <v>45345</v>
      </c>
      <c r="C10408" s="1" t="n">
        <v>45352</v>
      </c>
      <c r="D10408" t="inlineStr">
        <is>
          <t>GÄVLEBORGS LÄN</t>
        </is>
      </c>
      <c r="E10408" t="inlineStr">
        <is>
          <t>HUDIKSVALL</t>
        </is>
      </c>
      <c r="G10408" t="n">
        <v>24.2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7560-2024</t>
        </is>
      </c>
      <c r="B10409" s="1" t="n">
        <v>45348</v>
      </c>
      <c r="C10409" s="1" t="n">
        <v>45352</v>
      </c>
      <c r="D10409" t="inlineStr">
        <is>
          <t>GÄVLEBORGS LÄN</t>
        </is>
      </c>
      <c r="E10409" t="inlineStr">
        <is>
          <t>BOLLNÄS</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7580-2024</t>
        </is>
      </c>
      <c r="B10410" s="1" t="n">
        <v>45348</v>
      </c>
      <c r="C10410" s="1" t="n">
        <v>45352</v>
      </c>
      <c r="D10410" t="inlineStr">
        <is>
          <t>GÄVLEBORGS LÄN</t>
        </is>
      </c>
      <c r="E10410" t="inlineStr">
        <is>
          <t>BOLLNÄS</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7603-2024</t>
        </is>
      </c>
      <c r="B10411" s="1" t="n">
        <v>45348</v>
      </c>
      <c r="C10411" s="1" t="n">
        <v>45352</v>
      </c>
      <c r="D10411" t="inlineStr">
        <is>
          <t>GÄVLEBORGS LÄN</t>
        </is>
      </c>
      <c r="E10411" t="inlineStr">
        <is>
          <t>LJUSDAL</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7513-2024</t>
        </is>
      </c>
      <c r="B10412" s="1" t="n">
        <v>45348</v>
      </c>
      <c r="C10412" s="1" t="n">
        <v>45352</v>
      </c>
      <c r="D10412" t="inlineStr">
        <is>
          <t>GÄVLEBORGS LÄN</t>
        </is>
      </c>
      <c r="E10412" t="inlineStr">
        <is>
          <t>LJUSDAL</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7514-2024</t>
        </is>
      </c>
      <c r="B10413" s="1" t="n">
        <v>45348</v>
      </c>
      <c r="C10413" s="1" t="n">
        <v>45352</v>
      </c>
      <c r="D10413" t="inlineStr">
        <is>
          <t>GÄVLEBORGS LÄN</t>
        </is>
      </c>
      <c r="E10413" t="inlineStr">
        <is>
          <t>LJUSDAL</t>
        </is>
      </c>
      <c r="G10413" t="n">
        <v>8.6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7543-2024</t>
        </is>
      </c>
      <c r="B10414" s="1" t="n">
        <v>45348</v>
      </c>
      <c r="C10414" s="1" t="n">
        <v>45352</v>
      </c>
      <c r="D10414" t="inlineStr">
        <is>
          <t>GÄVLEBORGS LÄN</t>
        </is>
      </c>
      <c r="E10414" t="inlineStr">
        <is>
          <t>HOFORS</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7547-2024</t>
        </is>
      </c>
      <c r="B10415" s="1" t="n">
        <v>45348</v>
      </c>
      <c r="C10415" s="1" t="n">
        <v>45352</v>
      </c>
      <c r="D10415" t="inlineStr">
        <is>
          <t>GÄVLEBORGS LÄN</t>
        </is>
      </c>
      <c r="E10415" t="inlineStr">
        <is>
          <t>HOFORS</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7563-2024</t>
        </is>
      </c>
      <c r="B10416" s="1" t="n">
        <v>45348</v>
      </c>
      <c r="C10416" s="1" t="n">
        <v>45352</v>
      </c>
      <c r="D10416" t="inlineStr">
        <is>
          <t>GÄVLEBORGS LÄN</t>
        </is>
      </c>
      <c r="E10416" t="inlineStr">
        <is>
          <t>HOFORS</t>
        </is>
      </c>
      <c r="G10416" t="n">
        <v>10.8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7606-2024</t>
        </is>
      </c>
      <c r="B10417" s="1" t="n">
        <v>45348</v>
      </c>
      <c r="C10417" s="1" t="n">
        <v>45352</v>
      </c>
      <c r="D10417" t="inlineStr">
        <is>
          <t>GÄVLEBORGS LÄN</t>
        </is>
      </c>
      <c r="E10417" t="inlineStr">
        <is>
          <t>LJUSDAL</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7614-2024</t>
        </is>
      </c>
      <c r="B10418" s="1" t="n">
        <v>45348</v>
      </c>
      <c r="C10418" s="1" t="n">
        <v>45352</v>
      </c>
      <c r="D10418" t="inlineStr">
        <is>
          <t>GÄVLEBORGS LÄN</t>
        </is>
      </c>
      <c r="E10418" t="inlineStr">
        <is>
          <t>BOLLNÄS</t>
        </is>
      </c>
      <c r="F10418" t="inlineStr">
        <is>
          <t>Kommuner</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7709-2024</t>
        </is>
      </c>
      <c r="B10419" s="1" t="n">
        <v>45349</v>
      </c>
      <c r="C10419" s="1" t="n">
        <v>45352</v>
      </c>
      <c r="D10419" t="inlineStr">
        <is>
          <t>GÄVLEBORGS LÄN</t>
        </is>
      </c>
      <c r="E10419" t="inlineStr">
        <is>
          <t>LJUSDAL</t>
        </is>
      </c>
      <c r="F10419" t="inlineStr">
        <is>
          <t>Holmen skog AB</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7724-2024</t>
        </is>
      </c>
      <c r="B10420" s="1" t="n">
        <v>45349</v>
      </c>
      <c r="C10420" s="1" t="n">
        <v>45352</v>
      </c>
      <c r="D10420" t="inlineStr">
        <is>
          <t>GÄVLEBORGS LÄN</t>
        </is>
      </c>
      <c r="E10420" t="inlineStr">
        <is>
          <t>LJUSDAL</t>
        </is>
      </c>
      <c r="F10420" t="inlineStr">
        <is>
          <t>Bergvik skog väst AB</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7729-2024</t>
        </is>
      </c>
      <c r="B10421" s="1" t="n">
        <v>45349</v>
      </c>
      <c r="C10421" s="1" t="n">
        <v>45352</v>
      </c>
      <c r="D10421" t="inlineStr">
        <is>
          <t>GÄVLEBORGS LÄN</t>
        </is>
      </c>
      <c r="E10421" t="inlineStr">
        <is>
          <t>LJUSDAL</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7811-2024</t>
        </is>
      </c>
      <c r="B10422" s="1" t="n">
        <v>45349</v>
      </c>
      <c r="C10422" s="1" t="n">
        <v>45352</v>
      </c>
      <c r="D10422" t="inlineStr">
        <is>
          <t>GÄVLEBORGS LÄN</t>
        </is>
      </c>
      <c r="E10422" t="inlineStr">
        <is>
          <t>NORDANSTIG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7694-2024</t>
        </is>
      </c>
      <c r="B10423" s="1" t="n">
        <v>45349</v>
      </c>
      <c r="C10423" s="1" t="n">
        <v>45352</v>
      </c>
      <c r="D10423" t="inlineStr">
        <is>
          <t>GÄVLEBORGS LÄN</t>
        </is>
      </c>
      <c r="E10423" t="inlineStr">
        <is>
          <t>OVANÅKER</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7731-2024</t>
        </is>
      </c>
      <c r="B10424" s="1" t="n">
        <v>45349</v>
      </c>
      <c r="C10424" s="1" t="n">
        <v>45352</v>
      </c>
      <c r="D10424" t="inlineStr">
        <is>
          <t>GÄVLEBORGS LÄN</t>
        </is>
      </c>
      <c r="E10424" t="inlineStr">
        <is>
          <t>LJUSDAL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7693-2024</t>
        </is>
      </c>
      <c r="B10425" s="1" t="n">
        <v>45349</v>
      </c>
      <c r="C10425" s="1" t="n">
        <v>45352</v>
      </c>
      <c r="D10425" t="inlineStr">
        <is>
          <t>GÄVLEBORGS LÄN</t>
        </is>
      </c>
      <c r="E10425" t="inlineStr">
        <is>
          <t>OVANÅKER</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7734-2024</t>
        </is>
      </c>
      <c r="B10426" s="1" t="n">
        <v>45349</v>
      </c>
      <c r="C10426" s="1" t="n">
        <v>45352</v>
      </c>
      <c r="D10426" t="inlineStr">
        <is>
          <t>GÄVLEBORGS LÄN</t>
        </is>
      </c>
      <c r="E10426" t="inlineStr">
        <is>
          <t>BOLLNÄS</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7846-2024</t>
        </is>
      </c>
      <c r="B10427" s="1" t="n">
        <v>45350</v>
      </c>
      <c r="C10427" s="1" t="n">
        <v>45352</v>
      </c>
      <c r="D10427" t="inlineStr">
        <is>
          <t>GÄVLEBORGS LÄN</t>
        </is>
      </c>
      <c r="E10427" t="inlineStr">
        <is>
          <t>NORDANSTIG</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7836-2024</t>
        </is>
      </c>
      <c r="B10428" s="1" t="n">
        <v>45349</v>
      </c>
      <c r="C10428" s="1" t="n">
        <v>45352</v>
      </c>
      <c r="D10428" t="inlineStr">
        <is>
          <t>GÄVLEBORGS LÄN</t>
        </is>
      </c>
      <c r="E10428" t="inlineStr">
        <is>
          <t>HUDIKSVALL</t>
        </is>
      </c>
      <c r="F10428" t="inlineStr">
        <is>
          <t>Holmen skog AB</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7907-2024</t>
        </is>
      </c>
      <c r="B10429" s="1" t="n">
        <v>45350</v>
      </c>
      <c r="C10429" s="1" t="n">
        <v>45352</v>
      </c>
      <c r="D10429" t="inlineStr">
        <is>
          <t>GÄVLEBORGS LÄN</t>
        </is>
      </c>
      <c r="E10429" t="inlineStr">
        <is>
          <t>HUDIKSVALL</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7920-2024</t>
        </is>
      </c>
      <c r="B10430" s="1" t="n">
        <v>45350</v>
      </c>
      <c r="C10430" s="1" t="n">
        <v>45352</v>
      </c>
      <c r="D10430" t="inlineStr">
        <is>
          <t>GÄVLEBORGS LÄN</t>
        </is>
      </c>
      <c r="E10430" t="inlineStr">
        <is>
          <t>GÄVLE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7926-2024</t>
        </is>
      </c>
      <c r="B10431" s="1" t="n">
        <v>45350</v>
      </c>
      <c r="C10431" s="1" t="n">
        <v>45352</v>
      </c>
      <c r="D10431" t="inlineStr">
        <is>
          <t>GÄVLEBORGS LÄN</t>
        </is>
      </c>
      <c r="E10431" t="inlineStr">
        <is>
          <t>GÄVLE</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7997-2024</t>
        </is>
      </c>
      <c r="B10432" s="1" t="n">
        <v>45350</v>
      </c>
      <c r="C10432" s="1" t="n">
        <v>45352</v>
      </c>
      <c r="D10432" t="inlineStr">
        <is>
          <t>GÄVLEBORGS LÄN</t>
        </is>
      </c>
      <c r="E10432" t="inlineStr">
        <is>
          <t>OVANÅKER</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7886-2024</t>
        </is>
      </c>
      <c r="B10433" s="1" t="n">
        <v>45350</v>
      </c>
      <c r="C10433" s="1" t="n">
        <v>45352</v>
      </c>
      <c r="D10433" t="inlineStr">
        <is>
          <t>GÄVLEBORGS LÄN</t>
        </is>
      </c>
      <c r="E10433" t="inlineStr">
        <is>
          <t>SANDVIKEN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7899-2024</t>
        </is>
      </c>
      <c r="B10434" s="1" t="n">
        <v>45350</v>
      </c>
      <c r="C10434" s="1" t="n">
        <v>45352</v>
      </c>
      <c r="D10434" t="inlineStr">
        <is>
          <t>GÄVLEBORGS LÄN</t>
        </is>
      </c>
      <c r="E10434" t="inlineStr">
        <is>
          <t>GÄVLE</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7994-2024</t>
        </is>
      </c>
      <c r="B10435" s="1" t="n">
        <v>45350</v>
      </c>
      <c r="C10435" s="1" t="n">
        <v>45352</v>
      </c>
      <c r="D10435" t="inlineStr">
        <is>
          <t>GÄVLEBORGS LÄN</t>
        </is>
      </c>
      <c r="E10435" t="inlineStr">
        <is>
          <t>LJUSDAL</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7915-2024</t>
        </is>
      </c>
      <c r="B10436" s="1" t="n">
        <v>45350</v>
      </c>
      <c r="C10436" s="1" t="n">
        <v>45352</v>
      </c>
      <c r="D10436" t="inlineStr">
        <is>
          <t>GÄVLEBORGS LÄN</t>
        </is>
      </c>
      <c r="E10436" t="inlineStr">
        <is>
          <t>GÄVLE</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7919-2024</t>
        </is>
      </c>
      <c r="B10437" s="1" t="n">
        <v>45350</v>
      </c>
      <c r="C10437" s="1" t="n">
        <v>45352</v>
      </c>
      <c r="D10437" t="inlineStr">
        <is>
          <t>GÄVLEBORGS LÄN</t>
        </is>
      </c>
      <c r="E10437" t="inlineStr">
        <is>
          <t>SANDVIKEN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7992-2024</t>
        </is>
      </c>
      <c r="B10438" s="1" t="n">
        <v>45350</v>
      </c>
      <c r="C10438" s="1" t="n">
        <v>45352</v>
      </c>
      <c r="D10438" t="inlineStr">
        <is>
          <t>GÄVLEBORGS LÄN</t>
        </is>
      </c>
      <c r="E10438" t="inlineStr">
        <is>
          <t>HUDIKSVALL</t>
        </is>
      </c>
      <c r="F10438" t="inlineStr">
        <is>
          <t>Holmen skog AB</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7923-2024</t>
        </is>
      </c>
      <c r="B10439" s="1" t="n">
        <v>45350</v>
      </c>
      <c r="C10439" s="1" t="n">
        <v>45352</v>
      </c>
      <c r="D10439" t="inlineStr">
        <is>
          <t>GÄVLEBORGS LÄN</t>
        </is>
      </c>
      <c r="E10439" t="inlineStr">
        <is>
          <t>GÄVLE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8032-2024</t>
        </is>
      </c>
      <c r="B10440" s="1" t="n">
        <v>45350</v>
      </c>
      <c r="C10440" s="1" t="n">
        <v>45352</v>
      </c>
      <c r="D10440" t="inlineStr">
        <is>
          <t>GÄVLEBORGS LÄN</t>
        </is>
      </c>
      <c r="E10440" t="inlineStr">
        <is>
          <t>OVANÅKER</t>
        </is>
      </c>
      <c r="G10440" t="n">
        <v>7.5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8027-2024</t>
        </is>
      </c>
      <c r="B10441" s="1" t="n">
        <v>45350</v>
      </c>
      <c r="C10441" s="1" t="n">
        <v>45352</v>
      </c>
      <c r="D10441" t="inlineStr">
        <is>
          <t>GÄVLEBORGS LÄN</t>
        </is>
      </c>
      <c r="E10441" t="inlineStr">
        <is>
          <t>HUDIKSVALL</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8031-2024</t>
        </is>
      </c>
      <c r="B10442" s="1" t="n">
        <v>45350</v>
      </c>
      <c r="C10442" s="1" t="n">
        <v>45352</v>
      </c>
      <c r="D10442" t="inlineStr">
        <is>
          <t>GÄVLEBORGS LÄN</t>
        </is>
      </c>
      <c r="E10442" t="inlineStr">
        <is>
          <t>GÄVLE</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8040-2024</t>
        </is>
      </c>
      <c r="B10443" s="1" t="n">
        <v>45350</v>
      </c>
      <c r="C10443" s="1" t="n">
        <v>45352</v>
      </c>
      <c r="D10443" t="inlineStr">
        <is>
          <t>GÄVLEBORGS LÄN</t>
        </is>
      </c>
      <c r="E10443" t="inlineStr">
        <is>
          <t>NORDANSTIG</t>
        </is>
      </c>
      <c r="F10443" t="inlineStr">
        <is>
          <t>SCA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8081-2024</t>
        </is>
      </c>
      <c r="B10444" s="1" t="n">
        <v>45351</v>
      </c>
      <c r="C10444" s="1" t="n">
        <v>45352</v>
      </c>
      <c r="D10444" t="inlineStr">
        <is>
          <t>GÄVLEBORGS LÄN</t>
        </is>
      </c>
      <c r="E10444" t="inlineStr">
        <is>
          <t>LJUSDAL</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8061-2024</t>
        </is>
      </c>
      <c r="B10445" s="1" t="n">
        <v>45351</v>
      </c>
      <c r="C10445" s="1" t="n">
        <v>45352</v>
      </c>
      <c r="D10445" t="inlineStr">
        <is>
          <t>GÄVLEBORGS LÄN</t>
        </is>
      </c>
      <c r="E10445" t="inlineStr">
        <is>
          <t>LJUSDAL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8051-2024</t>
        </is>
      </c>
      <c r="B10446" s="1" t="n">
        <v>45351</v>
      </c>
      <c r="C10446" s="1" t="n">
        <v>45352</v>
      </c>
      <c r="D10446" t="inlineStr">
        <is>
          <t>GÄVLEBORGS LÄN</t>
        </is>
      </c>
      <c r="E10446" t="inlineStr">
        <is>
          <t>HUDIKSVALL</t>
        </is>
      </c>
      <c r="F10446" t="inlineStr">
        <is>
          <t>Holmen skog AB</t>
        </is>
      </c>
      <c r="G10446" t="n">
        <v>12.9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8080-2024</t>
        </is>
      </c>
      <c r="B10447" s="1" t="n">
        <v>45351</v>
      </c>
      <c r="C10447" s="1" t="n">
        <v>45352</v>
      </c>
      <c r="D10447" t="inlineStr">
        <is>
          <t>GÄVLEBORGS LÄN</t>
        </is>
      </c>
      <c r="E10447" t="inlineStr">
        <is>
          <t>SÖDERHAMN</t>
        </is>
      </c>
      <c r="G10447" t="n">
        <v>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8096-2024</t>
        </is>
      </c>
      <c r="B10448" s="1" t="n">
        <v>45351</v>
      </c>
      <c r="C10448" s="1" t="n">
        <v>45352</v>
      </c>
      <c r="D10448" t="inlineStr">
        <is>
          <t>GÄVLEBORGS LÄN</t>
        </is>
      </c>
      <c r="E10448" t="inlineStr">
        <is>
          <t>HUDIKSVALL</t>
        </is>
      </c>
      <c r="F10448" t="inlineStr">
        <is>
          <t>Holmen skog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8233-2024</t>
        </is>
      </c>
      <c r="B10449" s="1" t="n">
        <v>45351</v>
      </c>
      <c r="C10449" s="1" t="n">
        <v>45352</v>
      </c>
      <c r="D10449" t="inlineStr">
        <is>
          <t>GÄVLEBORGS LÄN</t>
        </is>
      </c>
      <c r="E10449" t="inlineStr">
        <is>
          <t>BOLLNÄS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8142-2024</t>
        </is>
      </c>
      <c r="B10450" s="1" t="n">
        <v>45351</v>
      </c>
      <c r="C10450" s="1" t="n">
        <v>45352</v>
      </c>
      <c r="D10450" t="inlineStr">
        <is>
          <t>GÄVLEBORGS LÄN</t>
        </is>
      </c>
      <c r="E10450" t="inlineStr">
        <is>
          <t>LJUSDAL</t>
        </is>
      </c>
      <c r="F10450" t="inlineStr">
        <is>
          <t>Holmen skog AB</t>
        </is>
      </c>
      <c r="G10450" t="n">
        <v>17.1</v>
      </c>
      <c r="H10450" t="n">
        <v>0</v>
      </c>
      <c r="I10450" t="n">
        <v>0</v>
      </c>
      <c r="J10450" t="n">
        <v>0</v>
      </c>
      <c r="K10450" t="n">
        <v>0</v>
      </c>
      <c r="L10450" t="n">
        <v>0</v>
      </c>
      <c r="M10450" t="n">
        <v>0</v>
      </c>
      <c r="N10450" t="n">
        <v>0</v>
      </c>
      <c r="O10450" t="n">
        <v>0</v>
      </c>
      <c r="P10450" t="n">
        <v>0</v>
      </c>
      <c r="Q10450" t="n">
        <v>0</v>
      </c>
      <c r="R10450" s="2" t="inlineStr"/>
    </row>
    <row r="10451">
      <c r="A10451" t="inlineStr">
        <is>
          <t>A 8119-2024</t>
        </is>
      </c>
      <c r="B10451" s="1" t="n">
        <v>45351</v>
      </c>
      <c r="C10451" s="1" t="n">
        <v>45352</v>
      </c>
      <c r="D10451" t="inlineStr">
        <is>
          <t>GÄVLEBORGS LÄN</t>
        </is>
      </c>
      <c r="E10451" t="inlineStr">
        <is>
          <t>BOLLNÄS</t>
        </is>
      </c>
      <c r="G10451" t="n">
        <v>1.1</v>
      </c>
      <c r="H10451" t="n">
        <v>0</v>
      </c>
      <c r="I10451" t="n">
        <v>0</v>
      </c>
      <c r="J10451" t="n">
        <v>0</v>
      </c>
      <c r="K10451" t="n">
        <v>0</v>
      </c>
      <c r="L10451" t="n">
        <v>0</v>
      </c>
      <c r="M10451" t="n">
        <v>0</v>
      </c>
      <c r="N10451" t="n">
        <v>0</v>
      </c>
      <c r="O10451" t="n">
        <v>0</v>
      </c>
      <c r="P10451" t="n">
        <v>0</v>
      </c>
      <c r="Q10451" t="n">
        <v>0</v>
      </c>
      <c r="R104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2024-03-01T12:34:46Z</dcterms:created>
  <dcterms:modified xmlns:dcterms="http://purl.org/dc/terms/" xmlns:xsi="http://www.w3.org/2001/XMLSchema-instance" xsi:type="dcterms:W3CDTF">2024-03-01T12:34:55Z</dcterms:modified>
</cp:coreProperties>
</file>