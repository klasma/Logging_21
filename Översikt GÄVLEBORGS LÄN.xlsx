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45583</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45583</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45583</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45583</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45583</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45583</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45583</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45583</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45583</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45583</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45583</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45583</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45583</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45583</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45583</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45583</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45583</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45583</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45583</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45583</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45583</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45583</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45583</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45583</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45583</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45583</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45583</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45583</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45583</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45583</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45583</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45583</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45583</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45583</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45583</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45583</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45583</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45583</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45583</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45583</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45583</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45583</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45583</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45583</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45583</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45583</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45583</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45583</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45583</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45583</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45583</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45583</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45583</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45583</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45583</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45583</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45583</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45583</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45583</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45583</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45583</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45583</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45583</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45583</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45583</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45583</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45583</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45583</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45583</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45583</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45583</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45583</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45583</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45583</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45583</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45583</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45583</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45583</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45583</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45583</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45583</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45583</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45583</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45583</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45583</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45583</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45583</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45583</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45583</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45583</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45583</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45583</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45583</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45583</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45583</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45583</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45583</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45583</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45583</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45583</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45583</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45583</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45583</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45583</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45583</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45583</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45583</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45583</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45583</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45583</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45583</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45583</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45583</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45583</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45583</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45583</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45583</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45583</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45583</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45583</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45583</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45583</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45583</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45583</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45583</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45583</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45583</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45583</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45583</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45583</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45583</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45583</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45583</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45583</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45583</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45583</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45583</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45583</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45583</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45583</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45583</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45583</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45583</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45583</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45583</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45583</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45583</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45583</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45583</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45583</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45583</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45583</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45583</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45583</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45583</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45583</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45583</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45583</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45583</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45583</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45583</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45583</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45583</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45583</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45583</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45583</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45583</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45583</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45583</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45583</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45583</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45583</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45583</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45583</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45583</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45583</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45583</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45583</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45583</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45583</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45583</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45583</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45583</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45583</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45583</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45583</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45583</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45583</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45583</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45583</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45583</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45583</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45583</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45583</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45583</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45583</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45583</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45583</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45583</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45583</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45583</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45583</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45583</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45583</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45583</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45583</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45583</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45583</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45583</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45583</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45583</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45583</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45583</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45583</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45583</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45583</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45583</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45583</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45583</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45583</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45583</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45583</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45583</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45583</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45583</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45583</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45583</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45583</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45583</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45583</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45583</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45583</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45583</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45583</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45583</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45583</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45583</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45583</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45583</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45583</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45583</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45583</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45583</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45583</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45583</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45583</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45583</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45583</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45583</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45583</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45583</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45583</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45583</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45583</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45583</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45583</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45583</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45583</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45583</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45583</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45583</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45583</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45583</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45583</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45583</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45583</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45583</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45583</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45583</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45583</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45583</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45583</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45583</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45583</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45583</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45583</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45583</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45583</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45583</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45583</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45583</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45583</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45583</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45583</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45583</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45583</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45583</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45583</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45583</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45583</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45583</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45583</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45583</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45583</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45583</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45583</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45583</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45583</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45583</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45583</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45583</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45583</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45583</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45583</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45583</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45583</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45583</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45583</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45583</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45583</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45583</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45583</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45583</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45583</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45583</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45583</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45583</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45583</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45583</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45583</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45583</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45583</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45583</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45583</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45583</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45583</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45583</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45583</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45583</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42624-2024</t>
        </is>
      </c>
      <c r="B340" s="1" t="n">
        <v>45565</v>
      </c>
      <c r="C340" s="1" t="n">
        <v>45583</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42706-2024</t>
        </is>
      </c>
      <c r="B341" s="1" t="n">
        <v>45566</v>
      </c>
      <c r="C341" s="1" t="n">
        <v>45583</v>
      </c>
      <c r="D341" t="inlineStr">
        <is>
          <t>GÄVLEBORGS LÄN</t>
        </is>
      </c>
      <c r="E341" t="inlineStr">
        <is>
          <t>LJUSDAL</t>
        </is>
      </c>
      <c r="F341" t="inlineStr">
        <is>
          <t>Kommuner</t>
        </is>
      </c>
      <c r="G341" t="n">
        <v>1.5</v>
      </c>
      <c r="H341" t="n">
        <v>0</v>
      </c>
      <c r="I341" t="n">
        <v>0</v>
      </c>
      <c r="J341" t="n">
        <v>2</v>
      </c>
      <c r="K341" t="n">
        <v>0</v>
      </c>
      <c r="L341" t="n">
        <v>0</v>
      </c>
      <c r="M341" t="n">
        <v>0</v>
      </c>
      <c r="N341" t="n">
        <v>0</v>
      </c>
      <c r="O341" t="n">
        <v>2</v>
      </c>
      <c r="P341" t="n">
        <v>0</v>
      </c>
      <c r="Q341" t="n">
        <v>2</v>
      </c>
      <c r="R341" s="2" t="inlineStr">
        <is>
          <t>Lunglav
Violettgrå tagellav</t>
        </is>
      </c>
      <c r="S341">
        <f>HYPERLINK("https://klasma.github.io/Logging_2161/artfynd/A 42706-2024 artfynd.xlsx", "A 42706-2024")</f>
        <v/>
      </c>
      <c r="T341">
        <f>HYPERLINK("https://klasma.github.io/Logging_2161/kartor/A 42706-2024 karta.png", "A 42706-2024")</f>
        <v/>
      </c>
      <c r="U341">
        <f>HYPERLINK("https://klasma.github.io/Logging_2161/knärot/A 42706-2024 karta knärot.png", "A 42706-2024")</f>
        <v/>
      </c>
      <c r="V341">
        <f>HYPERLINK("https://klasma.github.io/Logging_2161/klagomål/A 42706-2024 FSC-klagomål.docx", "A 42706-2024")</f>
        <v/>
      </c>
      <c r="W341">
        <f>HYPERLINK("https://klasma.github.io/Logging_2161/klagomålsmail/A 42706-2024 FSC-klagomål mail.docx", "A 42706-2024")</f>
        <v/>
      </c>
      <c r="X341">
        <f>HYPERLINK("https://klasma.github.io/Logging_2161/tillsyn/A 42706-2024 tillsynsbegäran.docx", "A 42706-2024")</f>
        <v/>
      </c>
      <c r="Y341">
        <f>HYPERLINK("https://klasma.github.io/Logging_2161/tillsynsmail/A 42706-2024 tillsynsbegäran mail.docx", "A 42706-2024")</f>
        <v/>
      </c>
    </row>
    <row r="342" ht="15" customHeight="1">
      <c r="A342" t="inlineStr">
        <is>
          <t>A 17966-2019</t>
        </is>
      </c>
      <c r="B342" s="1" t="n">
        <v>43557</v>
      </c>
      <c r="C342" s="1" t="n">
        <v>45583</v>
      </c>
      <c r="D342" t="inlineStr">
        <is>
          <t>GÄVLEBORGS LÄN</t>
        </is>
      </c>
      <c r="E342" t="inlineStr">
        <is>
          <t>LJUSDAL</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HYPERLINK("https://klasma.github.io/Logging_2161/artfynd/A 17966-2019 artfynd.xlsx", "A 17966-2019")</f>
        <v/>
      </c>
      <c r="T342">
        <f>HYPERLINK("https://klasma.github.io/Logging_2161/kartor/A 17966-2019 karta.png", "A 17966-2019")</f>
        <v/>
      </c>
      <c r="V342">
        <f>HYPERLINK("https://klasma.github.io/Logging_2161/klagomål/A 17966-2019 FSC-klagomål.docx", "A 17966-2019")</f>
        <v/>
      </c>
      <c r="W342">
        <f>HYPERLINK("https://klasma.github.io/Logging_2161/klagomålsmail/A 17966-2019 FSC-klagomål mail.docx", "A 17966-2019")</f>
        <v/>
      </c>
      <c r="X342">
        <f>HYPERLINK("https://klasma.github.io/Logging_2161/tillsyn/A 17966-2019 tillsynsbegäran.docx", "A 17966-2019")</f>
        <v/>
      </c>
      <c r="Y342">
        <f>HYPERLINK("https://klasma.github.io/Logging_2161/tillsynsmail/A 17966-2019 tillsynsbegäran mail.docx", "A 17966-2019")</f>
        <v/>
      </c>
      <c r="Z342">
        <f>HYPERLINK("https://klasma.github.io/Logging_2161/fåglar/A 17966-2019 prioriterade fågelarter.docx", "A 17966-2019")</f>
        <v/>
      </c>
    </row>
    <row r="343" ht="15" customHeight="1">
      <c r="A343" t="inlineStr">
        <is>
          <t>A 22616-2019</t>
        </is>
      </c>
      <c r="B343" s="1" t="n">
        <v>43588</v>
      </c>
      <c r="C343" s="1" t="n">
        <v>45583</v>
      </c>
      <c r="D343" t="inlineStr">
        <is>
          <t>GÄVLEBORGS LÄN</t>
        </is>
      </c>
      <c r="E343" t="inlineStr">
        <is>
          <t>GÄVLE</t>
        </is>
      </c>
      <c r="F343" t="inlineStr">
        <is>
          <t>Kommuner</t>
        </is>
      </c>
      <c r="G343" t="n">
        <v>7.1</v>
      </c>
      <c r="H343" t="n">
        <v>0</v>
      </c>
      <c r="I343" t="n">
        <v>0</v>
      </c>
      <c r="J343" t="n">
        <v>1</v>
      </c>
      <c r="K343" t="n">
        <v>0</v>
      </c>
      <c r="L343" t="n">
        <v>0</v>
      </c>
      <c r="M343" t="n">
        <v>0</v>
      </c>
      <c r="N343" t="n">
        <v>0</v>
      </c>
      <c r="O343" t="n">
        <v>1</v>
      </c>
      <c r="P343" t="n">
        <v>0</v>
      </c>
      <c r="Q343" t="n">
        <v>1</v>
      </c>
      <c r="R343" s="2" t="inlineStr">
        <is>
          <t>Sotnätfjäril</t>
        </is>
      </c>
      <c r="S343">
        <f>HYPERLINK("https://klasma.github.io/Logging_2180/artfynd/A 22616-2019 artfynd.xlsx", "A 22616-2019")</f>
        <v/>
      </c>
      <c r="T343">
        <f>HYPERLINK("https://klasma.github.io/Logging_2180/kartor/A 22616-2019 karta.png", "A 22616-2019")</f>
        <v/>
      </c>
      <c r="V343">
        <f>HYPERLINK("https://klasma.github.io/Logging_2180/klagomål/A 22616-2019 FSC-klagomål.docx", "A 22616-2019")</f>
        <v/>
      </c>
      <c r="W343">
        <f>HYPERLINK("https://klasma.github.io/Logging_2180/klagomålsmail/A 22616-2019 FSC-klagomål mail.docx", "A 22616-2019")</f>
        <v/>
      </c>
      <c r="X343">
        <f>HYPERLINK("https://klasma.github.io/Logging_2180/tillsyn/A 22616-2019 tillsynsbegäran.docx", "A 22616-2019")</f>
        <v/>
      </c>
      <c r="Y343">
        <f>HYPERLINK("https://klasma.github.io/Logging_2180/tillsynsmail/A 22616-2019 tillsynsbegäran mail.docx", "A 22616-2019")</f>
        <v/>
      </c>
    </row>
    <row r="344" ht="15" customHeight="1">
      <c r="A344" t="inlineStr">
        <is>
          <t>A 24535-2019</t>
        </is>
      </c>
      <c r="B344" s="1" t="n">
        <v>43600</v>
      </c>
      <c r="C344" s="1" t="n">
        <v>45583</v>
      </c>
      <c r="D344" t="inlineStr">
        <is>
          <t>GÄVLEBORGS LÄN</t>
        </is>
      </c>
      <c r="E344" t="inlineStr">
        <is>
          <t>BOLLNÄS</t>
        </is>
      </c>
      <c r="G344" t="n">
        <v>6.3</v>
      </c>
      <c r="H344" t="n">
        <v>0</v>
      </c>
      <c r="I344" t="n">
        <v>1</v>
      </c>
      <c r="J344" t="n">
        <v>0</v>
      </c>
      <c r="K344" t="n">
        <v>0</v>
      </c>
      <c r="L344" t="n">
        <v>0</v>
      </c>
      <c r="M344" t="n">
        <v>0</v>
      </c>
      <c r="N344" t="n">
        <v>0</v>
      </c>
      <c r="O344" t="n">
        <v>0</v>
      </c>
      <c r="P344" t="n">
        <v>0</v>
      </c>
      <c r="Q344" t="n">
        <v>1</v>
      </c>
      <c r="R344" s="2" t="inlineStr">
        <is>
          <t>Grönpyrola</t>
        </is>
      </c>
      <c r="S344">
        <f>HYPERLINK("https://klasma.github.io/Logging_2183/artfynd/A 24535-2019 artfynd.xlsx", "A 24535-2019")</f>
        <v/>
      </c>
      <c r="T344">
        <f>HYPERLINK("https://klasma.github.io/Logging_2183/kartor/A 24535-2019 karta.png", "A 24535-2019")</f>
        <v/>
      </c>
      <c r="V344">
        <f>HYPERLINK("https://klasma.github.io/Logging_2183/klagomål/A 24535-2019 FSC-klagomål.docx", "A 24535-2019")</f>
        <v/>
      </c>
      <c r="W344">
        <f>HYPERLINK("https://klasma.github.io/Logging_2183/klagomålsmail/A 24535-2019 FSC-klagomål mail.docx", "A 24535-2019")</f>
        <v/>
      </c>
      <c r="X344">
        <f>HYPERLINK("https://klasma.github.io/Logging_2183/tillsyn/A 24535-2019 tillsynsbegäran.docx", "A 24535-2019")</f>
        <v/>
      </c>
      <c r="Y344">
        <f>HYPERLINK("https://klasma.github.io/Logging_2183/tillsynsmail/A 24535-2019 tillsynsbegäran mail.docx", "A 24535-2019")</f>
        <v/>
      </c>
    </row>
    <row r="345" ht="15" customHeight="1">
      <c r="A345" t="inlineStr">
        <is>
          <t>A 27515-2019</t>
        </is>
      </c>
      <c r="B345" s="1" t="n">
        <v>43619</v>
      </c>
      <c r="C345" s="1" t="n">
        <v>45583</v>
      </c>
      <c r="D345" t="inlineStr">
        <is>
          <t>GÄVLEBORGS LÄN</t>
        </is>
      </c>
      <c r="E345" t="inlineStr">
        <is>
          <t>BOLLNÄS</t>
        </is>
      </c>
      <c r="G345" t="n">
        <v>10.8</v>
      </c>
      <c r="H345" t="n">
        <v>1</v>
      </c>
      <c r="I345" t="n">
        <v>0</v>
      </c>
      <c r="J345" t="n">
        <v>0</v>
      </c>
      <c r="K345" t="n">
        <v>1</v>
      </c>
      <c r="L345" t="n">
        <v>0</v>
      </c>
      <c r="M345" t="n">
        <v>0</v>
      </c>
      <c r="N345" t="n">
        <v>0</v>
      </c>
      <c r="O345" t="n">
        <v>1</v>
      </c>
      <c r="P345" t="n">
        <v>1</v>
      </c>
      <c r="Q345" t="n">
        <v>1</v>
      </c>
      <c r="R345" s="2" t="inlineStr">
        <is>
          <t>Knärot</t>
        </is>
      </c>
      <c r="S345">
        <f>HYPERLINK("https://klasma.github.io/Logging_2183/artfynd/A 27515-2019 artfynd.xlsx", "A 27515-2019")</f>
        <v/>
      </c>
      <c r="T345">
        <f>HYPERLINK("https://klasma.github.io/Logging_2183/kartor/A 27515-2019 karta.png", "A 27515-2019")</f>
        <v/>
      </c>
      <c r="U345">
        <f>HYPERLINK("https://klasma.github.io/Logging_2183/knärot/A 27515-2019 karta knärot.png", "A 27515-2019")</f>
        <v/>
      </c>
      <c r="V345">
        <f>HYPERLINK("https://klasma.github.io/Logging_2183/klagomål/A 27515-2019 FSC-klagomål.docx", "A 27515-2019")</f>
        <v/>
      </c>
      <c r="W345">
        <f>HYPERLINK("https://klasma.github.io/Logging_2183/klagomålsmail/A 27515-2019 FSC-klagomål mail.docx", "A 27515-2019")</f>
        <v/>
      </c>
      <c r="X345">
        <f>HYPERLINK("https://klasma.github.io/Logging_2183/tillsyn/A 27515-2019 tillsynsbegäran.docx", "A 27515-2019")</f>
        <v/>
      </c>
      <c r="Y345">
        <f>HYPERLINK("https://klasma.github.io/Logging_2183/tillsynsmail/A 27515-2019 tillsynsbegäran mail.docx", "A 27515-2019")</f>
        <v/>
      </c>
    </row>
    <row r="346" ht="15" customHeight="1">
      <c r="A346" t="inlineStr">
        <is>
          <t>A 28268-2019</t>
        </is>
      </c>
      <c r="B346" s="1" t="n">
        <v>43623</v>
      </c>
      <c r="C346" s="1" t="n">
        <v>45583</v>
      </c>
      <c r="D346" t="inlineStr">
        <is>
          <t>GÄVLEBORGS LÄN</t>
        </is>
      </c>
      <c r="E346" t="inlineStr">
        <is>
          <t>HUDIKSVALL</t>
        </is>
      </c>
      <c r="F346" t="inlineStr">
        <is>
          <t>Holmen skog AB</t>
        </is>
      </c>
      <c r="G346" t="n">
        <v>10.5</v>
      </c>
      <c r="H346" t="n">
        <v>1</v>
      </c>
      <c r="I346" t="n">
        <v>0</v>
      </c>
      <c r="J346" t="n">
        <v>0</v>
      </c>
      <c r="K346" t="n">
        <v>0</v>
      </c>
      <c r="L346" t="n">
        <v>0</v>
      </c>
      <c r="M346" t="n">
        <v>0</v>
      </c>
      <c r="N346" t="n">
        <v>0</v>
      </c>
      <c r="O346" t="n">
        <v>0</v>
      </c>
      <c r="P346" t="n">
        <v>0</v>
      </c>
      <c r="Q346" t="n">
        <v>1</v>
      </c>
      <c r="R346" s="2" t="inlineStr">
        <is>
          <t>Mattlummer</t>
        </is>
      </c>
      <c r="S346">
        <f>HYPERLINK("https://klasma.github.io/Logging_2184/artfynd/A 28268-2019 artfynd.xlsx", "A 28268-2019")</f>
        <v/>
      </c>
      <c r="T346">
        <f>HYPERLINK("https://klasma.github.io/Logging_2184/kartor/A 28268-2019 karta.png", "A 28268-2019")</f>
        <v/>
      </c>
      <c r="V346">
        <f>HYPERLINK("https://klasma.github.io/Logging_2184/klagomål/A 28268-2019 FSC-klagomål.docx", "A 28268-2019")</f>
        <v/>
      </c>
      <c r="W346">
        <f>HYPERLINK("https://klasma.github.io/Logging_2184/klagomålsmail/A 28268-2019 FSC-klagomål mail.docx", "A 28268-2019")</f>
        <v/>
      </c>
      <c r="X346">
        <f>HYPERLINK("https://klasma.github.io/Logging_2184/tillsyn/A 28268-2019 tillsynsbegäran.docx", "A 28268-2019")</f>
        <v/>
      </c>
      <c r="Y346">
        <f>HYPERLINK("https://klasma.github.io/Logging_2184/tillsynsmail/A 28268-2019 tillsynsbegäran mail.docx", "A 28268-2019")</f>
        <v/>
      </c>
    </row>
    <row r="347" ht="15" customHeight="1">
      <c r="A347" t="inlineStr">
        <is>
          <t>A 41576-2019</t>
        </is>
      </c>
      <c r="B347" s="1" t="n">
        <v>43699</v>
      </c>
      <c r="C347" s="1" t="n">
        <v>45583</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45583</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45583</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45583</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45583</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45583</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45583</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45583</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45583</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45583</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45583</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45583</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45583</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45583</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45583</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45583</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45583</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45583</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45583</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45583</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45583</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45583</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45583</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45583</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45583</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45583</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45583</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45583</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45583</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45583</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45583</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45583</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45583</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45583</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45583</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45583</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45583</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45583</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45583</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45583</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45583</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45583</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45583</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45583</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45583</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45583</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45583</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45583</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45583</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45583</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45583</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45583</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45583</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45583</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45583</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45583</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45583</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45583</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45583</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45583</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45583</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45583</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45583</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45583</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45583</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45583</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45583</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45583</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45583</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45583</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45583</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45583</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45583</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45583</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45583</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45583</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45583</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45583</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45583</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45583</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45583</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45583</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45583</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45583</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45583</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45583</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45583</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45583</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45583</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45583</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45583</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45583</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45583</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45583</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45583</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45583</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45583</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45583</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45583</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45583</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45583</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45583</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45583</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45583</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45583</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45583</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45583</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45583</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45583</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45583</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45583</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45583</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45583</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45583</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45583</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45583</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45583</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45583</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45583</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45583</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45583</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45583</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45583</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45583</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45583</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45583</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45583</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45583</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45583</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45583</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45583</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45583</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45583</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45583</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45583</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45583</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45583</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45583</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45583</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45583</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45583</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45583</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45583</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45583</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45583</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45583</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45583</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45583</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45583</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45583</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45583</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45583</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45583</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45583</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45583</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45583</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45583</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45583</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45583</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45583</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45583</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45583</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45583</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45583</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45583</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45583</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45583</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45583</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45583</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45583</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45583</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45583</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45583</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45583</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45583</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45583</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45583</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45583</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45583</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45583</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45583</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45583</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45583</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45583</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45583</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45583</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45583</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45583</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45583</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45583</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45583</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45583</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45583</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45583</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45583</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45583</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45583</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45583</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45583</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45583</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45583</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45583</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45583</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45583</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45583</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45583</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45583</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45583</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45583</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45583</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45583</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45583</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45583</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45583</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45583</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45583</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45583</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45583</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45583</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45583</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45583</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45583</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45583</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45583</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45583</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45583</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45583</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45583</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45583</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45583</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45583</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45583</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45583</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45583</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45583</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45583</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45583</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45583</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45583</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45583</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45583</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45583</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45583</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45583</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45583</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45583</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45583</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45583</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45583</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45583</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45583</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45583</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45583</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45583</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45583</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45583</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45583</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45583</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45583</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45583</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45583</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45583</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45583</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45583</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45583</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45583</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45583</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45583</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45583</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45583</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45583</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45583</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45583</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45583</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45583</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45583</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45583</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45583</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45583</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45583</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45583</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45583</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45583</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45583</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45583</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45583</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45583</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45583</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45583</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45583</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39793-2024</t>
        </is>
      </c>
      <c r="B637" s="1" t="n">
        <v>45553</v>
      </c>
      <c r="C637" s="1" t="n">
        <v>45583</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45583</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45583</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41494-2024</t>
        </is>
      </c>
      <c r="B640" s="1" t="n">
        <v>45560</v>
      </c>
      <c r="C640" s="1" t="n">
        <v>45583</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41388-2024</t>
        </is>
      </c>
      <c r="B641" s="1" t="n">
        <v>45560</v>
      </c>
      <c r="C641" s="1" t="n">
        <v>45583</v>
      </c>
      <c r="D641" t="inlineStr">
        <is>
          <t>GÄVLEBORGS LÄN</t>
        </is>
      </c>
      <c r="E641" t="inlineStr">
        <is>
          <t>LJUSDAL</t>
        </is>
      </c>
      <c r="F641" t="inlineStr">
        <is>
          <t>Holmen skog AB</t>
        </is>
      </c>
      <c r="G641" t="n">
        <v>1.2</v>
      </c>
      <c r="H641" t="n">
        <v>0</v>
      </c>
      <c r="I641" t="n">
        <v>0</v>
      </c>
      <c r="J641" t="n">
        <v>1</v>
      </c>
      <c r="K641" t="n">
        <v>0</v>
      </c>
      <c r="L641" t="n">
        <v>0</v>
      </c>
      <c r="M641" t="n">
        <v>0</v>
      </c>
      <c r="N641" t="n">
        <v>0</v>
      </c>
      <c r="O641" t="n">
        <v>1</v>
      </c>
      <c r="P641" t="n">
        <v>0</v>
      </c>
      <c r="Q641" t="n">
        <v>1</v>
      </c>
      <c r="R641" s="2" t="inlineStr">
        <is>
          <t>Garnlav</t>
        </is>
      </c>
      <c r="S641">
        <f>HYPERLINK("https://klasma.github.io/Logging_2161/artfynd/A 41388-2024 artfynd.xlsx", "A 41388-2024")</f>
        <v/>
      </c>
      <c r="T641">
        <f>HYPERLINK("https://klasma.github.io/Logging_2161/kartor/A 41388-2024 karta.png", "A 41388-2024")</f>
        <v/>
      </c>
      <c r="V641">
        <f>HYPERLINK("https://klasma.github.io/Logging_2161/klagomål/A 41388-2024 FSC-klagomål.docx", "A 41388-2024")</f>
        <v/>
      </c>
      <c r="W641">
        <f>HYPERLINK("https://klasma.github.io/Logging_2161/klagomålsmail/A 41388-2024 FSC-klagomål mail.docx", "A 41388-2024")</f>
        <v/>
      </c>
      <c r="X641">
        <f>HYPERLINK("https://klasma.github.io/Logging_2161/tillsyn/A 41388-2024 tillsynsbegäran.docx", "A 41388-2024")</f>
        <v/>
      </c>
      <c r="Y641">
        <f>HYPERLINK("https://klasma.github.io/Logging_2161/tillsynsmail/A 41388-2024 tillsynsbegäran mail.docx", "A 41388-2024")</f>
        <v/>
      </c>
    </row>
    <row r="642" ht="15" customHeight="1">
      <c r="A642" t="inlineStr">
        <is>
          <t>A 17688-2019</t>
        </is>
      </c>
      <c r="B642" s="1" t="n">
        <v>43556</v>
      </c>
      <c r="C642" s="1" t="n">
        <v>45583</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45583</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45583</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45583</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45583</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45583</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45583</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45583</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45583</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45583</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45583</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45583</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45583</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45583</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45583</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45583</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45583</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45583</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45583</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45583</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45583</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45583</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45583</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45583</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45583</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45583</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45583</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45583</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45583</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45583</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45583</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45583</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45583</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45583</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45583</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45583</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45583</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45583</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45583</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45583</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45583</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45583</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45583</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45583</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45583</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45583</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45583</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45583</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45583</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45583</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45583</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45583</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45583</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45583</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45583</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45583</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45583</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45583</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45583</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45583</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45583</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45583</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45583</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45583</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45583</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45583</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45583</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45583</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45583</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45583</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45583</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45583</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45583</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45583</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45583</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45583</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45583</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45583</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45583</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45583</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45583</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45583</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45583</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45583</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45583</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45583</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45583</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45583</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45583</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45583</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45583</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45583</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45583</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45583</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45583</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45583</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45583</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45583</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45583</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45583</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45583</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45583</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45583</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45583</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45583</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45583</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45583</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45583</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45583</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45583</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45583</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45583</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45583</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45583</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45583</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45583</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45583</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45583</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45583</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45583</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45583</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45583</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45583</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45583</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45583</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45583</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45583</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45583</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45583</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45583</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45583</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45583</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45583</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45583</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45583</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45583</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45583</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45583</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45583</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45583</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45583</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45583</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45583</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45583</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45583</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45583</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45583</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45583</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45583</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45583</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45583</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45583</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45583</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45583</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45583</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45583</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45583</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45583</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45583</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45583</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45583</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45583</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45583</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45583</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45583</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45583</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45583</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45583</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45583</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45583</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45583</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45583</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45583</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45583</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45583</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45583</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45583</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45583</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45583</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45583</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45583</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45583</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45583</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45583</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45583</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45583</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45583</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45583</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45583</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45583</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45583</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45583</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45583</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45583</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45583</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45583</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45583</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45583</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45583</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45583</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45583</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45583</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45583</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45583</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45583</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45583</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45583</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45583</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45583</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45583</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45583</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45583</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45583</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45583</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45583</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45583</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45583</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45583</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45583</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45583</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45583</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45583</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45583</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45583</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45583</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45583</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45583</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45583</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45583</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45583</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45583</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45583</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45583</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45583</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45583</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45583</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45583</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45583</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45583</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45583</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45583</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45583</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45583</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45583</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45583</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45583</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45583</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45583</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45583</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45583</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45583</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45583</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45583</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45583</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45583</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45583</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45583</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45583</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45583</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45583</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45583</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45583</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45583</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45583</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45583</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45583</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45583</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45583</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45583</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45583</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45583</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45583</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45583</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45583</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45583</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45583</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45583</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45583</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45583</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45583</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45583</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45583</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45583</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45583</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45583</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45583</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45583</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45583</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45583</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45583</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45583</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45583</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45583</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45583</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45583</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45583</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45583</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45583</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45583</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45583</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45583</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45583</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45583</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45583</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45583</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45583</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45583</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45583</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45583</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45583</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45583</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45583</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45583</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45583</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45583</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45583</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45583</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45583</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45583</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45583</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45583</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45583</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45583</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45583</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45583</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45583</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45583</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45583</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45583</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45583</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45583</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45583</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45583</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45583</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45583</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45583</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45583</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45583</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45583</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45583</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45583</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45583</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45583</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45583</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45583</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45583</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45583</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45583</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45583</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45583</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45583</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45583</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45583</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45583</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45583</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45583</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45583</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45583</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45583</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45583</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45583</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45583</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45583</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45583</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45583</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45583</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45583</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45583</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45583</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45583</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45583</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45583</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45583</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45583</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45583</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45583</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45583</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45583</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45583</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45583</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45583</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45583</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45583</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45583</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45583</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45583</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45583</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45583</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45583</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45583</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45583</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45583</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45583</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45583</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45583</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45583</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45583</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45583</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45583</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45583</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45583</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45583</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45583</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45583</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45583</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45583</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45583</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45583</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45583</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45583</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45583</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45583</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45583</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45583</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45583</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45583</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45583</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45583</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45583</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45583</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45583</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45583</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45583</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45583</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45583</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45583</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45583</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45583</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45583</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45583</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45583</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45583</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45583</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45583</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45583</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45583</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45583</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45583</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45583</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45583</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45583</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45583</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45583</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45583</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45583</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45583</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45583</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45583</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45583</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45583</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45583</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45583</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45583</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45583</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45583</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45583</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45583</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45583</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45583</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45583</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45583</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45583</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45583</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45583</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45583</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45583</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45583</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45583</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45583</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45583</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45583</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45583</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45583</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45583</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45583</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45583</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45583</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45583</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45583</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45583</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45583</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45583</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45583</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45583</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45583</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45583</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45583</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45583</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45583</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45583</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45583</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45583</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45583</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45583</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45583</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45583</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45583</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45583</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45583</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45583</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45583</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45583</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45583</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45583</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45583</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45583</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45583</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45583</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45583</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45583</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45583</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45583</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45583</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45583</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45583</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45583</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45583</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45583</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45583</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45583</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45583</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45583</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45583</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45583</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45583</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45583</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45583</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45583</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45583</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45583</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45583</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45583</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45583</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45583</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45583</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45583</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45583</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45583</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45583</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45583</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45583</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45583</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45583</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45583</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45583</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45583</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45583</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45583</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45583</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45583</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45583</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45583</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45583</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45583</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45583</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45583</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45583</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45583</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45583</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45583</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45583</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45583</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45583</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45583</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45583</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45583</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45583</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45583</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45583</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45583</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45583</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45583</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45583</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45583</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45583</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45583</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45583</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45583</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45583</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45583</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45583</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45583</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45583</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45583</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45583</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45583</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45583</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45583</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45583</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45583</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45583</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45583</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45583</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45583</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45583</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45583</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45583</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45583</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45583</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45583</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45583</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45583</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45583</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45583</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45583</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45583</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45583</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45583</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45583</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45583</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45583</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45583</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45583</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45583</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45583</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45583</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45583</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45583</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45583</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45583</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45583</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45583</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45583</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45583</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45583</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45583</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45583</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45583</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45583</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45583</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45583</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45583</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45583</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45583</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45583</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45583</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45583</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45583</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45583</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45583</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45583</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45583</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45583</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45583</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45583</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45583</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45583</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45583</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45583</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45583</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45583</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45583</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45583</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45583</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45583</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45583</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45583</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45583</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45583</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45583</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45583</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45583</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45583</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45583</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45583</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45583</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45583</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45583</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45583</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45583</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45583</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45583</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45583</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45583</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45583</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45583</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45583</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45583</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45583</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45583</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45583</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45583</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45583</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45583</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45583</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45583</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45583</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45583</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45583</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45583</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45583</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45583</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45583</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45583</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45583</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45583</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45583</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45583</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45583</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45583</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45583</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45583</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45583</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45583</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45583</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45583</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45583</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45583</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45583</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45583</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45583</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45583</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45583</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45583</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45583</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45583</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45583</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45583</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45583</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45583</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45583</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45583</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45583</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45583</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45583</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45583</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45583</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45583</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45583</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45583</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45583</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45583</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45583</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45583</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45583</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45583</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45583</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45583</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45583</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45583</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45583</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45583</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45583</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45583</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45583</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45583</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45583</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45583</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45583</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45583</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45583</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45583</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45583</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45583</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45583</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45583</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45583</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45583</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45583</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45583</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45583</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45583</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45583</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45583</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45583</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45583</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45583</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45583</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45583</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45583</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45583</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45583</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45583</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45583</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45583</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45583</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45583</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45583</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45583</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45583</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45583</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45583</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45583</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45583</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45583</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45583</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45583</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45583</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45583</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45583</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45583</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45583</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45583</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45583</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45583</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45583</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45583</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45583</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45583</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45583</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45583</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45583</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45583</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45583</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45583</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45583</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45583</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45583</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45583</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45583</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45583</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45583</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45583</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45583</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45583</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45583</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45583</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45583</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45583</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45583</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45583</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45583</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45583</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45583</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45583</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45583</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45583</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45583</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45583</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45583</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45583</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45583</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45583</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45583</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45583</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45583</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45583</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45583</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45583</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45583</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45583</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45583</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45583</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45583</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45583</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45583</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45583</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45583</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45583</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45583</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45583</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45583</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45583</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45583</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45583</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45583</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45583</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45583</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45583</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45583</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45583</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45583</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45583</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45583</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45583</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45583</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45583</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45583</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45583</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45583</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45583</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45583</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45583</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45583</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45583</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45583</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45583</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45583</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45583</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45583</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45583</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45583</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45583</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45583</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45583</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45583</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45583</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45583</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45583</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45583</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45583</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45583</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45583</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45583</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45583</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45583</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45583</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45583</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45583</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45583</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45583</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45583</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45583</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45583</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45583</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45583</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45583</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45583</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45583</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45583</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45583</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45583</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45583</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45583</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45583</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45583</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45583</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45583</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45583</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45583</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45583</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45583</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45583</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45583</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45583</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45583</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45583</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45583</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45583</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45583</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45583</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45583</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45583</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45583</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45583</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45583</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45583</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45583</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45583</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45583</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45583</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45583</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45583</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45583</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45583</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45583</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45583</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45583</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45583</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45583</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45583</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45583</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45583</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45583</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45583</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45583</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45583</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45583</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45583</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45583</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45583</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45583</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45583</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45583</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45583</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45583</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45583</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45583</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45583</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45583</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45583</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45583</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45583</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45583</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45583</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45583</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45583</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45583</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45583</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45583</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45583</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45583</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45583</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45583</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45583</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45583</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45583</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45583</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45583</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45583</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45583</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45583</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45583</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45583</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45583</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45583</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45583</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45583</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45583</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45583</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45583</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45583</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45583</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45583</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45583</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45583</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45583</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45583</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45583</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45583</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45583</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45583</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45583</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45583</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45583</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45583</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45583</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45583</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45583</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45583</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45583</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45583</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45583</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45583</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45583</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45583</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45583</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45583</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45583</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45583</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45583</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45583</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45583</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45583</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45583</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45583</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45583</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45583</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45583</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45583</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45583</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45583</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45583</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45583</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45583</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45583</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45583</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45583</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45583</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45583</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45583</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45583</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45583</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45583</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45583</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45583</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45583</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45583</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45583</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45583</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45583</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45583</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45583</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45583</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45583</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45583</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45583</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45583</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45583</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45583</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45583</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45583</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45583</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45583</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45583</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45583</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45583</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45583</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45583</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45583</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45583</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45583</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45583</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45583</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45583</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45583</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45583</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45583</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45583</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45583</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45583</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45583</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45583</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45583</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45583</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45583</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45583</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45583</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45583</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45583</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45583</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45583</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45583</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45583</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45583</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45583</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45583</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45583</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45583</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45583</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45583</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45583</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45583</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45583</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45583</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45583</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45583</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45583</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45583</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45583</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45583</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45583</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45583</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45583</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45583</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45583</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45583</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45583</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45583</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45583</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45583</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45583</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45583</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45583</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45583</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45583</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45583</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45583</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45583</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45583</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45583</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45583</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45583</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45583</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45583</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45583</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45583</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45583</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45583</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45583</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45583</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45583</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45583</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45583</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45583</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45583</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45583</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45583</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45583</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45583</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45583</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45583</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45583</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45583</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45583</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45583</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45583</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45583</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45583</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45583</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45583</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45583</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45583</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45583</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45583</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45583</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45583</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45583</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45583</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45583</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45583</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45583</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45583</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45583</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45583</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45583</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45583</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45583</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45583</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45583</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45583</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45583</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45583</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45583</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45583</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45583</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45583</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45583</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45583</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45583</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45583</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45583</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45583</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45583</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45583</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45583</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45583</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45583</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45583</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45583</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45583</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45583</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45583</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45583</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45583</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45583</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45583</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45583</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45583</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45583</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45583</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45583</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45583</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45583</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45583</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45583</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45583</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45583</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45583</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45583</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45583</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45583</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45583</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45583</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45583</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45583</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45583</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45583</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45583</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45583</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45583</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45583</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45583</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45583</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45583</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45583</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45583</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45583</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45583</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45583</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45583</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45583</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45583</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45583</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45583</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45583</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45583</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45583</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45583</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45583</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45583</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45583</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45583</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45583</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45583</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45583</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45583</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45583</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45583</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45583</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45583</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45583</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45583</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45583</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45583</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45583</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45583</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45583</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45583</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45583</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45583</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45583</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45583</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45583</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45583</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45583</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45583</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45583</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45583</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45583</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45583</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45583</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45583</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45583</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45583</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45583</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45583</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45583</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45583</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45583</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45583</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45583</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45583</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45583</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45583</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45583</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45583</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45583</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45583</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45583</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45583</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45583</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45583</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45583</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45583</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45583</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45583</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45583</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45583</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45583</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45583</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45583</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45583</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45583</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45583</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45583</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45583</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45583</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45583</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45583</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45583</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45583</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45583</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45583</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45583</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45583</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45583</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45583</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45583</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45583</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45583</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45583</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45583</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45583</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45583</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45583</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45583</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45583</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45583</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45583</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45583</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45583</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45583</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45583</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45583</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45583</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45583</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45583</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45583</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45583</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45583</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45583</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45583</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45583</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45583</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45583</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45583</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45583</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45583</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45583</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45583</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45583</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45583</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45583</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45583</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45583</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45583</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45583</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45583</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45583</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45583</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45583</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45583</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45583</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45583</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45583</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45583</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45583</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45583</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45583</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45583</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45583</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45583</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45583</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45583</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45583</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45583</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45583</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45583</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45583</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45583</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45583</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45583</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45583</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45583</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45583</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45583</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45583</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45583</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45583</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45583</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45583</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45583</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45583</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45583</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45583</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45583</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45583</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45583</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45583</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45583</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45583</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45583</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45583</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45583</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45583</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45583</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45583</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45583</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45583</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45583</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45583</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45583</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45583</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45583</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45583</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45583</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45583</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45583</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45583</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45583</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45583</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45583</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45583</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45583</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45583</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45583</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45583</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45583</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45583</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45583</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45583</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45583</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45583</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45583</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45583</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45583</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45583</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45583</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45583</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45583</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45583</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45583</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45583</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45583</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45583</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45583</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45583</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45583</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45583</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45583</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45583</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45583</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45583</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45583</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45583</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45583</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45583</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45583</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45583</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45583</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45583</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45583</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45583</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45583</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45583</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45583</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45583</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45583</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45583</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45583</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45583</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45583</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45583</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45583</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45583</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45583</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45583</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45583</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45583</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45583</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45583</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45583</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45583</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45583</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45583</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45583</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45583</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45583</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45583</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45583</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45583</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45583</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45583</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45583</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45583</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45583</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45583</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45583</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45583</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45583</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45583</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45583</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45583</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45583</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45583</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45583</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45583</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45583</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45583</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45583</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45583</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45583</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45583</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45583</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45583</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45583</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45583</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45583</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45583</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45583</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45583</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45583</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45583</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45583</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45583</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45583</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45583</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45583</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45583</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45583</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45583</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45583</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45583</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45583</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45583</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45583</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45583</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45583</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45583</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45583</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45583</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45583</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45583</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45583</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45583</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45583</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45583</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45583</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45583</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45583</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45583</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45583</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45583</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45583</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45583</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45583</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45583</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45583</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45583</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45583</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45583</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45583</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45583</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45583</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45583</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45583</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45583</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45583</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45583</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45583</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45583</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45583</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45583</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45583</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45583</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45583</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45583</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45583</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45583</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45583</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45583</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45583</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45583</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45583</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45583</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45583</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45583</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45583</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45583</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45583</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45583</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45583</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45583</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45583</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45583</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45583</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45583</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45583</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45583</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45583</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45583</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45583</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45583</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45583</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45583</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45583</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45583</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45583</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45583</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45583</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45583</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45583</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45583</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45583</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45583</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45583</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45583</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45583</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45583</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45583</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45583</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45583</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45583</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45583</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45583</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45583</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45583</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45583</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45583</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45583</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45583</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45583</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45583</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45583</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45583</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45583</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45583</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45583</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45583</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45583</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45583</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45583</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45583</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45583</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45583</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45583</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45583</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45583</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45583</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45583</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45583</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45583</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45583</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45583</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45583</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45583</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45583</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45583</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45583</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45583</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45583</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45583</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45583</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45583</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45583</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45583</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45583</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45583</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45583</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45583</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45583</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45583</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45583</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45583</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45583</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45583</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45583</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45583</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45583</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45583</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45583</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45583</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45583</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45583</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45583</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45583</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45583</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45583</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45583</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45583</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45583</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45583</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45583</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45583</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45583</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45583</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45583</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45583</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45583</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45583</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45583</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45583</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45583</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45583</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45583</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45583</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45583</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45583</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45583</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45583</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45583</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45583</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45583</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45583</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45583</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45583</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45583</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45583</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45583</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45583</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45583</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45583</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45583</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45583</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45583</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45583</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45583</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45583</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45583</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45583</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45583</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45583</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45583</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45583</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45583</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45583</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45583</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45583</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45583</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45583</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45583</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45583</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45583</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45583</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45583</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45583</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45583</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45583</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45583</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45583</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45583</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45583</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45583</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45583</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45583</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45583</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45583</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45583</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45583</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45583</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45583</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45583</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45583</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45583</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45583</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45583</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45583</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45583</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45583</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45583</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45583</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45583</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45583</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45583</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45583</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45583</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45583</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45583</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45583</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45583</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45583</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45583</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45583</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45583</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45583</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45583</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45583</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45583</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45583</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45583</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45583</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45583</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45583</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45583</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45583</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45583</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45583</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45583</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45583</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45583</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45583</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45583</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45583</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45583</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45583</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45583</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45583</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45583</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45583</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45583</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45583</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45583</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45583</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45583</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45583</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45583</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45583</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45583</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45583</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45583</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45583</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45583</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45583</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45583</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45583</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45583</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45583</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45583</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45583</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45583</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45583</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45583</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45583</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45583</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45583</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45583</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45583</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45583</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45583</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45583</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45583</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45583</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45583</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45583</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45583</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45583</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45583</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45583</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45583</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45583</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45583</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45583</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45583</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45583</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45583</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45583</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45583</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45583</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45583</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45583</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45583</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45583</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45583</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45583</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45583</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45583</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45583</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45583</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45583</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45583</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45583</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45583</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45583</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45583</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45583</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45583</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45583</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45583</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45583</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45583</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45583</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45583</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45583</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45583</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45583</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45583</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45583</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45583</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45583</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45583</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45583</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45583</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45583</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45583</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45583</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45583</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45583</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45583</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45583</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45583</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45583</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45583</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45583</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45583</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45583</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45583</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45583</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45583</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45583</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45583</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45583</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45583</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45583</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45583</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45583</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45583</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45583</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45583</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45583</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45583</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45583</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45583</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45583</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45583</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45583</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45583</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45583</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45583</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45583</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45583</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45583</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45583</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45583</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45583</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45583</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45583</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45583</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45583</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45583</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45583</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45583</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45583</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45583</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45583</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45583</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45583</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45583</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45583</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45583</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45583</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45583</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45583</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45583</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45583</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45583</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45583</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45583</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45583</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45583</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45583</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45583</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45583</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45583</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45583</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45583</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45583</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45583</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45583</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45583</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45583</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45583</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45583</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45583</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45583</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45583</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45583</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45583</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45583</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45583</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45583</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45583</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45583</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45583</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45583</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45583</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45583</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45583</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45583</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45583</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45583</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45583</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45583</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45583</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45583</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45583</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45583</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45583</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45583</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45583</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45583</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45583</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45583</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45583</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45583</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45583</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45583</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45583</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45583</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45583</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45583</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45583</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45583</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45583</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45583</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45583</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45583</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45583</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45583</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45583</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45583</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45583</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45583</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45583</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45583</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45583</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45583</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45583</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45583</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45583</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45583</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45583</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45583</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45583</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45583</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45583</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45583</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45583</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45583</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45583</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45583</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45583</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45583</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45583</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45583</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45583</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45583</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45583</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45583</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45583</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45583</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45583</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45583</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45583</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45583</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45583</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45583</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45583</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45583</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45583</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45583</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45583</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45583</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45583</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45583</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45583</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45583</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45583</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45583</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45583</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45583</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45583</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45583</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45583</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45583</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45583</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45583</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45583</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45583</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45583</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45583</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45583</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45583</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45583</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45583</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45583</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45583</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45583</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45583</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45583</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45583</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45583</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45583</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45583</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45583</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45583</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45583</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45583</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45583</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45583</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45583</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45583</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45583</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45583</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45583</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45583</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45583</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45583</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45583</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45583</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45583</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45583</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45583</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45583</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45583</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45583</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45583</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45583</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45583</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45583</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45583</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45583</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45583</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45583</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45583</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45583</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45583</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45583</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45583</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45583</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45583</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45583</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45583</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45583</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45583</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45583</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45583</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45583</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45583</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45583</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45583</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45583</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45583</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45583</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45583</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45583</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45583</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45583</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45583</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45583</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45583</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45583</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45583</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45583</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45583</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45583</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45583</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45583</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45583</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45583</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45583</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45583</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45583</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45583</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45583</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45583</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45583</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45583</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45583</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45583</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45583</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45583</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45583</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45583</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45583</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45583</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45583</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45583</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45583</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45583</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45583</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45583</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45583</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45583</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45583</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45583</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45583</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45583</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45583</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45583</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45583</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45583</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45583</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45583</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45583</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45583</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45583</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45583</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45583</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45583</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45583</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45583</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45583</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45583</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45583</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45583</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45583</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45583</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45583</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45583</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45583</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45583</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45583</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45583</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45583</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45583</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45583</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45583</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45583</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45583</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45583</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45583</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45583</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45583</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45583</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45583</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45583</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45583</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45583</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45583</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45583</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45583</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45583</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45583</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45583</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45583</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45583</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45583</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45583</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45583</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45583</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45583</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45583</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45583</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45583</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45583</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45583</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45583</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45583</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45583</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45583</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45583</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45583</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45583</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45583</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45583</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45583</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45583</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45583</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45583</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45583</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45583</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45583</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45583</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45583</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45583</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45583</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45583</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45583</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45583</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45583</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45583</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45583</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45583</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45583</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45583</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45583</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45583</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45583</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45583</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45583</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45583</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45583</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45583</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45583</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45583</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45583</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45583</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45583</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45583</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45583</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45583</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45583</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45583</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45583</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45583</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45583</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45583</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45583</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45583</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45583</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45583</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45583</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45583</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45583</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45583</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45583</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45583</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45583</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45583</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45583</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45583</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45583</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45583</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45583</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45583</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45583</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45583</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45583</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45583</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45583</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45583</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45583</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45583</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45583</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45583</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45583</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45583</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45583</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45583</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45583</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45583</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45583</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45583</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45583</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45583</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45583</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45583</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45583</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45583</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45583</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45583</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45583</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45583</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45583</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45583</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45583</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45583</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45583</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45583</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45583</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45583</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45583</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45583</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45583</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45583</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45583</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45583</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45583</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45583</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45583</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45583</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45583</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45583</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45583</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45583</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45583</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45583</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45583</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45583</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45583</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45583</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45583</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45583</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45583</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45583</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45583</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45583</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45583</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45583</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45583</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45583</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45583</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45583</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45583</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45583</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45583</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45583</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45583</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45583</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45583</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45583</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45583</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45583</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45583</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45583</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45583</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45583</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45583</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45583</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45583</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45583</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45583</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45583</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45583</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45583</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45583</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45583</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45583</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45583</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45583</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45583</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45583</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45583</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45583</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45583</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45583</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45583</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45583</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45583</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45583</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45583</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45583</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45583</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45583</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45583</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45583</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45583</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45583</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45583</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45583</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45583</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45583</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45583</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45583</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45583</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45583</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45583</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45583</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45583</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45583</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45583</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45583</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45583</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45583</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45583</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45583</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45583</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45583</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45583</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45583</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45583</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45583</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45583</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45583</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45583</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45583</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45583</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45583</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45583</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45583</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45583</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45583</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45583</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45583</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45583</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45583</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45583</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45583</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45583</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45583</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45583</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45583</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45583</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45583</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45583</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45583</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45583</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45583</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45583</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45583</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45583</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45583</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45583</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45583</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45583</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45583</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45583</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45583</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45583</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45583</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45583</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45583</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45583</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45583</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45583</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45583</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45583</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45583</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45583</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45583</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45583</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45583</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45583</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45583</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45583</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45583</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45583</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45583</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45583</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45583</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45583</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45583</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45583</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45583</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45583</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45583</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45583</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45583</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45583</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45583</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45583</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45583</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45583</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45583</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45583</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45583</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45583</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45583</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45583</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45583</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45583</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45583</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45583</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45583</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45583</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45583</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45583</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45583</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45583</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45583</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45583</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45583</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45583</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45583</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45583</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45583</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45583</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45583</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45583</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45583</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45583</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45583</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45583</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45583</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45583</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45583</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45583</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45583</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45583</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45583</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45583</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45583</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45583</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45583</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45583</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45583</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45583</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45583</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45583</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45583</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45583</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45583</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45583</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45583</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45583</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45583</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45583</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45583</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45583</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45583</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45583</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45583</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45583</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45583</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45583</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45583</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45583</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45583</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45583</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45583</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45583</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45583</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45583</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45583</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45583</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45583</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45583</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45583</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45583</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45583</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45583</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45583</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45583</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45583</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45583</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45583</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45583</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45583</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45583</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45583</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45583</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45583</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45583</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45583</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45583</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45583</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45583</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45583</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45583</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45583</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45583</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45583</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45583</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45583</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45583</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45583</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45583</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45583</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45583</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45583</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45583</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45583</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45583</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45583</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45583</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45583</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45583</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45583</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45583</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45583</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45583</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45583</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45583</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45583</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45583</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45583</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45583</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45583</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45583</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45583</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45583</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45583</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45583</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45583</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45583</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45583</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45583</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45583</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45583</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45583</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45583</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45583</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45583</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45583</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45583</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45583</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45583</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45583</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45583</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45583</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45583</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45583</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45583</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45583</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45583</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45583</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45583</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45583</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45583</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45583</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45583</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45583</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45583</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45583</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45583</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45583</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45583</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45583</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45583</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45583</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45583</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45583</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45583</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45583</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45583</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45583</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45583</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45583</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45583</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45583</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45583</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45583</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45583</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45583</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45583</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45583</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45583</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45583</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45583</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45583</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45583</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45583</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45583</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45583</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45583</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45583</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45583</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45583</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45583</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45583</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45583</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45583</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45583</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45583</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45583</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45583</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45583</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45583</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45583</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45583</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45583</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45583</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45583</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45583</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45583</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45583</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45583</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45583</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45583</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45583</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45583</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45583</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45583</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45583</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45583</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45583</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45583</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45583</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45583</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45583</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45583</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45583</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45583</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45583</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45583</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45583</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45583</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45583</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45583</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45583</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45583</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45583</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45583</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45583</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45583</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45583</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45583</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45583</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45583</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45583</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45583</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45583</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45583</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45583</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45583</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45583</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45583</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45583</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45583</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45583</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45583</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45583</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45583</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45583</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45583</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45583</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45583</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45583</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45583</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45583</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45583</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45583</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45583</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45583</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45583</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45583</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45583</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45583</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45583</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45583</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45583</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45583</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45583</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45583</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45583</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45583</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45583</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45583</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45583</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45583</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45583</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45583</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45583</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45583</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45583</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45583</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45583</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45583</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45583</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45583</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45583</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45583</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45583</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45583</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45583</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45583</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45583</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45583</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45583</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45583</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45583</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45583</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45583</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45583</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45583</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45583</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45583</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45583</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45583</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45583</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45583</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45583</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45583</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45583</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45583</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45583</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45583</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45583</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45583</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45583</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45583</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45583</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45583</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45583</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45583</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45583</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45583</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45583</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45583</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45583</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45583</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45583</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45583</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45583</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45583</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45583</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45583</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45583</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45583</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45583</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45583</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45583</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45583</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45583</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45583</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45583</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45583</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45583</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45583</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45583</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45583</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45583</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45583</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45583</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45583</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45583</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45583</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45583</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45583</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45583</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45583</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45583</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45583</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45583</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45583</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45583</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45583</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45583</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45583</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45583</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45583</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45583</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45583</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45583</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45583</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45583</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45583</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45583</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45583</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45583</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45583</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45583</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45583</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45583</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45583</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45583</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45583</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45583</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45583</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45583</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45583</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45583</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45583</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45583</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45583</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45583</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45583</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45583</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45583</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45583</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45583</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45583</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45583</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45583</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45583</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45583</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45583</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45583</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45583</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45583</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45583</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45583</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45583</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45583</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45583</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45583</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45583</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45583</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45583</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45583</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45583</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45583</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45583</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45583</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45583</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45583</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45583</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45583</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45583</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45583</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45583</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45583</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45583</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45583</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45583</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45583</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45583</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45583</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45583</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45583</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45583</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45583</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45583</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45583</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45583</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45583</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45583</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45583</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45583</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45583</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45583</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45583</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45583</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45583</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45583</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45583</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45583</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45583</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45583</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45583</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45583</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45583</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45583</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45583</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45583</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45583</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45583</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45583</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45583</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45583</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45583</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45583</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45583</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45583</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45583</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45583</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45583</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45583</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45583</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45583</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45583</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45583</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45583</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45583</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45583</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45583</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45583</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45583</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45583</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45583</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45583</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45583</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45583</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45583</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45583</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45583</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45583</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45583</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45583</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45583</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45583</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45583</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45583</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45583</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45583</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45583</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45583</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45583</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45583</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45583</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45583</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45583</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45583</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45583</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45583</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45583</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45583</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45583</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45583</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45583</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45583</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45583</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45583</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45583</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45583</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45583</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45583</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45583</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45583</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45583</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45583</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45583</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45583</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45583</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45583</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45583</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45583</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45583</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45583</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45583</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45583</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45583</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45583</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45583</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45583</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45583</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45583</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45583</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45583</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45583</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45583</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45583</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45583</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45583</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45583</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45583</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45583</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45583</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45583</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45583</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45583</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45583</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45583</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45583</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45583</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45583</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45583</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45583</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45583</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45583</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45583</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45583</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45583</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45583</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45583</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45583</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45583</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45583</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45583</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45583</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45583</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45583</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45583</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45583</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45583</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45583</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45583</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45583</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45583</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45583</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45583</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45583</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45583</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45583</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45583</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45583</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45583</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45583</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45583</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45583</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45583</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45583</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45583</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45583</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45583</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45583</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45583</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45583</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45583</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45583</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45583</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45583</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45583</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45583</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45583</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45583</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45583</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45583</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45583</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45583</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45583</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45583</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45583</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45583</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45583</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45583</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45583</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45583</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45583</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45583</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45583</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45583</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45583</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45583</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45583</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45583</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45583</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45583</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45583</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45583</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45583</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45583</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45583</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45583</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45583</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45583</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45583</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45583</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45583</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45583</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45583</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45583</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45583</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45583</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45583</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45583</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45583</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45583</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45583</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45583</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45583</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45583</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45583</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45583</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45583</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45583</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45583</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45583</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45583</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45583</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45583</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45583</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45583</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45583</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45583</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45583</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45583</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45583</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45583</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45583</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45583</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45583</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45583</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45583</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45583</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45583</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45583</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45583</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45583</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45583</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45583</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45583</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45583</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45583</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45583</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45583</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45583</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45583</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45583</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45583</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45583</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45583</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45583</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45583</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45583</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45583</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45583</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45583</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45583</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45583</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45583</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45583</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45583</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45583</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45583</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45583</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45583</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45583</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45583</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45583</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45583</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45583</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45583</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45583</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45583</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45583</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45583</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45583</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45583</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45583</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45583</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45583</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45583</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45583</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45583</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45583</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45583</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45583</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45583</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45583</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45583</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45583</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45583</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45583</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45583</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45583</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45583</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45583</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45583</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45583</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45583</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45583</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45583</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45583</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45583</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45583</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45583</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45583</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45583</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45583</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45583</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45583</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45583</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45583</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45583</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45583</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45583</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45583</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45583</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45583</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45583</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45583</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45583</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45583</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45583</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45583</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45583</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45583</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45583</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45583</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45583</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45583</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45583</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45583</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45583</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45583</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45583</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45583</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45583</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45583</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45583</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45583</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45583</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45583</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45583</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45583</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45583</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45583</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45583</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45583</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45583</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45583</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45583</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45583</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45583</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45583</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45583</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45583</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45583</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45583</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45583</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45583</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45583</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45583</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45583</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45583</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45583</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45583</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45583</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45583</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45583</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45583</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45583</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45583</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45583</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45583</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45583</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45583</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45583</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45583</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45583</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45583</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45583</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45583</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45583</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45583</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45583</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45583</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45583</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45583</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45583</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45583</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45583</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45583</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45583</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45583</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45583</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45583</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45583</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45583</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45583</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45583</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45583</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45583</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45583</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45583</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45583</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45583</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45583</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45583</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45583</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45583</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45583</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45583</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45583</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45583</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45583</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45583</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45583</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45583</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45583</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45583</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45583</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45583</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45583</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45583</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45583</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45583</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45583</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45583</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45583</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45583</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45583</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45583</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45583</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45583</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45583</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45583</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45583</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45583</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45583</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45583</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45583</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45583</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45583</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45583</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45583</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45583</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45583</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45583</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45583</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45583</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45583</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45583</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45583</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45583</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45583</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45583</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45583</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45583</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45583</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45583</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45583</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45583</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45583</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45583</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45583</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45583</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45583</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45583</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45583</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45583</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45583</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45583</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45583</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45583</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45583</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45583</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45583</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45583</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45583</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45583</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45583</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45583</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45583</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45583</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45583</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45583</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45583</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45583</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45583</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45583</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45583</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45583</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45583</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45583</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45583</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45583</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45583</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45583</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45583</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45583</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45583</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45583</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45583</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45583</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45583</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45583</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45583</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45583</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45583</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45583</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45583</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45583</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45583</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45583</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45583</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45583</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45583</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45583</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45583</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45583</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45583</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45583</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45583</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45583</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45583</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45583</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45583</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45583</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45583</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45583</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45583</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45583</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45583</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45583</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45583</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45583</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45583</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45583</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45583</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45583</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45583</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45583</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45583</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45583</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45583</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45583</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45583</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45583</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45583</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45583</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45583</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45583</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45583</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45583</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45583</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45583</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45583</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45583</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45583</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45583</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45583</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45583</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45583</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45583</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45583</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45583</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45583</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45583</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45583</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45583</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45583</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45583</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45583</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45583</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45583</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45583</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45583</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45583</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45583</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45583</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45583</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45583</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45583</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45583</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45583</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45583</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45583</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45583</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45583</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45583</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45583</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45583</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45583</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45583</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45583</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45583</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45583</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45583</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45583</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45583</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45583</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45583</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45583</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45583</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45583</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45583</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45583</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45583</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45583</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45583</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45583</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45583</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45583</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45583</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45583</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45583</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45583</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45583</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45583</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45583</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45583</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45583</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45583</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45583</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45583</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45583</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45583</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45583</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45583</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45583</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45583</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45583</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45583</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45583</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45583</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45583</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45583</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45583</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45583</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45583</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45583</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45583</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45583</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45583</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45583</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45583</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45583</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45583</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45583</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45583</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45583</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45583</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45583</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45583</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45583</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45583</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45583</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45583</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45583</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45583</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45583</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45583</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45583</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45583</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45583</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45583</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45583</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45583</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45583</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45583</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45583</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45583</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45583</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45583</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45583</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45583</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45583</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45583</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45583</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45583</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45583</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45583</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45583</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45583</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45583</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45583</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45583</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45583</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45583</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45583</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45583</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45583</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45583</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45583</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45583</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45583</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45583</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45583</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45583</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45583</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45583</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45583</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45583</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45583</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45583</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45583</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45583</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45583</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45583</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45583</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45583</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45583</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45583</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45583</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45583</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45583</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45583</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45583</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45583</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45583</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45583</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45583</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45583</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45583</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45583</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45583</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45583</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45583</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45583</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45583</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45583</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45583</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45583</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45583</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45583</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45583</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45583</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45583</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45583</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45583</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45583</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45583</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45583</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45583</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45583</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45583</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45583</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45583</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45583</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45583</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45583</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45583</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45583</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45583</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45583</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45583</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45583</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45583</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45583</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45583</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45583</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45583</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45583</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45583</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45583</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45583</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45583</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45583</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45583</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45583</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45583</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45583</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45583</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45583</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45583</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45583</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45583</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45583</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45583</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45583</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45583</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45583</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45583</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45583</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45583</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45583</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45583</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45583</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45583</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45583</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45583</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45583</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45583</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45583</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45583</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45583</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45583</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45583</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45583</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45583</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45583</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45583</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45583</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45583</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45583</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45583</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45583</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45583</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45583</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45583</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45583</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45583</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45583</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45583</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45583</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45583</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45583</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45583</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45583</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45583</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45583</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45583</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45583</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45583</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45583</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45583</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45583</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45583</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45583</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45583</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45583</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45583</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45583</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45583</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45583</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45583</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45583</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45583</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45583</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45583</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45583</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45583</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45583</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45583</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45583</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45583</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45583</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45583</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45583</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45583</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45583</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45583</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45583</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45583</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45583</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45583</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45583</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45583</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45583</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45583</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45583</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45583</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45583</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45583</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45583</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45583</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45583</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45583</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45583</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45583</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45583</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45583</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45583</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45583</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45583</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45583</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45583</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45583</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45583</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45583</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45583</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45583</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45583</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45583</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45583</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45583</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45583</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45583</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45583</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45583</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45583</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45583</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45583</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45583</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45583</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45583</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45583</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45583</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45583</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45583</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45583</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45583</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45583</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45583</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45583</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45583</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45583</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45583</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45583</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45583</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45583</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45583</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45583</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45583</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45583</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45583</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45583</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45583</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45583</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45583</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45583</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45583</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45583</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45583</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45583</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45583</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45583</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45583</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45583</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45583</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45583</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45583</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45583</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45583</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45583</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45583</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45583</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45583</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45583</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45583</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45583</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45583</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45583</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45583</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45583</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45583</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45583</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45583</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45583</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45583</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45583</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45583</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45583</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45583</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45583</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45583</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45583</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45583</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45583</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45583</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45583</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45583</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45583</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45583</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45583</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45583</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45583</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45583</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45583</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45583</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45583</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45583</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45583</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45583</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45583</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45583</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45583</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45583</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45583</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45583</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45583</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45583</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45583</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45583</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45583</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45583</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45583</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45583</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45583</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45583</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45583</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45583</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45583</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45583</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45583</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45583</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45583</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45583</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45583</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45583</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45583</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45583</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45583</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45583</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45583</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45583</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45583</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45583</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45583</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45583</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45583</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45583</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45583</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45583</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45583</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45583</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45583</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45583</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45583</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45583</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45583</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45583</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45583</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45583</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45583</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45583</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45583</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45583</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45583</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45583</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45583</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45583</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45583</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45583</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45583</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45583</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45583</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45583</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45583</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45583</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45583</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45583</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45583</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45583</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45583</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45583</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45583</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45583</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45583</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45583</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45583</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45583</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45583</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45583</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45583</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45583</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45583</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45583</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45583</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45583</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45583</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45583</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45583</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45583</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45583</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45583</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45583</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45583</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45583</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45583</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45583</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45583</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45583</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45583</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45583</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45583</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45583</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45583</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45583</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45583</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45583</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45583</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45583</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45583</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45583</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45583</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45583</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45583</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45583</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45583</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45583</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45583</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45583</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45583</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45583</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45583</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45583</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45583</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45583</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45583</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45583</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45583</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45583</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45583</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45583</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45583</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45583</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45583</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45583</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45583</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45583</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45583</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45583</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45583</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45583</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45583</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45583</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45583</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45583</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45583</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45583</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45583</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45583</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45583</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45583</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45583</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45583</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45583</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45583</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45583</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45583</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45583</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45583</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45583</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45583</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45583</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45583</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45583</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45583</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45583</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45583</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45583</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45583</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45583</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45583</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45583</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45583</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45583</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45583</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45583</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45583</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45583</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45583</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45583</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45583</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45583</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45583</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45583</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45583</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45583</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45583</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45583</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45583</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45583</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45583</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45583</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45583</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45583</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45583</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45583</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45583</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45583</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45583</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45583</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45583</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45583</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45583</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45583</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45583</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45583</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45583</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45583</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45583</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45583</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45583</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45583</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45583</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45583</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45583</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45583</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45583</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45583</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45583</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45583</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45583</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45583</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45583</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45583</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45583</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45583</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45583</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45583</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45583</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45583</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45583</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45583</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45583</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45583</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45583</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45583</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45583</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45583</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45583</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45583</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45583</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45583</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45583</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45583</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45583</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45583</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45583</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45583</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45583</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45583</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45583</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45583</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45583</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45583</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45583</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45583</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45583</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45583</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45583</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45583</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45583</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45583</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45583</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45583</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45583</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45583</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45583</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45583</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45583</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45583</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45583</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45583</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45583</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45583</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45583</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45583</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45583</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45583</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45583</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45583</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45583</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45583</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45583</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45583</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45583</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45583</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45583</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45583</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45583</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45583</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45583</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45583</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45583</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45583</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45583</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45583</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45583</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45583</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45583</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45583</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45583</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45583</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45583</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45583</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45583</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45583</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45583</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45583</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45583</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45583</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45583</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45583</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45583</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45583</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45583</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45583</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45583</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45583</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45583</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45583</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45583</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45583</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45583</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45583</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45583</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45583</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45583</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45583</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45583</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45583</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45583</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45583</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45583</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45583</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45583</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45583</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45583</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45583</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45583</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45583</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45583</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45583</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45583</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45583</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45583</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45583</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45583</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45583</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45583</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45583</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45583</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45583</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45583</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45583</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45583</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45583</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45583</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45583</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45583</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45583</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45583</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45583</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45583</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45583</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45583</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45583</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45583</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45583</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45583</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45583</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45583</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45583</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45583</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45583</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45583</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45583</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45583</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45583</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45583</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45583</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45583</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45583</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45583</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45583</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45583</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45583</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45583</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45583</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45583</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45583</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45583</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45583</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45583</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45583</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45583</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45583</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45583</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45583</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45583</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45583</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45583</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45583</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45583</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45583</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45583</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45583</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45583</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45583</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45583</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45583</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45583</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45583</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45583</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45583</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45583</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45583</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45583</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45583</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45583</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45583</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45583</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45583</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45583</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45583</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45583</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45583</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45583</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45583</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45583</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45583</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45583</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45583</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45583</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45583</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45583</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45583</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45583</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45583</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45583</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45583</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45583</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45583</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45583</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45583</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45583</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45583</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45583</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45583</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45583</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45583</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45583</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45583</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45583</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45583</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45583</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45583</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45583</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45583</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45583</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45583</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45583</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45583</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45583</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45583</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45583</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45583</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45583</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45583</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45583</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45583</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45583</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45583</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45583</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45583</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45583</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45583</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45583</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45583</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45583</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45583</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45583</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45583</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45583</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45583</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45583</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45583</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45583</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45583</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45583</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45583</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45583</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45583</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45583</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45583</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45583</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45583</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45583</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45583</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45583</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45583</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45583</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45583</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45583</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45583</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45583</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45583</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45583</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45583</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45583</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45583</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45583</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45583</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45583</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45583</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45583</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45583</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45583</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45583</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45583</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45583</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45583</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45583</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45583</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45583</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45583</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45583</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45583</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45583</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45583</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45583</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45583</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45583</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45583</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45583</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45583</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45583</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45583</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45583</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45583</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45583</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45583</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45583</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45583</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45583</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45583</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45583</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45583</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45583</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45583</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45583</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45583</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45583</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45583</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45583</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45583</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45583</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45583</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45583</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45583</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45583</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45583</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45583</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45583</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45583</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45583</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45583</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45583</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45583</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45583</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45583</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45583</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45583</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45583</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45583</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45583</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45583</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45583</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45583</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45583</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45583</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45583</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45583</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45583</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45583</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45583</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45583</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45583</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45583</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45583</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45583</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45583</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45583</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45583</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45583</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45583</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45583</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45583</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45583</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45583</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45583</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45583</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45583</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45583</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45583</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45583</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45583</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45583</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45583</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45583</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45583</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45583</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45583</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45583</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45583</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45583</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45583</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45583</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45583</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45583</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45583</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45583</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45583</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45583</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45583</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45583</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45583</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45583</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45583</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45583</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45583</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45583</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45583</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45583</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45583</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45583</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45583</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45583</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45583</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45583</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45583</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45583</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45583</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45583</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45583</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45583</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45583</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45583</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45583</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45583</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45583</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45583</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45583</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45583</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45583</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45583</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45583</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45583</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45583</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45583</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45583</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45583</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45583</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45583</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45583</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45583</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45583</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45583</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45583</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45583</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45583</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45583</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45583</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45583</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45583</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45583</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45583</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45583</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45583</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45583</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45583</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45583</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45583</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45583</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45583</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45583</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45583</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45583</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45583</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45583</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45583</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45583</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45583</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45583</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45583</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45583</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45583</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45583</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45583</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45583</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45583</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45583</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45583</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45583</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45583</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45583</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45583</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45583</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45583</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45583</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45583</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45583</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45583</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45583</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45583</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45583</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45583</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45583</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45583</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45583</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45583</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45583</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45583</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45583</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45583</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45583</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45583</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45583</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45583</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45583</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45583</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45583</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45583</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45583</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45583</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45583</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45583</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45583</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45583</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45583</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45583</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45583</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45583</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45583</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45583</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45583</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45583</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45583</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45583</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45583</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45583</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45583</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45583</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45583</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45583</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45583</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45583</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45583</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45583</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45583</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45583</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45583</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45583</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45583</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45583</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45583</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45583</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45583</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45583</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45583</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45583</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45583</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45583</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45583</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45583</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45583</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45583</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45583</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45583</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45583</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45583</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45583</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45583</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45583</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45583</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45583</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45583</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45583</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45583</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45583</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45583</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45583</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45583</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45583</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45583</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45583</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45583</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45583</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45583</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45583</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45583</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45583</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45583</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45583</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45583</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45583</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45583</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45583</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45583</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45583</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45583</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45583</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45583</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45583</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45583</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45583</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45583</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45583</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45583</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45583</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45583</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45583</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45583</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45583</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45583</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45583</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45583</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45583</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45583</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45583</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45583</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45583</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45583</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45583</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45583</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45583</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45583</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45583</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45583</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45583</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45583</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45583</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45583</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45583</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45583</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45583</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45583</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45583</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45583</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45583</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45583</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45583</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45583</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45583</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45583</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45583</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45583</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45583</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45583</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45583</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45583</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45583</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45583</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45583</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45583</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45583</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45583</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45583</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45583</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45583</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45583</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45583</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45583</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45583</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45583</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45583</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45583</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45583</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45583</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45583</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45583</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45583</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45583</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45583</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45583</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45583</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45583</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45583</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45583</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45583</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45583</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45583</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45583</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45583</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45583</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45583</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45583</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45583</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45583</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45583</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45583</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45583</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45583</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45583</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45583</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45583</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45583</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45583</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45583</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45583</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45583</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45583</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45583</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45583</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45583</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45583</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45583</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45583</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45583</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45583</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45583</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45583</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45583</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45583</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45583</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45583</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45583</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45583</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45583</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45583</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45583</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45583</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45583</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45583</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45583</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45583</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45583</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45583</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45583</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45583</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45583</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45583</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45583</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45583</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45583</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45583</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45583</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45583</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45583</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45583</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45583</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45583</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45583</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45583</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45583</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45583</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45583</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45583</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45583</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45583</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45583</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45583</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45583</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45583</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45583</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45583</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45583</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45583</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45583</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45583</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45583</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45583</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45583</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45583</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45583</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45583</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45583</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45583</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45583</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45583</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45583</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45583</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45583</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45583</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45583</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45583</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45583</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45583</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45583</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45583</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45583</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45583</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45583</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45583</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45583</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45583</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45583</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45583</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45583</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45583</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45583</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45583</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45583</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45583</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45583</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45583</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45583</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45583</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45583</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45583</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45583</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45583</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45583</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45583</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45583</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45583</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45583</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45583</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45583</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45583</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45583</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45583</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45583</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45583</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45583</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45583</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45583</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45583</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45583</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45583</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45583</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45583</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45583</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45583</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45583</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45583</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45583</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45583</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45583</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45583</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45583</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45583</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45583</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45583</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45583</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45583</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45583</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45583</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45583</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45583</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45583</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45583</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45583</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45583</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45583</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45583</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45583</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45583</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45583</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45583</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45583</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45583</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45583</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45583</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45583</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45583</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45583</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45583</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45583</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45583</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45583</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45583</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45583</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45583</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45583</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45583</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45583</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45583</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45583</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45583</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45583</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45583</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45583</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45583</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45583</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45583</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45583</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45583</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45583</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45583</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45583</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45583</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45583</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45583</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45583</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45583</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45583</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45583</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45583</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45583</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45583</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45583</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45583</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45583</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45583</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45583</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45583</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45583</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45583</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45583</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45583</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45583</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45583</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45583</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45583</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45583</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45583</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45583</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45583</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45583</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45583</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45583</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45583</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45583</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45583</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45583</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45583</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45583</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45583</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45583</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45583</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45583</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45583</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45583</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45583</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45583</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45583</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45583</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45583</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45583</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45583</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45583</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45583</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45583</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45583</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45583</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45583</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45583</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45583</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45583</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45583</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45583</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45583</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45583</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45583</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45583</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45583</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45583</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45583</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45583</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45583</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45583</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45583</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45583</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45583</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45583</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45583</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45583</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45583</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45583</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45583</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45583</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45583</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45583</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45583</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45583</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45583</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45583</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45583</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45583</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45583</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45583</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45583</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45583</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45583</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45583</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45583</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45583</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45583</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45583</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45583</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45583</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45583</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45583</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45583</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45583</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45583</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45583</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45583</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45583</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45583</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45583</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45583</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45583</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45583</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45583</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45583</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45583</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45583</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45583</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45583</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45583</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45583</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45583</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45583</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45583</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45583</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45583</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45583</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45583</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45583</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45583</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45583</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45583</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45583</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45583</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45583</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45583</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45583</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45583</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45583</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45583</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45583</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45583</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45583</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45583</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45583</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45583</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45583</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45583</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45583</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45583</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45583</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45583</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45583</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45583</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45583</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45583</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45583</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45583</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45583</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45583</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45583</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45583</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45583</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45583</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45583</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45583</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45583</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45583</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45583</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45583</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45583</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45583</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45583</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45583</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45583</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45583</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45583</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45583</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45583</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45583</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45583</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45583</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45583</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45583</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45583</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45583</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45583</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45583</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45583</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45583</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45583</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45583</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45583</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45583</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45583</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45583</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45583</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45583</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45583</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45583</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45583</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45583</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45583</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45583</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45583</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45583</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45583</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45583</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45583</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45583</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45583</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45583</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45583</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45583</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45583</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45583</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45583</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45583</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45583</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45583</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45583</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45583</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45583</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45583</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45583</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45583</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45583</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45583</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45583</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45583</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45583</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45583</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45583</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45583</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45583</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45583</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45583</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45583</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45583</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45583</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45583</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45583</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45583</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45583</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45583</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45583</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45583</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45583</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45583</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45583</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45583</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45583</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45583</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45583</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45583</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45583</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45583</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45583</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45583</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45583</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45583</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45583</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45583</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45583</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45583</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45583</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45583</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45583</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45583</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45583</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45583</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45583</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45583</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45583</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45583</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45583</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45583</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45583</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45583</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45583</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45583</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45583</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45583</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45583</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45583</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45583</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45583</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45583</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45583</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45583</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45583</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45583</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45583</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45583</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45583</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45583</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45583</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45583</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45583</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45583</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45583</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45583</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45583</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45583</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45583</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45583</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45583</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45583</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45583</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45583</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45583</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45583</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45583</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45583</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45583</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45583</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45583</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45583</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45583</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45583</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45583</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45583</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45583</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45583</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45583</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45583</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45583</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45583</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45583</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45583</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45583</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45583</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45583</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45583</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45583</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45583</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45583</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45583</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45583</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45583</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45583</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45583</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45583</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45583</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45583</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45583</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45583</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45583</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45583</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45583</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45583</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45583</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45583</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45583</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45583</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45583</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45583</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45583</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45583</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45583</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45583</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45583</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45583</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45583</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45583</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45583</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45583</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45583</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45583</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45583</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45583</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45583</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45583</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45583</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45583</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45583</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45583</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45583</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45583</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45583</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45583</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45583</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45583</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45583</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45583</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45583</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45583</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45583</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45583</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45583</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45583</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45583</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45583</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45583</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45583</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45583</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45583</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45583</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45583</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45583</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45583</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45583</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45583</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45583</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45583</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45583</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45583</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45583</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45583</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45583</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45583</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45583</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45583</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45583</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45583</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45583</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45583</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45583</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45583</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45583</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45583</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45583</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45583</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45583</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45583</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45583</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45583</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45583</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45583</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45583</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45583</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45583</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45583</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45583</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45583</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45583</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45583</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45583</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45583</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45583</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45583</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45583</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45583</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45583</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45583</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45583</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45583</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45583</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45583</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45583</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45583</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45583</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45583</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45583</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45583</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45583</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45583</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45583</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45583</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45583</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45583</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45583</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45583</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45583</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45583</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45583</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45583</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45583</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45583</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45583</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45583</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45583</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45583</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45583</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45583</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45583</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45583</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45583</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45583</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45583</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45583</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45583</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45583</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45583</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45583</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45583</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45583</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45583</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45583</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45583</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45583</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45583</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45583</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45583</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45583</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45583</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45583</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45583</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45583</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45583</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45583</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45583</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45583</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45583</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45583</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45583</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45583</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45583</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45583</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45583</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45583</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45583</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45583</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45583</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45583</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45583</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45583</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45583</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45583</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45583</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45583</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45583</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45583</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45583</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45583</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45583</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45583</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45583</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45583</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45583</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45583</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45583</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45583</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45583</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45583</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45583</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45583</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45583</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45583</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45583</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45583</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45583</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45583</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45583</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45583</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45583</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45583</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45583</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45583</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45583</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45583</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45583</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45583</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45583</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45583</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45583</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45583</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45583</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45583</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45583</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45583</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45583</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45583</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45583</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45583</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45583</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45583</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45583</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45583</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45583</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45583</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45583</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45583</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45583</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45583</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45583</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45583</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45583</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45583</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45583</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45583</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45583</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45583</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45583</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45583</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45583</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45583</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45583</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45583</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45583</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45583</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45583</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45583</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45583</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45583</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45583</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45583</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45583</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45583</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45583</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45583</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45583</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45583</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45583</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45583</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45583</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45583</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45583</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45583</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45583</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45583</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45583</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45583</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45583</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45583</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45583</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45583</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45583</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45583</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45583</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45583</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45583</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45583</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45583</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45583</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45583</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45583</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45583</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45583</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45583</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45583</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45583</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45583</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45583</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45583</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45583</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45583</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45583</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45583</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45583</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45583</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45583</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45583</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45583</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45583</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45583</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45583</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45583</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45583</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45583</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45583</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45583</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45583</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45583</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45583</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45583</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45583</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45583</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45583</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45583</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45583</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45583</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45583</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45583</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45583</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45583</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45583</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45583</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45583</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45583</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45583</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45583</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45583</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45583</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45583</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45583</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45583</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45583</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45583</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45583</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45583</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45583</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45583</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45583</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45583</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45583</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45583</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45583</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45583</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45583</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45583</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45583</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45583</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45583</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45583</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45583</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45583</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45583</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45583</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45583</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45583</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45583</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45583</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45583</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45583</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45583</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45583</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45583</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45583</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45583</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45583</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45583</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45583</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45583</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45583</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45583</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45583</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45583</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45583</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45583</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45583</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45583</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45583</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45583</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45583</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45583</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45583</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45583</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45583</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45583</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45583</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45583</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45583</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45583</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45583</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45583</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45583</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45583</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45583</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45583</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45583</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45583</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45583</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45583</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45583</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45583</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45583</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45583</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45583</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45583</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45583</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45583</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45583</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45583</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45583</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45583</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45583</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45583</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45583</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45583</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45583</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45583</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45583</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45583</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45583</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45583</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45583</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45583</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45583</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45583</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45583</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45583</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45583</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45583</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45583</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45583</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45583</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45583</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45583</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45583</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45583</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45583</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45583</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45583</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45583</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45583</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45583</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45583</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45583</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45583</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45583</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45583</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45583</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45583</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45583</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45583</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45583</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45583</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45583</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45583</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45583</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45583</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45583</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45583</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45583</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45583</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45583</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45583</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45583</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45583</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45583</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45583</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45583</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45583</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45583</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45583</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45583</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45583</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45583</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45583</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45583</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45583</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45583</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45583</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45583</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45583</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45583</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45583</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45583</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45583</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45583</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45583</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45583</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45583</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45583</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45583</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45583</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45583</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45583</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45583</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45583</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45583</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45583</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45583</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45583</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45583</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45583</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45583</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45583</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45583</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45583</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45583</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45583</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45583</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45583</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45583</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45583</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45583</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45583</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45583</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45583</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45583</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45583</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45583</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45583</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45583</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45583</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45583</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45583</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45583</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45583</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45583</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45583</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45583</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45583</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45583</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45583</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45583</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45583</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45583</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45583</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45583</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45583</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45583</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45583</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45583</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45583</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45583</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45583</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45583</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45583</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45583</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45583</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45583</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45583</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45583</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45583</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45583</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45583</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45583</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45583</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45583</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45583</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45583</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45583</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45583</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45583</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45583</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45583</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45583</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45583</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45583</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45583</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45583</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45583</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45583</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45583</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45583</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45583</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45583</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45583</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45583</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45583</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45583</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45583</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45583</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45583</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45583</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45583</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45583</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45583</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45583</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45583</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45583</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45583</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45583</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45583</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45583</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45583</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45583</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45583</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45583</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45583</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45583</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45583</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45583</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45583</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45583</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45583</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45583</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45583</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45583</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45583</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45583</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45583</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45583</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45583</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45583</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45583</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45583</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45583</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45583</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45583</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45583</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45583</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45583</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45583</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45583</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45583</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45583</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45583</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45583</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45583</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45583</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45583</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45583</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45583</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45583</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45583</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45583</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45583</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45583</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45583</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45583</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45583</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45583</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45583</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45583</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45583</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45583</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45583</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45583</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45583</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45583</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45583</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45583</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45583</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45583</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45583</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45583</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45583</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45583</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45583</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45583</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45583</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45583</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45583</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45583</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45583</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45583</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45583</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45583</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45583</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45583</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45583</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45583</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45583</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45583</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45583</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45583</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45583</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45583</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45583</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45583</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45583</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45583</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45583</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45583</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45583</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45583</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45583</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45583</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45583</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45583</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45583</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45583</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45583</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45583</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45583</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45583</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45583</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45583</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45583</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45583</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45583</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45583</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45583</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45583</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45583</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45583</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45583</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45583</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45583</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45583</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45583</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45583</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45583</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45583</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45583</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45583</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45583</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45583</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45583</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45583</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45583</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45583</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45583</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45583</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45583</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45583</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45583</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45583</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45583</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45583</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45583</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45583</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45583</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45583</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45583</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45583</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45583</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45583</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45583</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45583</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45583</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45583</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45583</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45583</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45583</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45583</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45583</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45583</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45583</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45583</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45583</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45583</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45583</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45583</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45583</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45583</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45583</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45583</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45583</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45583</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45583</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45583</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45583</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45583</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45583</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45583</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45583</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45583</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45583</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45583</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45583</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45583</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45583</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45583</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45583</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45583</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45583</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45583</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45583</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45583</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45583</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45583</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45583</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45583</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45583</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45583</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45583</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45583</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45583</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45583</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45583</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45583</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45583</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45583</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45583</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45583</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45583</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45583</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45583</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45583</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45583</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45583</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45583</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45583</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45583</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45583</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45583</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45583</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45583</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45583</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45583</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45583</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45583</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45583</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45583</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45583</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45583</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45583</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45583</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45583</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45583</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45583</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45583</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45583</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45583</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45583</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45583</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45583</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45583</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45583</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45583</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45583</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45583</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45583</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45583</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45583</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45583</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45583</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45583</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45583</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45583</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45583</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45583</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45583</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45583</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45583</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45583</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45583</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45583</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45583</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45583</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45583</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45583</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45583</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45583</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45583</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45583</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45583</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45583</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45583</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45583</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45583</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45583</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45583</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45583</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45583</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45583</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45583</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45583</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45583</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45583</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45583</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45583</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45583</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45583</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45583</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45583</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45583</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45583</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45583</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45583</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45583</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45583</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45583</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45583</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45583</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45583</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45583</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45583</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45583</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45583</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45583</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45583</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45583</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45583</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45583</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45583</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45583</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45583</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45583</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45583</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45583</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45583</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45583</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45583</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45583</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45583</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45583</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45583</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45583</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45583</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45583</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45583</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45583</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45583</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45583</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45583</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45583</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45583</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45583</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45583</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45583</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45583</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45583</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45583</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45583</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45583</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45583</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45583</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45583</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45583</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45583</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45583</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45583</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45583</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45583</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45583</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45583</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45583</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45583</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45583</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45583</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45583</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45583</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45583</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45583</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45583</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45583</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45583</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45583</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45583</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45583</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45583</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45583</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45583</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45583</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45583</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45583</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45583</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45583</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45583</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45583</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45583</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45583</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45583</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45583</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45583</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45583</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45583</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45583</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45583</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45583</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45583</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45583</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45583</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45583</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45583</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45583</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45583</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45583</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45583</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45583</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45583</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45583</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45583</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45583</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45583</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45583</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45583</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45583</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45583</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45583</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45583</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45583</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45583</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45583</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45583</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45583</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45583</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45583</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45583</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45583</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45583</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45583</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45583</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45583</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45583</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45583</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45583</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45583</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45583</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45583</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45583</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45583</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45583</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45583</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45583</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45583</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45583</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45583</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45583</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45583</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45583</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45583</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45583</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45583</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45583</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45583</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45583</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45583</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45583</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45583</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45583</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45583</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45583</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45583</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45583</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45583</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45583</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45583</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45583</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45583</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45583</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45583</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45583</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45583</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45583</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45583</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45583</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45583</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45583</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45583</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45583</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45583</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45583</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45583</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45583</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45583</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45583</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45583</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45583</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45583</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45583</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45583</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45583</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45583</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45583</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45583</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45583</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45583</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45583</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45583</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45583</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45583</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45583</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45583</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45583</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45583</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45583</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45583</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45583</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45583</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45583</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45583</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45583</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45583</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45583</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45583</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45583</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45583</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45583</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45583</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45583</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45583</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45583</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45583</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45583</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45583</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45583</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45583</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45583</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45583</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45583</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45583</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45583</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45583</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45583</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45583</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45583</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45583</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45583</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45583</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45583</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45583</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45583</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45583</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45583</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45583</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45583</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45583</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45583</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45583</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45583</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45583</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45583</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45583</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45583</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45583</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45583</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45583</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45583</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45583</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45583</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45583</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45583</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45583</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45583</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45583</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45583</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45583</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45583</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45583</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45583</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45583</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45583</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45583</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45583</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45583</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45583</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45583</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45583</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45583</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45583</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45583</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45583</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45583</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45583</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45583</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45583</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45583</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45583</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45583</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45583</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45583</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45583</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45583</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45583</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45583</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45583</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45583</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45583</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45583</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45583</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45583</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45583</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45583</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45583</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45583</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45583</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45583</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45583</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45583</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45583</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45583</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45583</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45583</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45583</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45583</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45583</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45583</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45583</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45583</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45583</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45583</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45583</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45583</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45583</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45583</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45583</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45583</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45583</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45583</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45583</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45583</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45583</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45583</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45583</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45583</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45583</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45583</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45583</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45583</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45583</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45583</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45583</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45583</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45583</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45583</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45583</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45583</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45583</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45583</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45583</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45583</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45583</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45583</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45583</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45583</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45583</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45583</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45583</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45583</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45583</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45583</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45583</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45583</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45583</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45583</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45583</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45583</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45583</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45583</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45583</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45583</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45583</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45583</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45583</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45583</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45583</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45583</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45583</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45583</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45583</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45583</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45583</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45583</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45583</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45583</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45583</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45583</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45583</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45583</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45583</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45583</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45583</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45583</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45583</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45583</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45583</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45583</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45583</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45583</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45583</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45583</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45583</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45583</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45583</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45583</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45583</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45583</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45583</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45583</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45583</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45583</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45583</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45583</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45583</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45583</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45583</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45583</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45583</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45583</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45583</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45583</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45583</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45583</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45583</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45583</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45583</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45583</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45583</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45583</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45583</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45583</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45583</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45583</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45583</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45583</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45583</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45583</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45583</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45583</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45583</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45583</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45583</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45583</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45583</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45583</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45583</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45583</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45583</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45583</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45583</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45583</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45583</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45583</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45583</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45583</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45583</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45583</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45583</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45583</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45583</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45583</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45583</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45583</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45583</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45583</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45583</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45583</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45583</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45583</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45583</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45583</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45583</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45583</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45583</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45583</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45583</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45583</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45583</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45583</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45583</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45583</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45583</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45583</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45583</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45583</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45583</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45583</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45583</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45583</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45583</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45583</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45583</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45583</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45583</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45583</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45583</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45583</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45583</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45583</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45583</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45583</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45583</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45583</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45583</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45583</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45583</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45583</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45583</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45583</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45583</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45583</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45583</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45583</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45583</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45583</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45583</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45583</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45583</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45583</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45583</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45583</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45583</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45583</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45583</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45583</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45583</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45583</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45583</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45583</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45583</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45583</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45583</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45583</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45583</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45583</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45583</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45583</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45583</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45583</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45583</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45583</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45583</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45583</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45583</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45583</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45583</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45583</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45583</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45583</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45583</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45583</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45583</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45583</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45583</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45583</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45583</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45583</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45583</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45583</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45583</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45583</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45583</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45583</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45583</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45583</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45583</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45583</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45583</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45583</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45583</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45583</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45583</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45583</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45583</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45583</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45583</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45583</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45583</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45583</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45583</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45583</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45583</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45583</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45583</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45583</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45583</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45583</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45583</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45583</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45583</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45583</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45583</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45583</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45583</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45583</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45583</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45583</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45583</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45583</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45583</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45583</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45583</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45583</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45583</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45583</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45583</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45583</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45583</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45583</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45583</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45583</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45583</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45583</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45583</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45583</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45583</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45583</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45583</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45583</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45583</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45583</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45583</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45583</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45583</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45583</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45583</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45583</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45583</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45583</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45583</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45583</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45583</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45583</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45583</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45583</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45583</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45583</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45583</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45583</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45583</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45583</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45583</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45583</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45583</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45583</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45583</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45583</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45583</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45583</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45583</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45583</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45583</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45583</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45583</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45583</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45583</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45583</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45583</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45583</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45583</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45583</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45583</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45583</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45583</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45583</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45583</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45583</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45583</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45583</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45583</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45583</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45583</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45583</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45583</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45583</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45583</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45583</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45583</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45583</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45583</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45583</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45583</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45583</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45583</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45583</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45583</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45583</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45583</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45583</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45583</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45583</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45583</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45583</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45583</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45583</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45583</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45583</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45583</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45583</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45583</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45583</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45583</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45583</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45583</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45583</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45583</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45583</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45583</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45583</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45583</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45583</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45583</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45583</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45583</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45583</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45583</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45583</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45583</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45583</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45583</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45583</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45583</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45583</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45583</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45583</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45583</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45583</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45583</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45583</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45583</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45583</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45583</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45583</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45583</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45583</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45583</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45583</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45583</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45583</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45583</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45583</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45583</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45583</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45583</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45583</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45583</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45583</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45583</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45583</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45583</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45583</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45583</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45583</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45583</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45583</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45583</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45583</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45583</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45583</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45583</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45583</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45583</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45583</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45583</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45583</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45583</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45583</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45583</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45583</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45583</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45583</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45583</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45583</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45583</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45583</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45583</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45583</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45583</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45583</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45583</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45583</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45583</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45583</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45583</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45583</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45583</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45583</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45583</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45583</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45583</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45583</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45583</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45583</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45583</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45583</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45583</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45583</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45583</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45583</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45583</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45583</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45583</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45583</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45583</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45583</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45583</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45583</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45583</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45583</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45583</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45583</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45583</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45583</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45583</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45583</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45583</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45583</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45583</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45583</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45583</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45583</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45583</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45583</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45583</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45583</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45583</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45583</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45583</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45583</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45583</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45583</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45583</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45583</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45583</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45583</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45583</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45583</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45583</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45583</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45583</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45583</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45583</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45583</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45583</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45583</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45583</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45583</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45583</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45583</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45583</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45583</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45583</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45583</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45583</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45583</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45583</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45583</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45583</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45583</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45583</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45583</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45583</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45583</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45583</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45583</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45583</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45583</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45583</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45583</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45583</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45583</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45583</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45583</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45583</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45583</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45583</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45583</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45583</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45583</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45583</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45583</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45583</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45583</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45583</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45583</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45583</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45583</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45583</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45583</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45583</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45583</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45583</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45583</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45583</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45583</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45583</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45583</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45583</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45583</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45583</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45583</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45583</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45583</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45583</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45583</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45583</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45583</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45583</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45583</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45583</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45583</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45583</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45583</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45583</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45583</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45583</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45583</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45583</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45583</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45583</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45583</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45583</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45583</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45583</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45583</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45583</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45583</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45583</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45583</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45583</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45583</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45583</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45583</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45583</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45583</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45583</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45583</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45583</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45583</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45583</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45583</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45583</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45583</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45583</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45583</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45583</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45583</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45583</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45583</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45583</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45583</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45583</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45583</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45583</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45583</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45583</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45583</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45583</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45583</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45583</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45583</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45583</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45583</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45583</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45583</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45583</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45583</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45583</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45583</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45583</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45583</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45583</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45583</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45583</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45583</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45583</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45583</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45583</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45583</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45583</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45583</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45583</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45583</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45583</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45583</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45583</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45583</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45583</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45583</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45583</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45583</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45583</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45583</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45583</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45583</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45583</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45583</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45583</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45583</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45583</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45583</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45583</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45583</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45583</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45583</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45583</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45583</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45583</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45583</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45583</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45583</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45583</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45583</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45583</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45583</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45583</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45583</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45583</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45583</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45583</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45583</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45583</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45583</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45583</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45583</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45583</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45583</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45583</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45583</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45583</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45583</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45583</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45583</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45583</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45583</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45583</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45583</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45583</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45583</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45583</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45583</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45583</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45583</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45583</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45583</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45583</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45583</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45583</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45583</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45583</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45583</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45583</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45583</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45583</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45583</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45583</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45583</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45583</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45583</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45583</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45583</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45583</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45583</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45583</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45583</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45583</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45583</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45583</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45583</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45583</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45583</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45583</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45583</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45583</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45583</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45583</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45583</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45583</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45583</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45583</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45583</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45583</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45583</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45583</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45583</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45583</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45583</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45583</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45583</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45583</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45583</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45583</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45583</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45583</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45583</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45583</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45583</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45583</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45583</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45583</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45583</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45583</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45583</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45583</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45583</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45583</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45583</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45583</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45583</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45583</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45583</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45583</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45583</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45583</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45583</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45583</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45583</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45583</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45583</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45583</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45583</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45583</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45583</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45583</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45583</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45583</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45583</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45583</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45583</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45583</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45583</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45583</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45583</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45583</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45583</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45583</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45583</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45583</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45583</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45583</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45583</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45583</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45583</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45583</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45583</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45583</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45583</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45583</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45583</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45583</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45583</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45583</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45583</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45583</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45583</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45583</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45583</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45583</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45583</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45583</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45583</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45583</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45583</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45583</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45583</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45583</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45583</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45583</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45583</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45583</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45583</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45583</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45583</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45583</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45583</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45583</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45583</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45583</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45583</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45583</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45583</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45583</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45583</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45583</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45583</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45583</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45583</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45583</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45583</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45583</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45583</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45583</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45583</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45583</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45583</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45583</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45583</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45583</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45583</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45583</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45583</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45583</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45583</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45583</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45583</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45583</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45583</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45583</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45583</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45583</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45583</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45583</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45583</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45583</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45583</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45583</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45583</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45583</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45583</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45583</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45583</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45583</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45583</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45583</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45583</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45583</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45583</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45583</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45583</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45583</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45583</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45583</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45583</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45583</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45583</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45583</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45583</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45583</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45583</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45583</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45583</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45583</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45583</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45583</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45583</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45583</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45583</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45583</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45583</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45583</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45583</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45583</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45583</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45583</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45583</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45583</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45583</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45583</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45583</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45583</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45583</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45583</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45583</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45583</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45583</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45583</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45583</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45583</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45583</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45583</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45583</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45583</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45583</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45583</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45583</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45583</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45583</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45583</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45583</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45583</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45583</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45583</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45583</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45583</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45583</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45583</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45583</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45583</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45583</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45583</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45583</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45583</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45583</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45583</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45583</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45583</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45583</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45583</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45583</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45583</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45583</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45583</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45583</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45583</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45583</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45583</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45583</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45583</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45583</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45583</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45583</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45583</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45583</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45583</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45583</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45583</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45583</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45583</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45583</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45583</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45583</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45583</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45583</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45583</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45583</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45583</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45583</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45583</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45583</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45583</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45583</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45583</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45583</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45583</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45583</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45583</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45583</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45583</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45583</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45583</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45583</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45583</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45583</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45583</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45583</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45583</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45583</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45583</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45583</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45583</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45583</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45583</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45583</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45583</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45583</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45583</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45583</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45583</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45583</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45583</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45583</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45583</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45583</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45583</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45583</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45583</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45583</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45583</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45583</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45583</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45583</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45583</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45583</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45583</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45583</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45583</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45583</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45583</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45583</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45583</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45583</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45583</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45583</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45583</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45583</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45583</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45583</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45583</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45583</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45583</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45583</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45583</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45583</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45583</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45583</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45583</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45583</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45583</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45583</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45583</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45583</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45583</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45583</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45583</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45583</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45583</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45583</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45583</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45583</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45583</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45583</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45583</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45583</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45583</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45583</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45583</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45583</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45583</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45583</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45583</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45583</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45583</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45583</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45583</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45583</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45583</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45583</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45583</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45583</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45583</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45583</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45583</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45583</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45583</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45583</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45583</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45583</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45583</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45583</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45583</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45583</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45583</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45583</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45583</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45583</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45583</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45583</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45583</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45583</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45583</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45583</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45583</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45583</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45583</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45583</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45583</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45583</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45583</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45583</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45583</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45583</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45583</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45583</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45583</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45583</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45583</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45583</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45583</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45583</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45583</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45583</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45583</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45583</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45583</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45583</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45583</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45583</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45583</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45583</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45583</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45583</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45583</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45583</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45583</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45583</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45583</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45583</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45583</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45583</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45583</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45583</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45583</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45583</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45583</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45583</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45583</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45583</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45583</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45583</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45583</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45583</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45583</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45583</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45583</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45583</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45583</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45583</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45583</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45583</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45583</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45583</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45583</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45583</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45583</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45583</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45583</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45583</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45583</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45583</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45583</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45583</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45583</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45583</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45583</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45583</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45583</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45583</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45583</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45583</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45583</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45583</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45583</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45583</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45583</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45583</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45583</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45583</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45583</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45583</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45583</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45583</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45583</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45583</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45583</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45583</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45583</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45583</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45583</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45583</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45583</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45583</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45583</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45583</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45583</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45583</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45583</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45583</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45583</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45583</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45583</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45583</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45583</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45583</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45583</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45583</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45583</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45583</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45583</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45583</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45583</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45583</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45583</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45583</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45583</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45583</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45583</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45583</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45583</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45583</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45583</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45583</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45583</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45583</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45583</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45583</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45583</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45583</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45583</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45583</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45583</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45583</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45583</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45583</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45583</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45583</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45583</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45583</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45583</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45583</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45583</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45583</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45583</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45583</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45583</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45583</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45583</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45583</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45583</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45583</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45583</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45583</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45583</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45583</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45583</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45583</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45583</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45583</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45583</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45583</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45583</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45583</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45583</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45583</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45583</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45583</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45583</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45583</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45583</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45583</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45583</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45583</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45583</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45583</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45583</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45583</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45583</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45583</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45583</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45583</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45583</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45583</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45583</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45583</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45583</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45583</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45583</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45583</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45583</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45583</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45583</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45583</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45583</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45583</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45583</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45583</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45583</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45583</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45583</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45583</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45583</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45583</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45583</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45583</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45583</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45583</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45583</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45583</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45583</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45583</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45583</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45583</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45583</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45583</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45583</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45583</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45583</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45583</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45583</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45583</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45583</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45583</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45583</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45583</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45583</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45583</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45583</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45583</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45583</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45583</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45583</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45583</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45583</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45583</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45583</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45583</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45583</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45583</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45583</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45583</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45583</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45583</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45583</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45583</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45583</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45583</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45583</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45583</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45583</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45583</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45583</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45583</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45583</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45583</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45583</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45583</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45583</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45583</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45583</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45583</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45583</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45583</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45583</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45583</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45583</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45583</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45583</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45583</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45583</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45583</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45583</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45583</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45583</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45583</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45583</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45583</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45583</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45583</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45583</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45583</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45583</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45583</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45583</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45583</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45583</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45583</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45583</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45583</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45583</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45583</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45583</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45583</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45583</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45583</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45583</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45583</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45583</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45583</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45583</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45583</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45583</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45583</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45583</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45583</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45583</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45583</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45583</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45583</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45583</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45583</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45583</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45583</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45583</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45583</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45583</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45583</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45583</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45583</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45583</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45583</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45583</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45583</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45583</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45583</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45583</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45583</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45583</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45583</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45583</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45583</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45583</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45583</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45583</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45583</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45583</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45583</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45583</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45583</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45583</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45583</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45583</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45583</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45583</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45583</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45583</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45583</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45583</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45583</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45583</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45583</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45583</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45583</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45583</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45583</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45583</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45583</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45583</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45583</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45583</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45583</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45583</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45583</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45583</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45583</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45583</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45583</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45583</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45583</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45583</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45583</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45583</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45583</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45583</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45583</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45583</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45583</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45583</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45583</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45583</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45583</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45583</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45583</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45583</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45583</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45583</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45583</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45583</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45583</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45583</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45583</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45583</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45583</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45583</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45583</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45583</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45583</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45583</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45583</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45583</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45583</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45583</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45583</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45583</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45583</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45583</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45583</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45583</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45583</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45583</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45583</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45583</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45583</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45583</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45583</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45583</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45583</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45583</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45583</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45583</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45583</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45583</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45583</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45583</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45583</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45583</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45583</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45583</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45583</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45583</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45583</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45583</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45583</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45583</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45583</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45583</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45583</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45583</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45583</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45583</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45583</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45583</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45583</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45583</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45583</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45583</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45583</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45583</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45583</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45583</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45583</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45583</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45583</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45583</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45583</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45583</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45583</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45583</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45583</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45583</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45583</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45583</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45583</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45583</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45583</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45583</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45583</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45583</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45583</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45583</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45583</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45583</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45583</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45583</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45583</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45583</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45583</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45583</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45583</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45583</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45583</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45583</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45583</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45583</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45583</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45583</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45583</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45583</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45583</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45583</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45583</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45583</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45583</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45583</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45583</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45583</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45583</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45583</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45583</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45583</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45583</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45583</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45583</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45583</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45583</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45583</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45583</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45583</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45583</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45583</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45583</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45583</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45583</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45583</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45583</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45583</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45583</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45583</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45583</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45583</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45583</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45583</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45583</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45583</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45583</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45583</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45583</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45583</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45583</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45583</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45583</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45583</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45583</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45583</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45583</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45583</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45583</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45583</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45583</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45583</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45583</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45583</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45583</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45583</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45583</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45583</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45583</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45583</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45583</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45583</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45583</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45583</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45583</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45583</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45583</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45583</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45583</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45583</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45583</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45583</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45583</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45583</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45583</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45583</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45583</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45583</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45583</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45583</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45583</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45583</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45583</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45583</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45583</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45583</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45583</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45583</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45583</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45583</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45583</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45583</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45583</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45583</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45583</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45583</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45583</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45583</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45583</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45583</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45583</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45583</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45583</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45583</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45583</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45583</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45583</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45583</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45583</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45583</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45583</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45583</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45583</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45583</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45583</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45583</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45583</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45583</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45583</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45583</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45583</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45583</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45583</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45583</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45583</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45583</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45583</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45583</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45583</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45583</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45583</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45583</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45583</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45583</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45583</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45583</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45583</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45583</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45583</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45583</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45583</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45583</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45583</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45583</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45583</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45583</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45583</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45583</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45583</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45583</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45583</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45583</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45583</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45583</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45583</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45583</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45583</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45583</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45583</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45583</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45583</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45583</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45583</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45583</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45583</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45583</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45583</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45583</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45583</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45583</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45583</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45583</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45583</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45583</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45583</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45583</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45583</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45583</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45583</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45583</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45583</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45583</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45583</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45583</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45583</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45583</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45583</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45583</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45583</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45583</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45583</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45583</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45583</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45583</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45583</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45583</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45583</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45583</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45583</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45583</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45583</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45583</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45583</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45583</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45583</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45583</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45583</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45583</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45583</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45583</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45583</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45583</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45583</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45583</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45583</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45583</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45583</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45583</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45583</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45583</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45583</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45583</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45583</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45583</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45583</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45583</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45583</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45583</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45583</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45583</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45583</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45583</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45583</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45583</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45583</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45583</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45583</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45583</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45583</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45583</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45583</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45583</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45583</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45583</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45583</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45583</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45583</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45583</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45583</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45583</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45583</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45583</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45583</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45583</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45583</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45583</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45583</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45583</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45583</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45583</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45583</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45583</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45583</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45583</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45583</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45583</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45583</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45583</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45583</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45583</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45583</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45583</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45583</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45583</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45583</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45583</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45583</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45583</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45583</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45583</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45583</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45583</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45583</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45583</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45583</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45583</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45583</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45583</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45583</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45583</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45583</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45583</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45583</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45583</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45583</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45583</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45583</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45583</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45583</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45583</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45583</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45583</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45583</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45583</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45583</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45583</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45583</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45583</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45583</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45583</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45583</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45583</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45583</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45583</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45583</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45583</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45583</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45583</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45583</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45583</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45583</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45583</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45583</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45583</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45583</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45583</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45583</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45583</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45583</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45583</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45583</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45583</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45583</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45583</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45583</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45583</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45583</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45583</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45583</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45583</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45583</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45583</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45583</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45583</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45583</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45583</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45583</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45583</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45583</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45583</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45583</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45583</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45583</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45583</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45583</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45583</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45583</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45583</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45583</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45583</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45583</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45583</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45583</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45583</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45583</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45583</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45583</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45583</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45583</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45583</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45583</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45583</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45583</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45583</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45583</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45583</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45583</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45583</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45583</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45583</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45583</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45583</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45583</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45583</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45583</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45583</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45583</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45583</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45583</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45583</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45583</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45583</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45583</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45583</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45583</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45583</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45583</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45583</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45583</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45583</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45583</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45583</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45583</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45583</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45583</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45583</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45583</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45583</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45583</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45583</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45583</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45583</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45583</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45583</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45583</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45583</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45583</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45583</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45583</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45583</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45583</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45583</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45583</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45583</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45583</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45583</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45583</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45583</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45583</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45583</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45583</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45583</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45583</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45583</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45583</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45583</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45583</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45583</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45583</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45583</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45583</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45583</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45583</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45583</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45583</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45583</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45583</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45583</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45583</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45583</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45583</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45583</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45583</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45583</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45583</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45583</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45583</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45583</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45583</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45583</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45583</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45583</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45583</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45583</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45583</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45583</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45583</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45583</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45583</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45583</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45583</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45583</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45583</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45583</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45583</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45583</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45583</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45583</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45583</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45583</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45583</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45583</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45583</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45583</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45583</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45583</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45583</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45583</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45583</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45583</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45583</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45583</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45583</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45583</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45583</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45583</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45583</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45583</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45583</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45583</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45583</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45583</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45583</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45583</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45583</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45583</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45583</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45583</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45583</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45583</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45583</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45583</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45583</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45583</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45583</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45583</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45583</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45583</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45583</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45583</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45583</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45583</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45583</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45583</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45583</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45583</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45583</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45583</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45583</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45583</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45583</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45583</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45583</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45583</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45583</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45583</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45583</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45583</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45583</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45583</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45583</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45583</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45583</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45583</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45583</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45583</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45583</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45583</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45583</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45583</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45583</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45583</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45583</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45583</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45583</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45583</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45583</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45583</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45583</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45583</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45583</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45583</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45583</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45583</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45583</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45583</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45583</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45583</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45583</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45583</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45583</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45583</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45583</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45583</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45583</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45583</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45583</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45583</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45583</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45583</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45583</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45583</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45583</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45583</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45583</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45583</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45583</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45583</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45583</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45583</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45583</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45583</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45583</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45583</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45583</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45583</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45583</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45583</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45583</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45583</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45583</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45583</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45583</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45583</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45583</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45583</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45583</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45583</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45583</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45583</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45583</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45583</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45583</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45583</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45583</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45583</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45583</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45583</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45583</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45583</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45583</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45583</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45583</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45583</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45583</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45583</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45583</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45583</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45583</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45583</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45583</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45583</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45583</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45583</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45583</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45583</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45583</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45583</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45583</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45583</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45583</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45583</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45583</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45583</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45583</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45583</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45583</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45583</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45583</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45583</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45583</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45583</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45583</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45583</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45583</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45583</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45583</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45583</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45583</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45583</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45583</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45583</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45583</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45583</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45583</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45583</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45583</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45583</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45583</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45583</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45583</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45583</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45583</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45583</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45583</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45583</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45583</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45583</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45583</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45583</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45583</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45583</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45583</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45583</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45583</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45583</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45583</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45583</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45583</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45583</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45583</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45583</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45583</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45583</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45583</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45583</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45583</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45583</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45583</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45583</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45583</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45583</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45583</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45583</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45583</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45583</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45583</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45583</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45583</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45583</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45583</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45583</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45583</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45583</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45583</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45583</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45583</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45583</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45583</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45583</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45583</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45583</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45583</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45583</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45583</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45583</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45583</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45583</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45583</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45583</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45583</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45583</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45583</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45583</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45583</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45583</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45583</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45583</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45583</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45583</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45583</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45583</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45583</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45583</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45583</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45583</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45583</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45583</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45583</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45583</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45583</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45583</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45583</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45583</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45583</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45583</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45583</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45583</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45583</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45583</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45583</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45583</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45583</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45583</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45583</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45583</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45583</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45583</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45583</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45583</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45583</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45583</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45583</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45583</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45583</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45583</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45583</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45583</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45583</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45583</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45583</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45583</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45583</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45583</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45583</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45583</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45583</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45583</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45583</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45583</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45583</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45583</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45583</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45583</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45583</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45583</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45583</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45583</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45583</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45583</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45583</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45583</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45583</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45583</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45583</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45583</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45583</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45583</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45583</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45583</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45583</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45583</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45583</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45583</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45583</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45583</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45583</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45583</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45583</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45583</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45583</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45583</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45583</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45583</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45583</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45583</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45583</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45583</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45583</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45583</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45583</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45583</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45583</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45583</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45583</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45583</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45583</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45583</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45583</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45583</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45583</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45583</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45583</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45583</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45583</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45583</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45583</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45583</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45583</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45583</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45583</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45583</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45583</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45583</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45583</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45583</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45583</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45583</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45583</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45583</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45583</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45583</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45583</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45583</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45583</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45583</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45583</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45583</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45583</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45583</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45583</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45583</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45583</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45583</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45583</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45583</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45583</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45583</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45583</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45583</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45583</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45583</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45583</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45583</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45583</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45583</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45583</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45583</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45583</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45583</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45583</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45583</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45583</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45583</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45583</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45583</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45583</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45583</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45583</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45583</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45583</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45583</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45583</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45583</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45583</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45583</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45583</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45583</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45583</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45583</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45583</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45583</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45583</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45583</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45583</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45583</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45583</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45583</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45583</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45583</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45583</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45583</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45583</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45583</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45583</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45583</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45583</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45583</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45583</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45583</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45583</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45583</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45583</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45583</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45583</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45583</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45583</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45583</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45583</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45583</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45583</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45583</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45583</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45583</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45583</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45583</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45583</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45583</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45583</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45583</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45583</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45583</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45583</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45583</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45583</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45583</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45583</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45583</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45583</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45583</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45583</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45583</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45583</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45583</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45583</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45583</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45583</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45583</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45583</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45583</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45583</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45583</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45583</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45583</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45583</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45583</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45583</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45583</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45583</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45583</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45583</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45583</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45583</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45583</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45583</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45583</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45583</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45583</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45583</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45583</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45583</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45583</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45583</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45583</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45583</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45583</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45583</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45583</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45583</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45583</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45583</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45583</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45583</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45583</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45583</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45583</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45583</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45583</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45583</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45583</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45583</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45583</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45583</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45583</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45583</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45583</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45583</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45583</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45583</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45583</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45583</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45583</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45583</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45583</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45583</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45583</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45583</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45583</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45583</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45583</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45583</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45583</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45583</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45583</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45583</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45583</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45583</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45583</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45583</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45583</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45583</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45583</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45583</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45583</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45583</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45583</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45583</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45583</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45583</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45583</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45583</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45583</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45583</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45583</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45583</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45583</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45583</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45583</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45583</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45583</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45583</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45583</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45583</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45583</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45583</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45583</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45583</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45583</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45583</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45583</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45583</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45583</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45583</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45583</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45583</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45583</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45583</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45583</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45583</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45583</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45583</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45583</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45583</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45583</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45583</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45583</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45583</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45583</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45583</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45583</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45583</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45583</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45583</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45583</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45583</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45583</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45583</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45583</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45583</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45583</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45583</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45583</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45583</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45583</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45583</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45583</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45583</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45583</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45583</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45583</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45583</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45583</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45583</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45583</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45583</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45583</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45583</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45583</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45583</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45583</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45583</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45583</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45583</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45583</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45583</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45583</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45583</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45583</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45583</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45583</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45583</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45583</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45583</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45583</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45583</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45583</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45583</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45583</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45583</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45583</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45583</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45583</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45583</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45583</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45583</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45583</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45583</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45583</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45583</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45583</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45583</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45583</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45583</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45583</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45583</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45583</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45583</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45583</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45583</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45583</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45583</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45583</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45583</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45583</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45583</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45583</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45583</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45583</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45583</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45583</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45583</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45583</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45583</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45583</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45583</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45583</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45583</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45583</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45583</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45583</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45583</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45583</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45583</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45583</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45583</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45583</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45583</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45583</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45583</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45583</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45583</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45583</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45583</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45583</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45583</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45583</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45583</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45583</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45583</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45583</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45583</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45583</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45583</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45583</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45583</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45583</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45583</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45583</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45583</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45583</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45583</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45583</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45583</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45583</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45583</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45583</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45583</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45583</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45583</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45583</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45583</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45583</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45583</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45583</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45583</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45583</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45583</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45583</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45583</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45583</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45583</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45583</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45583</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45583</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45583</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45583</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45583</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45583</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45583</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45583</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45583</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45583</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45583</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45583</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45583</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45583</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45583</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45583</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45583</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45583</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45583</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45583</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45583</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45583</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45583</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45583</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45583</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45583</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45583</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45583</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45583</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45583</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45583</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45583</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45583</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45583</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45583</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45583</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45583</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45583</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45583</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45583</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45583</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45583</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45583</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45583</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45583</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45583</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45583</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45583</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45583</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45583</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45583</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45583</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45583</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45583</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45583</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45583</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45583</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45583</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45583</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45583</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45583</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45583</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45583</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45583</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45583</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45583</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45583</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45583</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45583</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45583</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45583</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45583</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45583</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45583</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45583</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45583</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45583</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45583</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45583</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45583</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45583</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45583</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45583</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45583</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45583</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45583</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45583</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45583</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45583</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45583</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45583</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45583</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45583</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45583</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45583</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45583</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45583</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45583</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45583</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45583</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45583</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45583</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45583</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45583</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45583</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45583</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45583</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45583</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45583</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45583</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45583</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45583</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45583</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45583</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45583</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45583</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45583</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45583</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45583</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45583</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45583</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45583</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45583</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45583</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45583</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45583</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45583</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45583</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45583</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45583</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45583</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45583</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45583</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45583</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45583</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45583</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45583</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45583</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45583</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45583</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45583</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45583</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45583</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45583</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45583</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45583</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45583</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45583</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45583</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45583</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45583</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45583</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45583</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45583</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45583</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45583</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45583</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45583</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45583</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45583</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45583</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45583</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45583</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45583</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45583</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45583</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45583</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45583</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45583</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45583</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45583</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45583</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45583</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45583</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45583</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45583</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45583</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45583</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45583</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45583</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45583</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45583</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45583</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45583</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45583</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45583</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45583</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45583</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45583</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45583</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45583</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45583</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45583</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45583</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45583</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45583</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45583</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45583</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45583</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45583</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45583</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45583</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45583</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45583</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45583</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45583</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45583</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45583</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45583</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45583</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45583</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45583</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45583</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45583</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45583</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45583</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45583</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45583</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45583</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45583</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45583</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45583</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45583</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45583</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45583</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45583</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45583</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45583</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45583</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45583</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45583</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45583</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45583</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45583</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45583</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45583</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45583</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45583</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45583</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45583</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45583</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45583</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45583</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45583</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45583</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45583</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45583</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45583</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45583</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45583</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45583</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45583</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45583</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45583</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45583</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45583</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45583</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45583</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45583</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45583</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45583</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45583</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45583</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45583</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45583</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45583</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45583</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45583</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45583</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45583</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45583</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45583</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45583</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45583</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45583</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45583</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45583</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45583</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45583</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45583</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45583</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45583</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45583</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45583</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45583</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45583</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45583</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45583</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45583</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45583</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45583</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45583</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45583</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45583</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45583</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45583</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45583</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45583</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45583</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45583</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45583</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45583</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45583</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45583</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45583</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45583</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45583</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45583</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45583</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45583</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45583</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45583</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45583</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45583</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45583</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45583</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45583</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45583</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45583</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45583</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45583</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45583</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45583</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45583</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45583</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45583</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45583</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45583</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45583</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45583</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45583</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45583</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45583</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45583</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45583</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45583</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45583</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45583</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45583</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45583</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45583</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45583</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45583</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45583</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45583</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45583</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45583</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45583</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45583</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45583</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45583</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45583</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45583</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45583</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45583</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45583</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45583</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45583</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45583</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45583</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45583</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45583</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45583</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45583</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45583</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45583</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45583</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45583</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45583</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45583</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45583</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45583</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45583</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45583</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45583</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45583</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45583</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45583</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45583</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45583</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45583</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45583</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45583</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45583</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45583</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45583</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45583</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45583</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45583</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45583</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45583</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45583</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45583</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45583</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45583</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45583</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45583</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45583</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45583</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45583</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45583</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45583</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45583</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45583</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45583</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45583</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45583</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45583</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45583</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45583</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45583</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45583</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45583</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45583</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45583</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45583</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45583</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45583</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45583</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45583</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45583</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45583</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45583</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45583</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45583</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45583</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45583</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45583</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45583</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45583</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45583</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45583</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45583</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45583</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45583</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45583</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45583</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45583</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45583</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45583</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45583</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45583</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45583</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45583</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45583</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45583</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45583</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45583</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45583</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45583</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45583</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45583</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45583</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45583</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45583</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45583</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45583</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45583</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45583</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45583</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45583</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45583</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45583</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45583</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45583</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45583</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45583</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45583</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45583</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45583</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45583</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45583</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45583</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45583</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45583</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45583</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45583</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45583</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45583</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45583</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45583</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45583</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45583</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45583</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45583</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45583</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45583</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45583</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45583</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45583</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45583</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45583</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45583</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45583</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45583</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45583</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45583</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45583</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45583</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45583</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45583</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45583</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45583</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45583</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45583</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45583</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45583</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45583</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45583</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45583</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45583</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45583</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45583</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45583</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45583</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45583</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45583</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45583</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45583</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45583</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45583</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45583</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45583</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45583</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45583</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45583</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45583</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45583</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45583</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45583</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45583</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45583</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45583</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45583</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45583</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45583</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45583</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45583</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45583</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45583</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45583</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45583</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45583</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45583</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45583</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45583</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45583</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45583</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45583</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45583</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45583</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45583</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45583</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45583</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45583</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45583</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45583</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45583</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45583</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45583</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45583</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45583</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45583</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45583</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45583</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45583</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45583</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45583</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45583</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45583</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45583</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45583</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45583</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45583</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45583</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45583</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45583</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45583</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45583</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45583</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45583</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45583</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45583</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45583</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45583</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45583</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45583</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45583</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45583</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45583</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45583</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45583</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45583</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45583</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45583</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45583</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45583</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45583</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45583</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45583</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45583</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45583</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45583</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45583</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45583</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45583</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45583</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45583</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45583</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45583</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45583</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45583</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45583</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45583</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45583</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45583</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45583</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45583</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45583</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45583</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45583</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45583</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45583</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45583</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45583</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45583</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45583</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45583</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45583</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45583</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45583</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45583</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45583</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45583</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45583</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45583</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45583</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45583</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45583</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45583</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45583</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45583</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45583</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45583</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45583</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45583</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45583</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45583</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45583</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45583</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45583</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45583</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45583</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45583</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45583</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45583</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45583</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45583</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45583</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45583</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45583</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45583</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45583</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45583</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45583</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45583</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45583</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45583</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45583</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45583</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45583</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45583</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45583</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45583</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45583</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45583</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45583</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45583</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45583</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45583</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45583</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45583</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45583</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45583</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45583</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45583</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45583</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45583</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45583</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45583</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45583</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45583</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45583</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45583</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45583</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45583</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45583</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45583</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45583</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45583</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45583</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45583</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45583</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45583</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45583</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45583</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45583</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45583</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45583</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45583</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45583</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45583</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45583</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45583</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45583</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45583</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45583</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45583</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45583</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45583</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45583</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45583</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45583</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45583</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45583</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45583</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45583</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45583</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45583</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45583</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45583</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45583</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45583</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45583</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45583</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45583</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45583</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45583</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45583</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45583</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45583</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45583</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45583</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45583</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45583</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45583</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45583</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45583</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45583</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45583</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45583</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45583</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45583</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45583</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45583</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45583</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45583</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45583</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45583</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45583</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45583</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45583</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45583</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45583</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45583</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45583</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45583</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45583</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45583</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45583</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45583</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45583</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45583</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45583</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45583</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45583</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45583</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45583</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45583</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45583</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45583</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45583</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45583</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45583</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45583</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45583</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45583</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45583</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45583</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45583</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45583</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45583</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45583</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45583</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45583</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45583</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45583</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45583</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45583</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45583</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45583</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45583</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45583</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45583</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45583</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45583</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45583</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45583</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45583</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45583</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45583</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45583</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45583</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45583</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45583</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45583</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45583</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45583</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45583</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45583</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45583</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45583</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45583</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45583</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45583</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45583</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45583</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45583</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45583</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45583</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45583</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45583</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45583</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45583</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45583</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45583</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45583</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45583</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45583</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45583</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45583</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45583</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45583</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45583</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45583</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45583</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45583</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45583</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45583</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45583</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45583</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45583</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45583</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45583</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45583</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45583</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45583</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45583</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45583</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45583</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45583</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45583</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45583</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45583</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45583</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45583</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45583</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45583</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45583</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45583</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45583</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45583</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45583</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45583</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45583</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45583</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45583</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45583</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45583</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45583</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45583</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45583</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45583</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45583</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45583</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45583</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45583</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45583</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45583</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45583</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45583</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45583</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45583</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45583</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45583</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45583</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45583</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45583</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45583</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45583</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45583</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45583</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45583</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45583</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45583</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45583</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45583</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45583</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45583</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45583</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45583</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45583</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45583</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45583</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45583</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45583</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45583</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45583</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45583</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45583</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45583</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45583</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45583</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45583</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45583</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45583</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45583</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45583</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45583</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45583</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45583</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45583</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45583</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45583</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45583</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45583</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45583</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45583</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45583</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45583</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45583</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45583</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45583</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45583</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45583</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45583</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45583</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45583</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45583</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45583</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45583</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45583</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45583</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45583</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45583</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45583</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45583</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45583</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45583</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45583</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45583</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45583</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45583</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45583</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45583</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45583</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45583</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45583</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45583</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45583</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45583</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45583</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45583</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45583</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45583</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45583</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45583</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45583</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45583</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45583</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45583</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45583</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45583</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45583</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45583</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45583</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45583</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45583</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45583</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45583</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45583</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45583</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45583</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45583</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45583</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45583</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45583</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45583</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45583</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45583</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45583</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45583</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45583</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45583</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45583</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45583</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45583</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45583</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45583</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45583</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45583</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45583</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45583</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45583</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45583</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45583</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45583</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45583</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45583</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45583</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45583</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45583</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45583</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45583</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45583</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45583</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45583</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45583</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45583</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45583</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45583</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45583</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45583</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45583</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45583</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45583</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45583</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45583</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45583</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45583</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45583</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45583</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45583</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45583</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45583</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45583</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45583</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45583</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45583</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45583</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45583</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45583</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45583</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45583</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45583</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45583</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45583</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45583</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45583</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45583</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45583</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45583</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45583</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45583</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45583</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45583</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45583</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45583</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45583</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45583</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45583</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45583</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45583</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45583</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45583</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45583</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45583</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45583</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45583</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45583</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45583</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45583</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45583</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45583</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45583</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45583</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45583</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45583</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45583</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45583</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45583</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45583</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45583</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45583</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45583</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45583</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45583</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45583</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45583</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45583</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45583</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45583</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45583</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45583</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45583</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45583</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45583</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45583</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45583</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45583</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45583</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45583</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45583</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45583</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45583</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45583</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45583</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45583</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45583</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45583</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45583</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45583</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45583</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45583</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45583</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45583</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45583</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45583</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45583</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45583</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45583</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45583</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45583</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45583</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45583</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45583</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45583</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45583</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45583</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45583</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45583</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45583</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45583</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45583</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45583</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45583</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45583</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45583</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45583</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45583</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45583</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45583</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45583</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45583</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45583</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45583</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45583</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45583</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45583</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45583</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45583</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45583</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45583</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45583</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45583</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45583</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45583</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45583</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45583</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45583</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45583</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45583</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45583</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45583</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45583</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45583</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45583</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45583</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45583</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45583</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45583</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45583</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45583</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45583</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45583</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45583</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45583</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45583</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45583</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45583</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45583</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45583</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45583</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45583</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45583</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45583</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45583</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45583</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45583</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45583</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45583</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45583</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45583</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45583</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45583</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45583</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45583</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45583</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45583</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45583</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45583</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45583</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45583</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45583</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45583</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45583</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45583</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45583</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45583</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45583</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45583</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45583</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45583</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45583</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45583</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45583</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45583</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45583</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45583</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45583</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45583</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45583</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45583</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45583</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45583</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45583</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45583</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45583</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45583</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45583</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45583</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45583</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45583</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45583</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45583</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45583</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45583</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45583</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45583</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45583</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45583</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45583</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45583</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45583</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45583</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45583</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45583</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45583</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45583</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45583</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45583</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45583</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45583</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45583</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45583</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45583</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45583</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45583</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45583</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45583</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45583</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45583</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45583</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45583</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45583</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45583</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45583</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45583</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45583</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45583</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45583</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45583</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45583</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45583</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45583</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45583</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45583</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45583</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45583</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45583</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45583</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45583</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45583</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45583</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45583</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45583</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45583</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45583</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45583</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45583</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45583</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45583</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45583</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45583</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45583</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45583</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45583</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45583</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45583</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45583</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45583</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45583</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45583</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45583</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45583</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45583</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45583</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45583</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45583</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45583</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45583</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45583</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45583</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45583</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45583</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45583</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45583</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45583</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45583</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45583</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45583</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45583</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45583</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45583</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45583</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45583</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45583</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45583</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45583</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45583</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45583</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45583</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45583</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45583</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45583</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45583</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45583</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45583</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45583</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45583</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45583</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45583</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45583</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45583</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45583</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45583</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45583</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45583</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45583</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45583</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45583</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45583</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45583</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45583</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45583</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45583</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45583</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45583</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45583</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45583</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45583</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45583</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45583</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45583</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45583</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45583</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45583</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45583</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45583</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45583</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45583</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45583</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45583</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45583</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45583</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45583</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45583</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45583</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45583</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45583</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45583</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45583</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45583</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45583</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45583</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45583</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45583</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45583</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45583</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45583</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45583</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45583</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45583</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45583</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45583</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45583</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45583</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45583</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45583</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45583</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45583</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45583</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45583</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45583</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45583</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45583</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45583</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45583</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45583</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45583</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45583</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45583</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45583</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45583</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45583</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45583</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45583</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45583</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45583</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45583</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45583</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45583</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45583</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45583</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45583</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45583</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45583</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45583</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45583</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45583</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45583</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45583</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45583</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45583</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45583</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45583</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45583</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45583</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45583</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45583</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45583</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45583</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45583</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45583</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45583</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45583</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45583</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45583</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45583</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45583</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45583</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45583</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45583</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45583</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45583</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45583</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45583</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45583</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45583</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45583</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45583</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45583</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45583</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45583</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45583</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45583</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45583</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45583</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45583</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45583</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45583</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45583</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45583</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45583</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45583</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45583</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45583</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45583</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45583</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45583</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45583</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45583</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45583</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45583</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45583</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45583</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45583</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45583</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45583</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45583</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45583</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45583</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45583</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45583</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45583</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45583</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45583</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45583</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45583</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45583</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45583</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45583</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45583</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45583</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45583</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45583</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45583</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45583</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45583</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45583</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45583</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45583</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45583</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45583</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45583</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45583</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45583</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45583</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45583</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45583</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45583</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45583</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45583</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45583</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45583</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45583</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45583</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45583</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45583</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45583</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45583</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45583</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45583</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45583</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45583</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45583</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45583</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45583</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45583</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45583</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45583</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45583</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45583</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45583</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45583</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45583</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45583</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45583</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45583</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45583</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45583</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45583</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45583</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45583</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45583</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45583</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45583</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45583</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45583</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45583</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45583</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45583</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45583</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45583</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45583</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45583</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45583</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45583</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45583</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45583</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45583</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45583</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45583</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45583</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45583</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45583</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45583</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45583</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45583</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45583</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45583</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45583</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45583</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45583</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45583</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45583</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45583</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45583</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45583</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45583</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45583</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45583</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45583</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45583</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45583</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45583</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45583</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45583</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45583</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45583</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45583</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45583</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45583</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45583</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45583</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45583</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45583</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45583</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45583</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45583</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45583</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45583</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45583</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45583</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45583</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45583</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45583</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45583</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45583</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45583</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45583</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45583</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45583</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45583</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45583</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45583</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45583</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45583</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45583</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45583</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45583</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45583</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45583</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45583</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45583</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45583</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45583</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45583</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45583</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45583</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45583</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45583</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45583</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45583</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45583</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45583</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45583</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45583</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45583</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45583</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45583</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45583</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45583</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45583</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45583</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45583</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45583</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45583</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45583</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45583</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45583</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45583</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45583</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45583</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45583</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45583</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45583</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45583</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45583</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45583</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45583</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45583</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45583</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45583</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45583</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45583</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45583</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45583</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45583</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45583</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45583</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45583</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45583</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45583</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45583</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45583</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45583</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45583</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45583</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45583</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45583</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45583</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45583</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45583</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45583</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45583</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45583</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45583</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45583</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45583</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45583</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45583</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45583</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45583</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45583</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45583</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45583</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45583</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45583</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45583</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45583</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45583</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45583</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45583</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45583</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45583</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45583</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45583</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45583</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45583</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45583</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45583</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45583</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45583</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45583</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45583</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45583</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45583</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45583</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45583</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45583</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45583</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45583</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45583</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45583</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45583</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45583</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45583</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45583</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45583</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45583</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45583</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45583</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45583</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45583</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45583</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45583</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45583</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45583</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45583</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45583</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45583</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45583</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45583</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45583</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45583</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45583</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45583</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45583</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45583</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45583</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45583</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45583</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45583</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45583</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45583</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45583</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45583</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45583</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45583</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45583</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45583</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45583</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45583</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45583</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45583</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45583</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45583</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45583</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45583</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45583</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45583</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45583</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45583</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45583</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45583</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45583</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45583</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45583</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45583</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45583</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45583</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45583</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45583</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45583</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45583</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45583</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45583</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45583</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45583</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45583</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45583</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45583</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45583</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45583</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45583</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45583</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45583</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45583</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45583</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45583</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45583</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45583</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45583</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45583</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45583</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45583</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45583</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45583</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45583</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45583</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45583</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45583</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45583</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45583</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45583</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45583</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45583</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45583</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45583</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45583</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45583</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45583</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45583</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45583</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45583</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45583</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45583</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45583</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45583</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45583</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45583</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45583</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45583</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45583</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45583</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45583</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45583</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45583</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45583</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45583</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45583</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45583</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45583</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45583</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45583</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45583</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45583</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45583</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45583</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45583</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45583</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45583</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45583</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45583</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45583</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45583</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45583</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45583</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45583</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45583</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45583</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45583</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45583</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45583</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45583</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45583</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45583</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45583</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45583</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45583</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45583</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45583</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45583</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45583</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45583</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45583</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45583</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45583</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45583</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45583</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45583</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45583</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45583</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45583</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45583</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45583</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45583</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45583</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45583</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45583</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45583</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45583</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45583</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45583</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45583</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45583</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45583</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45583</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45583</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45583</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45583</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45583</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45583</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45583</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45583</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45583</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45583</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45583</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45583</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45583</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45583</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45583</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45583</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45583</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45583</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45583</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45583</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45583</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45583</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45583</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45583</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45583</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45583</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45583</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45583</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45583</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45583</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45583</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45583</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45583</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45583</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45583</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45583</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45583</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45583</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45583</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45583</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45583</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45583</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45583</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45583</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45583</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45583</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45583</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45583</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45583</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45583</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45583</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45583</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45583</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45583</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45583</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45583</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45583</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45583</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45583</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45583</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45583</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45583</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45583</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45583</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45583</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45583</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45583</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45583</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39249-2024</t>
        </is>
      </c>
      <c r="B12091" s="1" t="n">
        <v>45551</v>
      </c>
      <c r="C12091" s="1" t="n">
        <v>45583</v>
      </c>
      <c r="D12091" t="inlineStr">
        <is>
          <t>GÄVLEBORGS LÄN</t>
        </is>
      </c>
      <c r="E12091" t="inlineStr">
        <is>
          <t>OVANÅKER</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39275-2024</t>
        </is>
      </c>
      <c r="B12092" s="1" t="n">
        <v>45551</v>
      </c>
      <c r="C12092" s="1" t="n">
        <v>45583</v>
      </c>
      <c r="D12092" t="inlineStr">
        <is>
          <t>GÄVLEBORGS LÄN</t>
        </is>
      </c>
      <c r="E12092" t="inlineStr">
        <is>
          <t>HUDIKSVALL</t>
        </is>
      </c>
      <c r="F12092" t="inlineStr">
        <is>
          <t>Holmen skog AB</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39424-2024</t>
        </is>
      </c>
      <c r="B12093" s="1" t="n">
        <v>45551</v>
      </c>
      <c r="C12093" s="1" t="n">
        <v>45583</v>
      </c>
      <c r="D12093" t="inlineStr">
        <is>
          <t>GÄVLEBORGS LÄN</t>
        </is>
      </c>
      <c r="E12093" t="inlineStr">
        <is>
          <t>OCKELBO</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39440-2024</t>
        </is>
      </c>
      <c r="B12094" s="1" t="n">
        <v>45551</v>
      </c>
      <c r="C12094" s="1" t="n">
        <v>45583</v>
      </c>
      <c r="D12094" t="inlineStr">
        <is>
          <t>GÄVLEBORGS LÄN</t>
        </is>
      </c>
      <c r="E12094" t="inlineStr">
        <is>
          <t>HUDIKSVALL</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45583</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39340-2024</t>
        </is>
      </c>
      <c r="B12096" s="1" t="n">
        <v>45551</v>
      </c>
      <c r="C12096" s="1" t="n">
        <v>45583</v>
      </c>
      <c r="D12096" t="inlineStr">
        <is>
          <t>GÄVLEBORGS LÄN</t>
        </is>
      </c>
      <c r="E12096" t="inlineStr">
        <is>
          <t>SANDVIKEN</t>
        </is>
      </c>
      <c r="F12096" t="inlineStr">
        <is>
          <t>Sveaskog</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39457-2024</t>
        </is>
      </c>
      <c r="B12097" s="1" t="n">
        <v>45551</v>
      </c>
      <c r="C12097" s="1" t="n">
        <v>45583</v>
      </c>
      <c r="D12097" t="inlineStr">
        <is>
          <t>GÄVLEBORGS LÄN</t>
        </is>
      </c>
      <c r="E12097" t="inlineStr">
        <is>
          <t>LJUSDAL</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39329-2024</t>
        </is>
      </c>
      <c r="B12098" s="1" t="n">
        <v>45551</v>
      </c>
      <c r="C12098" s="1" t="n">
        <v>45583</v>
      </c>
      <c r="D12098" t="inlineStr">
        <is>
          <t>GÄVLEBORGS LÄN</t>
        </is>
      </c>
      <c r="E12098" t="inlineStr">
        <is>
          <t>OVANÅKER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39337-2024</t>
        </is>
      </c>
      <c r="B12099" s="1" t="n">
        <v>45551</v>
      </c>
      <c r="C12099" s="1" t="n">
        <v>45583</v>
      </c>
      <c r="D12099" t="inlineStr">
        <is>
          <t>GÄVLEBORGS LÄN</t>
        </is>
      </c>
      <c r="E12099" t="inlineStr">
        <is>
          <t>SANDVIKEN</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39322-2024</t>
        </is>
      </c>
      <c r="B12100" s="1" t="n">
        <v>45551</v>
      </c>
      <c r="C12100" s="1" t="n">
        <v>45583</v>
      </c>
      <c r="D12100" t="inlineStr">
        <is>
          <t>GÄVLEBORGS LÄN</t>
        </is>
      </c>
      <c r="E12100" t="inlineStr">
        <is>
          <t>NORDANSTIG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39473-2024</t>
        </is>
      </c>
      <c r="B12101" s="1" t="n">
        <v>45551</v>
      </c>
      <c r="C12101" s="1" t="n">
        <v>45583</v>
      </c>
      <c r="D12101" t="inlineStr">
        <is>
          <t>GÄVLEBORGS LÄN</t>
        </is>
      </c>
      <c r="E12101" t="inlineStr">
        <is>
          <t>OVANÅKER</t>
        </is>
      </c>
      <c r="F12101" t="inlineStr">
        <is>
          <t>Bergvik skog väst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39373-2024</t>
        </is>
      </c>
      <c r="B12102" s="1" t="n">
        <v>45551</v>
      </c>
      <c r="C12102" s="1" t="n">
        <v>45583</v>
      </c>
      <c r="D12102" t="inlineStr">
        <is>
          <t>GÄVLEBORGS LÄN</t>
        </is>
      </c>
      <c r="E12102" t="inlineStr">
        <is>
          <t>OVANÅKER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39417-2024</t>
        </is>
      </c>
      <c r="B12103" s="1" t="n">
        <v>45551</v>
      </c>
      <c r="C12103" s="1" t="n">
        <v>45583</v>
      </c>
      <c r="D12103" t="inlineStr">
        <is>
          <t>GÄVLEBORGS LÄN</t>
        </is>
      </c>
      <c r="E12103" t="inlineStr">
        <is>
          <t>LJUSDAL</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39430-2024</t>
        </is>
      </c>
      <c r="B12104" s="1" t="n">
        <v>45551</v>
      </c>
      <c r="C12104" s="1" t="n">
        <v>45583</v>
      </c>
      <c r="D12104" t="inlineStr">
        <is>
          <t>GÄVLEBORGS LÄN</t>
        </is>
      </c>
      <c r="E12104" t="inlineStr">
        <is>
          <t>OCKELBO</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39342-2024</t>
        </is>
      </c>
      <c r="B12105" s="1" t="n">
        <v>45551</v>
      </c>
      <c r="C12105" s="1" t="n">
        <v>45583</v>
      </c>
      <c r="D12105" t="inlineStr">
        <is>
          <t>GÄVLEBORGS LÄN</t>
        </is>
      </c>
      <c r="E12105" t="inlineStr">
        <is>
          <t>SANDVIKEN</t>
        </is>
      </c>
      <c r="F12105" t="inlineStr">
        <is>
          <t>Sveaskog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39346-2024</t>
        </is>
      </c>
      <c r="B12106" s="1" t="n">
        <v>45551</v>
      </c>
      <c r="C12106" s="1" t="n">
        <v>45583</v>
      </c>
      <c r="D12106" t="inlineStr">
        <is>
          <t>GÄVLEBORGS LÄN</t>
        </is>
      </c>
      <c r="E12106" t="inlineStr">
        <is>
          <t>SÖDERHAMN</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39418-2024</t>
        </is>
      </c>
      <c r="B12107" s="1" t="n">
        <v>45551</v>
      </c>
      <c r="C12107" s="1" t="n">
        <v>45583</v>
      </c>
      <c r="D12107" t="inlineStr">
        <is>
          <t>GÄVLEBORGS LÄN</t>
        </is>
      </c>
      <c r="E12107" t="inlineStr">
        <is>
          <t>LJUSDAL</t>
        </is>
      </c>
      <c r="F12107" t="inlineStr">
        <is>
          <t>Allmännings- och besparingsskogar</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39447-2024</t>
        </is>
      </c>
      <c r="B12108" s="1" t="n">
        <v>45551</v>
      </c>
      <c r="C12108" s="1" t="n">
        <v>45583</v>
      </c>
      <c r="D12108" t="inlineStr">
        <is>
          <t>GÄVLEBORGS LÄN</t>
        </is>
      </c>
      <c r="E12108" t="inlineStr">
        <is>
          <t>OCKELBO</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39463-2024</t>
        </is>
      </c>
      <c r="B12109" s="1" t="n">
        <v>45551</v>
      </c>
      <c r="C12109" s="1" t="n">
        <v>45583</v>
      </c>
      <c r="D12109" t="inlineStr">
        <is>
          <t>GÄVLEBORGS LÄN</t>
        </is>
      </c>
      <c r="E12109" t="inlineStr">
        <is>
          <t>LJUSDAL</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39539-2024</t>
        </is>
      </c>
      <c r="B12110" s="1" t="n">
        <v>45552</v>
      </c>
      <c r="C12110" s="1" t="n">
        <v>45583</v>
      </c>
      <c r="D12110" t="inlineStr">
        <is>
          <t>GÄVLEBORGS LÄN</t>
        </is>
      </c>
      <c r="E12110" t="inlineStr">
        <is>
          <t>OVANÅKER</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39541-2024</t>
        </is>
      </c>
      <c r="B12111" s="1" t="n">
        <v>45552</v>
      </c>
      <c r="C12111" s="1" t="n">
        <v>45583</v>
      </c>
      <c r="D12111" t="inlineStr">
        <is>
          <t>GÄVLEBORGS LÄN</t>
        </is>
      </c>
      <c r="E12111" t="inlineStr">
        <is>
          <t>OVANÅKER</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45583</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39597-2024</t>
        </is>
      </c>
      <c r="B12113" s="1" t="n">
        <v>45552</v>
      </c>
      <c r="C12113" s="1" t="n">
        <v>45583</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39591-2024</t>
        </is>
      </c>
      <c r="B12114" s="1" t="n">
        <v>45552</v>
      </c>
      <c r="C12114" s="1" t="n">
        <v>45583</v>
      </c>
      <c r="D12114" t="inlineStr">
        <is>
          <t>GÄVLEBORGS LÄN</t>
        </is>
      </c>
      <c r="E12114" t="inlineStr">
        <is>
          <t>SANDVIKEN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39665-2024</t>
        </is>
      </c>
      <c r="B12115" s="1" t="n">
        <v>45552</v>
      </c>
      <c r="C12115" s="1" t="n">
        <v>45583</v>
      </c>
      <c r="D12115" t="inlineStr">
        <is>
          <t>GÄVLEBORGS LÄN</t>
        </is>
      </c>
      <c r="E12115" t="inlineStr">
        <is>
          <t>LJUSDAL</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39729-2024</t>
        </is>
      </c>
      <c r="B12116" s="1" t="n">
        <v>45552</v>
      </c>
      <c r="C12116" s="1" t="n">
        <v>45583</v>
      </c>
      <c r="D12116" t="inlineStr">
        <is>
          <t>GÄVLEBORGS LÄN</t>
        </is>
      </c>
      <c r="E12116" t="inlineStr">
        <is>
          <t>OVANÅKER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39657-2024</t>
        </is>
      </c>
      <c r="B12117" s="1" t="n">
        <v>45552</v>
      </c>
      <c r="C12117" s="1" t="n">
        <v>45583</v>
      </c>
      <c r="D12117" t="inlineStr">
        <is>
          <t>GÄVLEBORGS LÄN</t>
        </is>
      </c>
      <c r="E12117" t="inlineStr">
        <is>
          <t>LJUSDAL</t>
        </is>
      </c>
      <c r="F12117" t="inlineStr">
        <is>
          <t>Holmen skog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39917-2024</t>
        </is>
      </c>
      <c r="B12118" s="1" t="n">
        <v>45553</v>
      </c>
      <c r="C12118" s="1" t="n">
        <v>45583</v>
      </c>
      <c r="D12118" t="inlineStr">
        <is>
          <t>GÄVLEBORGS LÄN</t>
        </is>
      </c>
      <c r="E12118" t="inlineStr">
        <is>
          <t>LJUSDAL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39927-2024</t>
        </is>
      </c>
      <c r="B12119" s="1" t="n">
        <v>45553</v>
      </c>
      <c r="C12119" s="1" t="n">
        <v>45583</v>
      </c>
      <c r="D12119" t="inlineStr">
        <is>
          <t>GÄVLEBORGS LÄN</t>
        </is>
      </c>
      <c r="E12119" t="inlineStr">
        <is>
          <t>LJUSDAL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39943-2024</t>
        </is>
      </c>
      <c r="B12120" s="1" t="n">
        <v>45553</v>
      </c>
      <c r="C12120" s="1" t="n">
        <v>45583</v>
      </c>
      <c r="D12120" t="inlineStr">
        <is>
          <t>GÄVLEBORGS LÄN</t>
        </is>
      </c>
      <c r="E12120" t="inlineStr">
        <is>
          <t>NORDANSTIG</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39947-2024</t>
        </is>
      </c>
      <c r="B12121" s="1" t="n">
        <v>45553</v>
      </c>
      <c r="C12121" s="1" t="n">
        <v>45583</v>
      </c>
      <c r="D12121" t="inlineStr">
        <is>
          <t>GÄVLEBORGS LÄN</t>
        </is>
      </c>
      <c r="E12121" t="inlineStr">
        <is>
          <t>LJUSDAL</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39999-2024</t>
        </is>
      </c>
      <c r="B12122" s="1" t="n">
        <v>45553</v>
      </c>
      <c r="C12122" s="1" t="n">
        <v>45583</v>
      </c>
      <c r="D12122" t="inlineStr">
        <is>
          <t>GÄVLEBORGS LÄN</t>
        </is>
      </c>
      <c r="E12122" t="inlineStr">
        <is>
          <t>GÄVLE</t>
        </is>
      </c>
      <c r="F12122" t="inlineStr">
        <is>
          <t>Bergvik skog väst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40048-2024</t>
        </is>
      </c>
      <c r="B12123" s="1" t="n">
        <v>45553</v>
      </c>
      <c r="C12123" s="1" t="n">
        <v>45583</v>
      </c>
      <c r="D12123" t="inlineStr">
        <is>
          <t>GÄVLEBORGS LÄN</t>
        </is>
      </c>
      <c r="E12123" t="inlineStr">
        <is>
          <t>LJUSDAL</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39804-2024</t>
        </is>
      </c>
      <c r="B12124" s="1" t="n">
        <v>45553</v>
      </c>
      <c r="C12124" s="1" t="n">
        <v>45583</v>
      </c>
      <c r="D12124" t="inlineStr">
        <is>
          <t>GÄVLEBORGS LÄN</t>
        </is>
      </c>
      <c r="E12124" t="inlineStr">
        <is>
          <t>GÄVLE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39928-2024</t>
        </is>
      </c>
      <c r="B12125" s="1" t="n">
        <v>45553</v>
      </c>
      <c r="C12125" s="1" t="n">
        <v>45583</v>
      </c>
      <c r="D12125" t="inlineStr">
        <is>
          <t>GÄVLEBORGS LÄN</t>
        </is>
      </c>
      <c r="E12125" t="inlineStr">
        <is>
          <t>LJUSDAL</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40071-2024</t>
        </is>
      </c>
      <c r="B12126" s="1" t="n">
        <v>45554</v>
      </c>
      <c r="C12126" s="1" t="n">
        <v>45583</v>
      </c>
      <c r="D12126" t="inlineStr">
        <is>
          <t>GÄVLEBORGS LÄN</t>
        </is>
      </c>
      <c r="E12126" t="inlineStr">
        <is>
          <t>GÄVLE</t>
        </is>
      </c>
      <c r="F12126" t="inlineStr">
        <is>
          <t>Bergvik skog öst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40073-2024</t>
        </is>
      </c>
      <c r="B12127" s="1" t="n">
        <v>45554</v>
      </c>
      <c r="C12127" s="1" t="n">
        <v>45583</v>
      </c>
      <c r="D12127" t="inlineStr">
        <is>
          <t>GÄVLEBORGS LÄN</t>
        </is>
      </c>
      <c r="E12127" t="inlineStr">
        <is>
          <t>HUDIKSVALL</t>
        </is>
      </c>
      <c r="F12127" t="inlineStr">
        <is>
          <t>Naturvårdsverket</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45583</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45583</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40196-2024</t>
        </is>
      </c>
      <c r="B12130" s="1" t="n">
        <v>45554</v>
      </c>
      <c r="C12130" s="1" t="n">
        <v>45583</v>
      </c>
      <c r="D12130" t="inlineStr">
        <is>
          <t>GÄVLEBORGS LÄN</t>
        </is>
      </c>
      <c r="E12130" t="inlineStr">
        <is>
          <t>OCKELBO</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40259-2024</t>
        </is>
      </c>
      <c r="B12131" s="1" t="n">
        <v>45554</v>
      </c>
      <c r="C12131" s="1" t="n">
        <v>45583</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40078-2024</t>
        </is>
      </c>
      <c r="B12132" s="1" t="n">
        <v>45554</v>
      </c>
      <c r="C12132" s="1" t="n">
        <v>45583</v>
      </c>
      <c r="D12132" t="inlineStr">
        <is>
          <t>GÄVLEBORGS LÄN</t>
        </is>
      </c>
      <c r="E12132" t="inlineStr">
        <is>
          <t>NORDANSTIG</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40098-2024</t>
        </is>
      </c>
      <c r="B12133" s="1" t="n">
        <v>45554</v>
      </c>
      <c r="C12133" s="1" t="n">
        <v>45583</v>
      </c>
      <c r="D12133" t="inlineStr">
        <is>
          <t>GÄVLEBORGS LÄN</t>
        </is>
      </c>
      <c r="E12133" t="inlineStr">
        <is>
          <t>LJUSDAL</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40102-2024</t>
        </is>
      </c>
      <c r="B12134" s="1" t="n">
        <v>45554</v>
      </c>
      <c r="C12134" s="1" t="n">
        <v>45583</v>
      </c>
      <c r="D12134" t="inlineStr">
        <is>
          <t>GÄVLEBORGS LÄN</t>
        </is>
      </c>
      <c r="E12134" t="inlineStr">
        <is>
          <t>HUDIKSVALL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40106-2024</t>
        </is>
      </c>
      <c r="B12135" s="1" t="n">
        <v>45554</v>
      </c>
      <c r="C12135" s="1" t="n">
        <v>45583</v>
      </c>
      <c r="D12135" t="inlineStr">
        <is>
          <t>GÄVLEBORGS LÄN</t>
        </is>
      </c>
      <c r="E12135" t="inlineStr">
        <is>
          <t>LJUSDAL</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40245-2024</t>
        </is>
      </c>
      <c r="B12136" s="1" t="n">
        <v>45554</v>
      </c>
      <c r="C12136" s="1" t="n">
        <v>45583</v>
      </c>
      <c r="D12136" t="inlineStr">
        <is>
          <t>GÄVLEBORGS LÄN</t>
        </is>
      </c>
      <c r="E12136" t="inlineStr">
        <is>
          <t>OCKELBO</t>
        </is>
      </c>
      <c r="F12136" t="inlineStr">
        <is>
          <t>Bergvik skog väst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40096-2024</t>
        </is>
      </c>
      <c r="B12137" s="1" t="n">
        <v>45554</v>
      </c>
      <c r="C12137" s="1" t="n">
        <v>45583</v>
      </c>
      <c r="D12137" t="inlineStr">
        <is>
          <t>GÄVLEBORGS LÄN</t>
        </is>
      </c>
      <c r="E12137" t="inlineStr">
        <is>
          <t>HUDIKSVALL</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40104-2024</t>
        </is>
      </c>
      <c r="B12138" s="1" t="n">
        <v>45554</v>
      </c>
      <c r="C12138" s="1" t="n">
        <v>45583</v>
      </c>
      <c r="D12138" t="inlineStr">
        <is>
          <t>GÄVLEBORGS LÄN</t>
        </is>
      </c>
      <c r="E12138" t="inlineStr">
        <is>
          <t>NORDANSTIG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40112-2024</t>
        </is>
      </c>
      <c r="B12139" s="1" t="n">
        <v>45554</v>
      </c>
      <c r="C12139" s="1" t="n">
        <v>45583</v>
      </c>
      <c r="D12139" t="inlineStr">
        <is>
          <t>GÄVLEBORGS LÄN</t>
        </is>
      </c>
      <c r="E12139" t="inlineStr">
        <is>
          <t>OCKELBO</t>
        </is>
      </c>
      <c r="G12139" t="n">
        <v>17.7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40177-2024</t>
        </is>
      </c>
      <c r="B12140" s="1" t="n">
        <v>45554</v>
      </c>
      <c r="C12140" s="1" t="n">
        <v>45583</v>
      </c>
      <c r="D12140" t="inlineStr">
        <is>
          <t>GÄVLEBORGS LÄN</t>
        </is>
      </c>
      <c r="E12140" t="inlineStr">
        <is>
          <t>HUDIKSVALL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40283-2024</t>
        </is>
      </c>
      <c r="B12141" s="1" t="n">
        <v>45554</v>
      </c>
      <c r="C12141" s="1" t="n">
        <v>45583</v>
      </c>
      <c r="D12141" t="inlineStr">
        <is>
          <t>GÄVLEBORGS LÄN</t>
        </is>
      </c>
      <c r="E12141" t="inlineStr">
        <is>
          <t>OCKELBO</t>
        </is>
      </c>
      <c r="F12141" t="inlineStr">
        <is>
          <t>Bergvik skog väst AB</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45583</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40318-2024</t>
        </is>
      </c>
      <c r="B12143" s="1" t="n">
        <v>45554</v>
      </c>
      <c r="C12143" s="1" t="n">
        <v>45583</v>
      </c>
      <c r="D12143" t="inlineStr">
        <is>
          <t>GÄVLEBORGS LÄN</t>
        </is>
      </c>
      <c r="E12143" t="inlineStr">
        <is>
          <t>LJUSDAL</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40321-2024</t>
        </is>
      </c>
      <c r="B12144" s="1" t="n">
        <v>45554</v>
      </c>
      <c r="C12144" s="1" t="n">
        <v>45583</v>
      </c>
      <c r="D12144" t="inlineStr">
        <is>
          <t>GÄVLEBORGS LÄN</t>
        </is>
      </c>
      <c r="E12144" t="inlineStr">
        <is>
          <t>HUDIKSVALL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40243-2024</t>
        </is>
      </c>
      <c r="B12145" s="1" t="n">
        <v>45554</v>
      </c>
      <c r="C12145" s="1" t="n">
        <v>45583</v>
      </c>
      <c r="D12145" t="inlineStr">
        <is>
          <t>GÄVLEBORGS LÄN</t>
        </is>
      </c>
      <c r="E12145" t="inlineStr">
        <is>
          <t>OCKELBO</t>
        </is>
      </c>
      <c r="F12145" t="inlineStr">
        <is>
          <t>Bergvik skog väst AB</t>
        </is>
      </c>
      <c r="G12145" t="n">
        <v>14.8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40332-2024</t>
        </is>
      </c>
      <c r="B12146" s="1" t="n">
        <v>45555</v>
      </c>
      <c r="C12146" s="1" t="n">
        <v>45583</v>
      </c>
      <c r="D12146" t="inlineStr">
        <is>
          <t>GÄVLEBORGS LÄN</t>
        </is>
      </c>
      <c r="E12146" t="inlineStr">
        <is>
          <t>HUDIKSVALL</t>
        </is>
      </c>
      <c r="F12146" t="inlineStr">
        <is>
          <t>Naturvårdsverket</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40336-2024</t>
        </is>
      </c>
      <c r="B12147" s="1" t="n">
        <v>45555</v>
      </c>
      <c r="C12147" s="1" t="n">
        <v>45583</v>
      </c>
      <c r="D12147" t="inlineStr">
        <is>
          <t>GÄVLEBORGS LÄN</t>
        </is>
      </c>
      <c r="E12147" t="inlineStr">
        <is>
          <t>BOLLNÄS</t>
        </is>
      </c>
      <c r="F12147" t="inlineStr">
        <is>
          <t>Bergvik skog väst AB</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40386-2024</t>
        </is>
      </c>
      <c r="B12148" s="1" t="n">
        <v>45555</v>
      </c>
      <c r="C12148" s="1" t="n">
        <v>45583</v>
      </c>
      <c r="D12148" t="inlineStr">
        <is>
          <t>GÄVLEBORGS LÄN</t>
        </is>
      </c>
      <c r="E12148" t="inlineStr">
        <is>
          <t>BOLLNÄS</t>
        </is>
      </c>
      <c r="F12148" t="inlineStr">
        <is>
          <t>Bergvik skog väst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40460-2024</t>
        </is>
      </c>
      <c r="B12149" s="1" t="n">
        <v>45555</v>
      </c>
      <c r="C12149" s="1" t="n">
        <v>45583</v>
      </c>
      <c r="D12149" t="inlineStr">
        <is>
          <t>GÄVLEBORGS LÄN</t>
        </is>
      </c>
      <c r="E12149" t="inlineStr">
        <is>
          <t>SANDVIKEN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40402-2024</t>
        </is>
      </c>
      <c r="B12150" s="1" t="n">
        <v>45555</v>
      </c>
      <c r="C12150" s="1" t="n">
        <v>45583</v>
      </c>
      <c r="D12150" t="inlineStr">
        <is>
          <t>GÄVLEBORGS LÄN</t>
        </is>
      </c>
      <c r="E12150" t="inlineStr">
        <is>
          <t>GÄVLE</t>
        </is>
      </c>
      <c r="F12150" t="inlineStr">
        <is>
          <t>Kyrkan</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40476-2024</t>
        </is>
      </c>
      <c r="B12151" s="1" t="n">
        <v>45555</v>
      </c>
      <c r="C12151" s="1" t="n">
        <v>45583</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40480-2024</t>
        </is>
      </c>
      <c r="B12152" s="1" t="n">
        <v>45555</v>
      </c>
      <c r="C12152" s="1" t="n">
        <v>45583</v>
      </c>
      <c r="D12152" t="inlineStr">
        <is>
          <t>GÄVLEBORGS LÄN</t>
        </is>
      </c>
      <c r="E12152" t="inlineStr">
        <is>
          <t>NORDANSTIG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40520-2024</t>
        </is>
      </c>
      <c r="B12153" s="1" t="n">
        <v>45555</v>
      </c>
      <c r="C12153" s="1" t="n">
        <v>45583</v>
      </c>
      <c r="D12153" t="inlineStr">
        <is>
          <t>GÄVLEBORGS LÄN</t>
        </is>
      </c>
      <c r="E12153" t="inlineStr">
        <is>
          <t>BOLLNÄS</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40459-2024</t>
        </is>
      </c>
      <c r="B12154" s="1" t="n">
        <v>45555</v>
      </c>
      <c r="C12154" s="1" t="n">
        <v>45583</v>
      </c>
      <c r="D12154" t="inlineStr">
        <is>
          <t>GÄVLEBORGS LÄN</t>
        </is>
      </c>
      <c r="E12154" t="inlineStr">
        <is>
          <t>BOLLNÄS</t>
        </is>
      </c>
      <c r="F12154" t="inlineStr">
        <is>
          <t>Bergvik skog väst AB</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40479-2024</t>
        </is>
      </c>
      <c r="B12155" s="1" t="n">
        <v>45555</v>
      </c>
      <c r="C12155" s="1" t="n">
        <v>45583</v>
      </c>
      <c r="D12155" t="inlineStr">
        <is>
          <t>GÄVLEBORGS LÄN</t>
        </is>
      </c>
      <c r="E12155" t="inlineStr">
        <is>
          <t>OVANÅKER</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40487-2024</t>
        </is>
      </c>
      <c r="B12156" s="1" t="n">
        <v>45555</v>
      </c>
      <c r="C12156" s="1" t="n">
        <v>45583</v>
      </c>
      <c r="D12156" t="inlineStr">
        <is>
          <t>GÄVLEBORGS LÄN</t>
        </is>
      </c>
      <c r="E12156" t="inlineStr">
        <is>
          <t>BOLLNÄS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40507-2024</t>
        </is>
      </c>
      <c r="B12157" s="1" t="n">
        <v>45555</v>
      </c>
      <c r="C12157" s="1" t="n">
        <v>45583</v>
      </c>
      <c r="D12157" t="inlineStr">
        <is>
          <t>GÄVLEBORGS LÄN</t>
        </is>
      </c>
      <c r="E12157" t="inlineStr">
        <is>
          <t>GÄVLE</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40515-2024</t>
        </is>
      </c>
      <c r="B12158" s="1" t="n">
        <v>45555</v>
      </c>
      <c r="C12158" s="1" t="n">
        <v>45583</v>
      </c>
      <c r="D12158" t="inlineStr">
        <is>
          <t>GÄVLEBORGS LÄN</t>
        </is>
      </c>
      <c r="E12158" t="inlineStr">
        <is>
          <t>GÄVLE</t>
        </is>
      </c>
      <c r="F12158" t="inlineStr">
        <is>
          <t>Bergvik skog öst AB</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40364-2024</t>
        </is>
      </c>
      <c r="B12159" s="1" t="n">
        <v>45555</v>
      </c>
      <c r="C12159" s="1" t="n">
        <v>45583</v>
      </c>
      <c r="D12159" t="inlineStr">
        <is>
          <t>GÄVLEBORGS LÄN</t>
        </is>
      </c>
      <c r="E12159" t="inlineStr">
        <is>
          <t>HUDIKSVALL</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40453-2024</t>
        </is>
      </c>
      <c r="B12160" s="1" t="n">
        <v>45555</v>
      </c>
      <c r="C12160" s="1" t="n">
        <v>45583</v>
      </c>
      <c r="D12160" t="inlineStr">
        <is>
          <t>GÄVLEBORGS LÄN</t>
        </is>
      </c>
      <c r="E12160" t="inlineStr">
        <is>
          <t>BOLLNÄS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40477-2024</t>
        </is>
      </c>
      <c r="B12161" s="1" t="n">
        <v>45555</v>
      </c>
      <c r="C12161" s="1" t="n">
        <v>45583</v>
      </c>
      <c r="D12161" t="inlineStr">
        <is>
          <t>GÄVLEBORGS LÄN</t>
        </is>
      </c>
      <c r="E12161" t="inlineStr">
        <is>
          <t>NORDANSTIG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40481-2024</t>
        </is>
      </c>
      <c r="B12162" s="1" t="n">
        <v>45555</v>
      </c>
      <c r="C12162" s="1" t="n">
        <v>45583</v>
      </c>
      <c r="D12162" t="inlineStr">
        <is>
          <t>GÄVLEBORGS LÄN</t>
        </is>
      </c>
      <c r="E12162" t="inlineStr">
        <is>
          <t>BOLLNÄS</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40474-2024</t>
        </is>
      </c>
      <c r="B12163" s="1" t="n">
        <v>45555</v>
      </c>
      <c r="C12163" s="1" t="n">
        <v>45583</v>
      </c>
      <c r="D12163" t="inlineStr">
        <is>
          <t>GÄVLEBORGS LÄN</t>
        </is>
      </c>
      <c r="E12163" t="inlineStr">
        <is>
          <t>OVANÅKER</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40486-2024</t>
        </is>
      </c>
      <c r="B12164" s="1" t="n">
        <v>45555</v>
      </c>
      <c r="C12164" s="1" t="n">
        <v>45583</v>
      </c>
      <c r="D12164" t="inlineStr">
        <is>
          <t>GÄVLEBORGS LÄN</t>
        </is>
      </c>
      <c r="E12164" t="inlineStr">
        <is>
          <t>BOLLNÄS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40498-2024</t>
        </is>
      </c>
      <c r="B12165" s="1" t="n">
        <v>45555</v>
      </c>
      <c r="C12165" s="1" t="n">
        <v>45583</v>
      </c>
      <c r="D12165" t="inlineStr">
        <is>
          <t>GÄVLEBORGS LÄN</t>
        </is>
      </c>
      <c r="E12165" t="inlineStr">
        <is>
          <t>NORDANSTIG</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45583</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45583</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40723-2024</t>
        </is>
      </c>
      <c r="B12168" s="1" t="n">
        <v>45558</v>
      </c>
      <c r="C12168" s="1" t="n">
        <v>45583</v>
      </c>
      <c r="D12168" t="inlineStr">
        <is>
          <t>GÄVLEBORGS LÄN</t>
        </is>
      </c>
      <c r="E12168" t="inlineStr">
        <is>
          <t>HUDIKSVALL</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40793-2024</t>
        </is>
      </c>
      <c r="B12169" s="1" t="n">
        <v>45558</v>
      </c>
      <c r="C12169" s="1" t="n">
        <v>45583</v>
      </c>
      <c r="D12169" t="inlineStr">
        <is>
          <t>GÄVLEBORGS LÄN</t>
        </is>
      </c>
      <c r="E12169" t="inlineStr">
        <is>
          <t>SÖDERHAMN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40886-2024</t>
        </is>
      </c>
      <c r="B12170" s="1" t="n">
        <v>45558</v>
      </c>
      <c r="C12170" s="1" t="n">
        <v>45583</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40863-2024</t>
        </is>
      </c>
      <c r="B12171" s="1" t="n">
        <v>45558</v>
      </c>
      <c r="C12171" s="1" t="n">
        <v>45583</v>
      </c>
      <c r="D12171" t="inlineStr">
        <is>
          <t>GÄVLEBORGS LÄN</t>
        </is>
      </c>
      <c r="E12171" t="inlineStr">
        <is>
          <t>HOFORS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40907-2024</t>
        </is>
      </c>
      <c r="B12172" s="1" t="n">
        <v>45558</v>
      </c>
      <c r="C12172" s="1" t="n">
        <v>45583</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40928-2024</t>
        </is>
      </c>
      <c r="B12173" s="1" t="n">
        <v>45558</v>
      </c>
      <c r="C12173" s="1" t="n">
        <v>45583</v>
      </c>
      <c r="D12173" t="inlineStr">
        <is>
          <t>GÄVLEBORGS LÄN</t>
        </is>
      </c>
      <c r="E12173" t="inlineStr">
        <is>
          <t>BOLLNÄS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40861-2024</t>
        </is>
      </c>
      <c r="B12174" s="1" t="n">
        <v>45558</v>
      </c>
      <c r="C12174" s="1" t="n">
        <v>45583</v>
      </c>
      <c r="D12174" t="inlineStr">
        <is>
          <t>GÄVLEBORGS LÄN</t>
        </is>
      </c>
      <c r="E12174" t="inlineStr">
        <is>
          <t>HOFORS</t>
        </is>
      </c>
      <c r="F12174" t="inlineStr">
        <is>
          <t>Sveaskog</t>
        </is>
      </c>
      <c r="G12174" t="n">
        <v>19.5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40942-2024</t>
        </is>
      </c>
      <c r="B12175" s="1" t="n">
        <v>45558</v>
      </c>
      <c r="C12175" s="1" t="n">
        <v>45583</v>
      </c>
      <c r="D12175" t="inlineStr">
        <is>
          <t>GÄVLEBORGS LÄN</t>
        </is>
      </c>
      <c r="E12175" t="inlineStr">
        <is>
          <t>OVANÅKER</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40946-2024</t>
        </is>
      </c>
      <c r="B12176" s="1" t="n">
        <v>45558</v>
      </c>
      <c r="C12176" s="1" t="n">
        <v>45583</v>
      </c>
      <c r="D12176" t="inlineStr">
        <is>
          <t>GÄVLEBORGS LÄN</t>
        </is>
      </c>
      <c r="E12176" t="inlineStr">
        <is>
          <t>BOLLNÄS</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40979-2024</t>
        </is>
      </c>
      <c r="B12177" s="1" t="n">
        <v>45558</v>
      </c>
      <c r="C12177" s="1" t="n">
        <v>45583</v>
      </c>
      <c r="D12177" t="inlineStr">
        <is>
          <t>GÄVLEBORGS LÄN</t>
        </is>
      </c>
      <c r="E12177" t="inlineStr">
        <is>
          <t>LJUSDAL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40745-2024</t>
        </is>
      </c>
      <c r="B12178" s="1" t="n">
        <v>45558</v>
      </c>
      <c r="C12178" s="1" t="n">
        <v>45583</v>
      </c>
      <c r="D12178" t="inlineStr">
        <is>
          <t>GÄVLEBORGS LÄN</t>
        </is>
      </c>
      <c r="E12178" t="inlineStr">
        <is>
          <t>SANDVIKEN</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40794-2024</t>
        </is>
      </c>
      <c r="B12179" s="1" t="n">
        <v>45558</v>
      </c>
      <c r="C12179" s="1" t="n">
        <v>45583</v>
      </c>
      <c r="D12179" t="inlineStr">
        <is>
          <t>GÄVLEBORGS LÄN</t>
        </is>
      </c>
      <c r="E12179" t="inlineStr">
        <is>
          <t>OCKELBO</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40945-2024</t>
        </is>
      </c>
      <c r="B12180" s="1" t="n">
        <v>45558</v>
      </c>
      <c r="C12180" s="1" t="n">
        <v>45583</v>
      </c>
      <c r="D12180" t="inlineStr">
        <is>
          <t>GÄVLEBORGS LÄN</t>
        </is>
      </c>
      <c r="E12180" t="inlineStr">
        <is>
          <t>OVANÅKER</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40953-2024</t>
        </is>
      </c>
      <c r="B12181" s="1" t="n">
        <v>45558</v>
      </c>
      <c r="C12181" s="1" t="n">
        <v>45583</v>
      </c>
      <c r="D12181" t="inlineStr">
        <is>
          <t>GÄVLEBORGS LÄN</t>
        </is>
      </c>
      <c r="E12181" t="inlineStr">
        <is>
          <t>OVANÅKER</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41100-2024</t>
        </is>
      </c>
      <c r="B12182" s="1" t="n">
        <v>45559</v>
      </c>
      <c r="C12182" s="1" t="n">
        <v>45583</v>
      </c>
      <c r="D12182" t="inlineStr">
        <is>
          <t>GÄVLEBORGS LÄN</t>
        </is>
      </c>
      <c r="E12182" t="inlineStr">
        <is>
          <t>GÄVLE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41117-2024</t>
        </is>
      </c>
      <c r="B12183" s="1" t="n">
        <v>45559</v>
      </c>
      <c r="C12183" s="1" t="n">
        <v>45583</v>
      </c>
      <c r="D12183" t="inlineStr">
        <is>
          <t>GÄVLEBORGS LÄN</t>
        </is>
      </c>
      <c r="E12183" t="inlineStr">
        <is>
          <t>GÄVLE</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41171-2024</t>
        </is>
      </c>
      <c r="B12184" s="1" t="n">
        <v>45559</v>
      </c>
      <c r="C12184" s="1" t="n">
        <v>45583</v>
      </c>
      <c r="D12184" t="inlineStr">
        <is>
          <t>GÄVLEBORGS LÄN</t>
        </is>
      </c>
      <c r="E12184" t="inlineStr">
        <is>
          <t>GÄVLE</t>
        </is>
      </c>
      <c r="F12184" t="inlineStr">
        <is>
          <t>Bergvik skog öst AB</t>
        </is>
      </c>
      <c r="G12184" t="n">
        <v>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41179-2024</t>
        </is>
      </c>
      <c r="B12185" s="1" t="n">
        <v>45559</v>
      </c>
      <c r="C12185" s="1" t="n">
        <v>45583</v>
      </c>
      <c r="D12185" t="inlineStr">
        <is>
          <t>GÄVLEBORGS LÄN</t>
        </is>
      </c>
      <c r="E12185" t="inlineStr">
        <is>
          <t>SANDVIKEN</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41183-2024</t>
        </is>
      </c>
      <c r="B12186" s="1" t="n">
        <v>45559</v>
      </c>
      <c r="C12186" s="1" t="n">
        <v>45583</v>
      </c>
      <c r="D12186" t="inlineStr">
        <is>
          <t>GÄVLEBORGS LÄN</t>
        </is>
      </c>
      <c r="E12186" t="inlineStr">
        <is>
          <t>SANDVIKEN</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41208-2024</t>
        </is>
      </c>
      <c r="B12187" s="1" t="n">
        <v>45559</v>
      </c>
      <c r="C12187" s="1" t="n">
        <v>45583</v>
      </c>
      <c r="D12187" t="inlineStr">
        <is>
          <t>GÄVLEBORGS LÄN</t>
        </is>
      </c>
      <c r="E12187" t="inlineStr">
        <is>
          <t>NORDANSTIG</t>
        </is>
      </c>
      <c r="G12187" t="n">
        <v>23.3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41249-2024</t>
        </is>
      </c>
      <c r="B12188" s="1" t="n">
        <v>45559</v>
      </c>
      <c r="C12188" s="1" t="n">
        <v>45583</v>
      </c>
      <c r="D12188" t="inlineStr">
        <is>
          <t>GÄVLEBORGS LÄN</t>
        </is>
      </c>
      <c r="E12188" t="inlineStr">
        <is>
          <t>HUDIKSVALL</t>
        </is>
      </c>
      <c r="F12188" t="inlineStr">
        <is>
          <t>Holmen skog AB</t>
        </is>
      </c>
      <c r="G12188" t="n">
        <v>16.3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41191-2024</t>
        </is>
      </c>
      <c r="B12189" s="1" t="n">
        <v>45559</v>
      </c>
      <c r="C12189" s="1" t="n">
        <v>45583</v>
      </c>
      <c r="D12189" t="inlineStr">
        <is>
          <t>GÄVLEBORGS LÄN</t>
        </is>
      </c>
      <c r="E12189" t="inlineStr">
        <is>
          <t>HUDIKSVALL</t>
        </is>
      </c>
      <c r="F12189" t="inlineStr">
        <is>
          <t>Holmen skog AB</t>
        </is>
      </c>
      <c r="G12189" t="n">
        <v>15.7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41207-2024</t>
        </is>
      </c>
      <c r="B12190" s="1" t="n">
        <v>45559</v>
      </c>
      <c r="C12190" s="1" t="n">
        <v>45583</v>
      </c>
      <c r="D12190" t="inlineStr">
        <is>
          <t>GÄVLEBORGS LÄN</t>
        </is>
      </c>
      <c r="E12190" t="inlineStr">
        <is>
          <t>NORDANSTIG</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41074-2024</t>
        </is>
      </c>
      <c r="B12191" s="1" t="n">
        <v>45559</v>
      </c>
      <c r="C12191" s="1" t="n">
        <v>45583</v>
      </c>
      <c r="D12191" t="inlineStr">
        <is>
          <t>GÄVLEBORGS LÄN</t>
        </is>
      </c>
      <c r="E12191" t="inlineStr">
        <is>
          <t>OCKELBO</t>
        </is>
      </c>
      <c r="F12191" t="inlineStr">
        <is>
          <t>Bergvik skog väst AB</t>
        </is>
      </c>
      <c r="G12191" t="n">
        <v>11.2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41094-2024</t>
        </is>
      </c>
      <c r="B12192" s="1" t="n">
        <v>45559</v>
      </c>
      <c r="C12192" s="1" t="n">
        <v>45583</v>
      </c>
      <c r="D12192" t="inlineStr">
        <is>
          <t>GÄVLEBORGS LÄN</t>
        </is>
      </c>
      <c r="E12192" t="inlineStr">
        <is>
          <t>LJUSDAL</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41098-2024</t>
        </is>
      </c>
      <c r="B12193" s="1" t="n">
        <v>45559</v>
      </c>
      <c r="C12193" s="1" t="n">
        <v>45583</v>
      </c>
      <c r="D12193" t="inlineStr">
        <is>
          <t>GÄVLEBORGS LÄN</t>
        </is>
      </c>
      <c r="E12193" t="inlineStr">
        <is>
          <t>GÄVLE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41168-2024</t>
        </is>
      </c>
      <c r="B12194" s="1" t="n">
        <v>45559</v>
      </c>
      <c r="C12194" s="1" t="n">
        <v>45583</v>
      </c>
      <c r="D12194" t="inlineStr">
        <is>
          <t>GÄVLEBORGS LÄN</t>
        </is>
      </c>
      <c r="E12194" t="inlineStr">
        <is>
          <t>HUDIKSVALL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41194-2024</t>
        </is>
      </c>
      <c r="B12195" s="1" t="n">
        <v>45559</v>
      </c>
      <c r="C12195" s="1" t="n">
        <v>45583</v>
      </c>
      <c r="D12195" t="inlineStr">
        <is>
          <t>GÄVLEBORGS LÄN</t>
        </is>
      </c>
      <c r="E12195" t="inlineStr">
        <is>
          <t>LJUSDAL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41230-2024</t>
        </is>
      </c>
      <c r="B12196" s="1" t="n">
        <v>45559</v>
      </c>
      <c r="C12196" s="1" t="n">
        <v>45583</v>
      </c>
      <c r="D12196" t="inlineStr">
        <is>
          <t>GÄVLEBORGS LÄN</t>
        </is>
      </c>
      <c r="E12196" t="inlineStr">
        <is>
          <t>HUDIKSVALL</t>
        </is>
      </c>
      <c r="F12196" t="inlineStr">
        <is>
          <t>Holmen skog AB</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41357-2024</t>
        </is>
      </c>
      <c r="B12197" s="1" t="n">
        <v>45559</v>
      </c>
      <c r="C12197" s="1" t="n">
        <v>45583</v>
      </c>
      <c r="D12197" t="inlineStr">
        <is>
          <t>GÄVLEBORGS LÄN</t>
        </is>
      </c>
      <c r="E12197" t="inlineStr">
        <is>
          <t>SANDVIKEN</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41163-2024</t>
        </is>
      </c>
      <c r="B12198" s="1" t="n">
        <v>45559</v>
      </c>
      <c r="C12198" s="1" t="n">
        <v>45583</v>
      </c>
      <c r="D12198" t="inlineStr">
        <is>
          <t>GÄVLEBORGS LÄN</t>
        </is>
      </c>
      <c r="E12198" t="inlineStr">
        <is>
          <t>LJUSDAL</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41167-2024</t>
        </is>
      </c>
      <c r="B12199" s="1" t="n">
        <v>45559</v>
      </c>
      <c r="C12199" s="1" t="n">
        <v>45583</v>
      </c>
      <c r="D12199" t="inlineStr">
        <is>
          <t>GÄVLEBORGS LÄN</t>
        </is>
      </c>
      <c r="E12199" t="inlineStr">
        <is>
          <t>LJUSDAL</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41197-2024</t>
        </is>
      </c>
      <c r="B12200" s="1" t="n">
        <v>45559</v>
      </c>
      <c r="C12200" s="1" t="n">
        <v>45583</v>
      </c>
      <c r="D12200" t="inlineStr">
        <is>
          <t>GÄVLEBORGS LÄN</t>
        </is>
      </c>
      <c r="E12200" t="inlineStr">
        <is>
          <t>SÖDERHAMN</t>
        </is>
      </c>
      <c r="G12200" t="n">
        <v>9.1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41254-2024</t>
        </is>
      </c>
      <c r="B12201" s="1" t="n">
        <v>45559</v>
      </c>
      <c r="C12201" s="1" t="n">
        <v>45583</v>
      </c>
      <c r="D12201" t="inlineStr">
        <is>
          <t>GÄVLEBORGS LÄN</t>
        </is>
      </c>
      <c r="E12201" t="inlineStr">
        <is>
          <t>HUDIKSVALL</t>
        </is>
      </c>
      <c r="F12201" t="inlineStr">
        <is>
          <t>Holmen skog AB</t>
        </is>
      </c>
      <c r="G12201" t="n">
        <v>6.4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41258-2024</t>
        </is>
      </c>
      <c r="B12202" s="1" t="n">
        <v>45559</v>
      </c>
      <c r="C12202" s="1" t="n">
        <v>45583</v>
      </c>
      <c r="D12202" t="inlineStr">
        <is>
          <t>GÄVLEBORGS LÄN</t>
        </is>
      </c>
      <c r="E12202" t="inlineStr">
        <is>
          <t>HUDIKSVALL</t>
        </is>
      </c>
      <c r="F12202" t="inlineStr">
        <is>
          <t>Holmen skog AB</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41318-2024</t>
        </is>
      </c>
      <c r="B12203" s="1" t="n">
        <v>45559</v>
      </c>
      <c r="C12203" s="1" t="n">
        <v>45583</v>
      </c>
      <c r="D12203" t="inlineStr">
        <is>
          <t>GÄVLEBORGS LÄN</t>
        </is>
      </c>
      <c r="E12203" t="inlineStr">
        <is>
          <t>NORDANSTIG</t>
        </is>
      </c>
      <c r="F12203" t="inlineStr">
        <is>
          <t>Holmen skog AB</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41383-2024</t>
        </is>
      </c>
      <c r="B12204" s="1" t="n">
        <v>45560</v>
      </c>
      <c r="C12204" s="1" t="n">
        <v>45583</v>
      </c>
      <c r="D12204" t="inlineStr">
        <is>
          <t>GÄVLEBORGS LÄN</t>
        </is>
      </c>
      <c r="E12204" t="inlineStr">
        <is>
          <t>SANDVIKEN</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41385-2024</t>
        </is>
      </c>
      <c r="B12205" s="1" t="n">
        <v>45560</v>
      </c>
      <c r="C12205" s="1" t="n">
        <v>45583</v>
      </c>
      <c r="D12205" t="inlineStr">
        <is>
          <t>GÄVLEBORGS LÄN</t>
        </is>
      </c>
      <c r="E12205" t="inlineStr">
        <is>
          <t>LJUSDAL</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41521-2024</t>
        </is>
      </c>
      <c r="B12206" s="1" t="n">
        <v>45560</v>
      </c>
      <c r="C12206" s="1" t="n">
        <v>45583</v>
      </c>
      <c r="D12206" t="inlineStr">
        <is>
          <t>GÄVLEBORGS LÄN</t>
        </is>
      </c>
      <c r="E12206" t="inlineStr">
        <is>
          <t>HUDIKSVALL</t>
        </is>
      </c>
      <c r="F12206" t="inlineStr">
        <is>
          <t>Holmen skog AB</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41525-2024</t>
        </is>
      </c>
      <c r="B12207" s="1" t="n">
        <v>45560</v>
      </c>
      <c r="C12207" s="1" t="n">
        <v>45583</v>
      </c>
      <c r="D12207" t="inlineStr">
        <is>
          <t>GÄVLEBORGS LÄN</t>
        </is>
      </c>
      <c r="E12207" t="inlineStr">
        <is>
          <t>GÄVLE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41546-2024</t>
        </is>
      </c>
      <c r="B12208" s="1" t="n">
        <v>45560</v>
      </c>
      <c r="C12208" s="1" t="n">
        <v>45583</v>
      </c>
      <c r="D12208" t="inlineStr">
        <is>
          <t>GÄVLEBORGS LÄN</t>
        </is>
      </c>
      <c r="E12208" t="inlineStr">
        <is>
          <t>OVANÅKER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41453-2024</t>
        </is>
      </c>
      <c r="B12209" s="1" t="n">
        <v>45560</v>
      </c>
      <c r="C12209" s="1" t="n">
        <v>45583</v>
      </c>
      <c r="D12209" t="inlineStr">
        <is>
          <t>GÄVLEBORGS LÄN</t>
        </is>
      </c>
      <c r="E12209" t="inlineStr">
        <is>
          <t>GÄVLE</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41650-2024</t>
        </is>
      </c>
      <c r="B12210" s="1" t="n">
        <v>45560</v>
      </c>
      <c r="C12210" s="1" t="n">
        <v>45583</v>
      </c>
      <c r="D12210" t="inlineStr">
        <is>
          <t>GÄVLEBORGS LÄN</t>
        </is>
      </c>
      <c r="E12210" t="inlineStr">
        <is>
          <t>SÖDERHAMN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41545-2024</t>
        </is>
      </c>
      <c r="B12211" s="1" t="n">
        <v>45560</v>
      </c>
      <c r="C12211" s="1" t="n">
        <v>45583</v>
      </c>
      <c r="D12211" t="inlineStr">
        <is>
          <t>GÄVLEBORGS LÄN</t>
        </is>
      </c>
      <c r="E12211" t="inlineStr">
        <is>
          <t>OVANÅKER</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41597-2024</t>
        </is>
      </c>
      <c r="B12212" s="1" t="n">
        <v>45560</v>
      </c>
      <c r="C12212" s="1" t="n">
        <v>45583</v>
      </c>
      <c r="D12212" t="inlineStr">
        <is>
          <t>GÄVLEBORGS LÄN</t>
        </is>
      </c>
      <c r="E12212" t="inlineStr">
        <is>
          <t>BOLLNÄS</t>
        </is>
      </c>
      <c r="G12212" t="n">
        <v>21.8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41649-2024</t>
        </is>
      </c>
      <c r="B12213" s="1" t="n">
        <v>45560</v>
      </c>
      <c r="C12213" s="1" t="n">
        <v>45583</v>
      </c>
      <c r="D12213" t="inlineStr">
        <is>
          <t>GÄVLEBORGS LÄN</t>
        </is>
      </c>
      <c r="E12213" t="inlineStr">
        <is>
          <t>SÖDERHAMN</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41670-2024</t>
        </is>
      </c>
      <c r="B12214" s="1" t="n">
        <v>45560</v>
      </c>
      <c r="C12214" s="1" t="n">
        <v>45583</v>
      </c>
      <c r="D12214" t="inlineStr">
        <is>
          <t>GÄVLEBORGS LÄN</t>
        </is>
      </c>
      <c r="E12214" t="inlineStr">
        <is>
          <t>BOLLNÄS</t>
        </is>
      </c>
      <c r="G12214" t="n">
        <v>11.5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41547-2024</t>
        </is>
      </c>
      <c r="B12215" s="1" t="n">
        <v>45560</v>
      </c>
      <c r="C12215" s="1" t="n">
        <v>45583</v>
      </c>
      <c r="D12215" t="inlineStr">
        <is>
          <t>GÄVLEBORGS LÄN</t>
        </is>
      </c>
      <c r="E12215" t="inlineStr">
        <is>
          <t>OVANÅKER</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41555-2024</t>
        </is>
      </c>
      <c r="B12216" s="1" t="n">
        <v>45560</v>
      </c>
      <c r="C12216" s="1" t="n">
        <v>45583</v>
      </c>
      <c r="D12216" t="inlineStr">
        <is>
          <t>GÄVLEBORGS LÄN</t>
        </is>
      </c>
      <c r="E12216" t="inlineStr">
        <is>
          <t>HUDIKSVALL</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41559-2024</t>
        </is>
      </c>
      <c r="B12217" s="1" t="n">
        <v>45560</v>
      </c>
      <c r="C12217" s="1" t="n">
        <v>45583</v>
      </c>
      <c r="D12217" t="inlineStr">
        <is>
          <t>GÄVLEBORGS LÄN</t>
        </is>
      </c>
      <c r="E12217" t="inlineStr">
        <is>
          <t>LJUSDAL</t>
        </is>
      </c>
      <c r="F12217" t="inlineStr">
        <is>
          <t>Bergvik skog väst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41591-2024</t>
        </is>
      </c>
      <c r="B12218" s="1" t="n">
        <v>45560</v>
      </c>
      <c r="C12218" s="1" t="n">
        <v>45583</v>
      </c>
      <c r="D12218" t="inlineStr">
        <is>
          <t>GÄVLEBORGS LÄN</t>
        </is>
      </c>
      <c r="E12218" t="inlineStr">
        <is>
          <t>BOLLNÄS</t>
        </is>
      </c>
      <c r="G12218" t="n">
        <v>21.8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41384-2024</t>
        </is>
      </c>
      <c r="B12219" s="1" t="n">
        <v>45560</v>
      </c>
      <c r="C12219" s="1" t="n">
        <v>45583</v>
      </c>
      <c r="D12219" t="inlineStr">
        <is>
          <t>GÄVLEBORGS LÄN</t>
        </is>
      </c>
      <c r="E12219" t="inlineStr">
        <is>
          <t>SANDVIKEN</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41535-2024</t>
        </is>
      </c>
      <c r="B12220" s="1" t="n">
        <v>45560</v>
      </c>
      <c r="C12220" s="1" t="n">
        <v>45583</v>
      </c>
      <c r="D12220" t="inlineStr">
        <is>
          <t>GÄVLEBORGS LÄN</t>
        </is>
      </c>
      <c r="E12220" t="inlineStr">
        <is>
          <t>HUDIKSVALL</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41608-2024</t>
        </is>
      </c>
      <c r="B12221" s="1" t="n">
        <v>45560</v>
      </c>
      <c r="C12221" s="1" t="n">
        <v>45583</v>
      </c>
      <c r="D12221" t="inlineStr">
        <is>
          <t>GÄVLEBORGS LÄN</t>
        </is>
      </c>
      <c r="E12221" t="inlineStr">
        <is>
          <t>NORDANSTIG</t>
        </is>
      </c>
      <c r="F12221" t="inlineStr">
        <is>
          <t>Holmen skog AB</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41648-2024</t>
        </is>
      </c>
      <c r="B12222" s="1" t="n">
        <v>45560</v>
      </c>
      <c r="C12222" s="1" t="n">
        <v>45583</v>
      </c>
      <c r="D12222" t="inlineStr">
        <is>
          <t>GÄVLEBORGS LÄN</t>
        </is>
      </c>
      <c r="E12222" t="inlineStr">
        <is>
          <t>SÖDERHAMN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41736-2024</t>
        </is>
      </c>
      <c r="B12223" s="1" t="n">
        <v>45560</v>
      </c>
      <c r="C12223" s="1" t="n">
        <v>45583</v>
      </c>
      <c r="D12223" t="inlineStr">
        <is>
          <t>GÄVLEBORGS LÄN</t>
        </is>
      </c>
      <c r="E12223" t="inlineStr">
        <is>
          <t>BOLLNÄS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41731-2024</t>
        </is>
      </c>
      <c r="B12224" s="1" t="n">
        <v>45560</v>
      </c>
      <c r="C12224" s="1" t="n">
        <v>45583</v>
      </c>
      <c r="D12224" t="inlineStr">
        <is>
          <t>GÄVLEBORGS LÄN</t>
        </is>
      </c>
      <c r="E12224" t="inlineStr">
        <is>
          <t>LJUSDAL</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41735-2024</t>
        </is>
      </c>
      <c r="B12225" s="1" t="n">
        <v>45560</v>
      </c>
      <c r="C12225" s="1" t="n">
        <v>45583</v>
      </c>
      <c r="D12225" t="inlineStr">
        <is>
          <t>GÄVLEBORGS LÄN</t>
        </is>
      </c>
      <c r="E12225" t="inlineStr">
        <is>
          <t>BOLLNÄS</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41712-2024</t>
        </is>
      </c>
      <c r="B12226" s="1" t="n">
        <v>45560</v>
      </c>
      <c r="C12226" s="1" t="n">
        <v>45583</v>
      </c>
      <c r="D12226" t="inlineStr">
        <is>
          <t>GÄVLEBORGS LÄN</t>
        </is>
      </c>
      <c r="E12226" t="inlineStr">
        <is>
          <t>BOLLNÄS</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41730-2024</t>
        </is>
      </c>
      <c r="B12227" s="1" t="n">
        <v>45560</v>
      </c>
      <c r="C12227" s="1" t="n">
        <v>45583</v>
      </c>
      <c r="D12227" t="inlineStr">
        <is>
          <t>GÄVLEBORGS LÄN</t>
        </is>
      </c>
      <c r="E12227" t="inlineStr">
        <is>
          <t>LJUSDAL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41734-2024</t>
        </is>
      </c>
      <c r="B12228" s="1" t="n">
        <v>45560</v>
      </c>
      <c r="C12228" s="1" t="n">
        <v>45583</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41790-2024</t>
        </is>
      </c>
      <c r="B12229" s="1" t="n">
        <v>45561</v>
      </c>
      <c r="C12229" s="1" t="n">
        <v>45583</v>
      </c>
      <c r="D12229" t="inlineStr">
        <is>
          <t>GÄVLEBORGS LÄN</t>
        </is>
      </c>
      <c r="E12229" t="inlineStr">
        <is>
          <t>SANDVIKEN</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45583</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41774-2024</t>
        </is>
      </c>
      <c r="B12231" s="1" t="n">
        <v>45561</v>
      </c>
      <c r="C12231" s="1" t="n">
        <v>45583</v>
      </c>
      <c r="D12231" t="inlineStr">
        <is>
          <t>GÄVLEBORGS LÄN</t>
        </is>
      </c>
      <c r="E12231" t="inlineStr">
        <is>
          <t>SÖDERHAMN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41803-2024</t>
        </is>
      </c>
      <c r="B12232" s="1" t="n">
        <v>45561</v>
      </c>
      <c r="C12232" s="1" t="n">
        <v>45583</v>
      </c>
      <c r="D12232" t="inlineStr">
        <is>
          <t>GÄVLEBORGS LÄN</t>
        </is>
      </c>
      <c r="E12232" t="inlineStr">
        <is>
          <t>LJUSDAL</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41801-2024</t>
        </is>
      </c>
      <c r="B12233" s="1" t="n">
        <v>45561</v>
      </c>
      <c r="C12233" s="1" t="n">
        <v>45583</v>
      </c>
      <c r="D12233" t="inlineStr">
        <is>
          <t>GÄVLEBORGS LÄN</t>
        </is>
      </c>
      <c r="E12233" t="inlineStr">
        <is>
          <t>LJUSDAL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41922-2024</t>
        </is>
      </c>
      <c r="B12234" s="1" t="n">
        <v>45561</v>
      </c>
      <c r="C12234" s="1" t="n">
        <v>45583</v>
      </c>
      <c r="D12234" t="inlineStr">
        <is>
          <t>GÄVLEBORGS LÄN</t>
        </is>
      </c>
      <c r="E12234" t="inlineStr">
        <is>
          <t>LJUSDAL</t>
        </is>
      </c>
      <c r="F12234" t="inlineStr">
        <is>
          <t>Sveaskog</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41839-2024</t>
        </is>
      </c>
      <c r="B12235" s="1" t="n">
        <v>45561</v>
      </c>
      <c r="C12235" s="1" t="n">
        <v>45583</v>
      </c>
      <c r="D12235" t="inlineStr">
        <is>
          <t>GÄVLEBORGS LÄN</t>
        </is>
      </c>
      <c r="E12235" t="inlineStr">
        <is>
          <t>HUDIKSVALL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41863-2024</t>
        </is>
      </c>
      <c r="B12236" s="1" t="n">
        <v>45561</v>
      </c>
      <c r="C12236" s="1" t="n">
        <v>45583</v>
      </c>
      <c r="D12236" t="inlineStr">
        <is>
          <t>GÄVLEBORGS LÄN</t>
        </is>
      </c>
      <c r="E12236" t="inlineStr">
        <is>
          <t>BOLLNÄS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41879-2024</t>
        </is>
      </c>
      <c r="B12237" s="1" t="n">
        <v>45561</v>
      </c>
      <c r="C12237" s="1" t="n">
        <v>45583</v>
      </c>
      <c r="D12237" t="inlineStr">
        <is>
          <t>GÄVLEBORGS LÄN</t>
        </is>
      </c>
      <c r="E12237" t="inlineStr">
        <is>
          <t>LJUSDAL</t>
        </is>
      </c>
      <c r="G12237" t="n">
        <v>13.1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41994-2024</t>
        </is>
      </c>
      <c r="B12238" s="1" t="n">
        <v>45561</v>
      </c>
      <c r="C12238" s="1" t="n">
        <v>45583</v>
      </c>
      <c r="D12238" t="inlineStr">
        <is>
          <t>GÄVLEBORGS LÄN</t>
        </is>
      </c>
      <c r="E12238" t="inlineStr">
        <is>
          <t>LJUSDAL</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41882-2024</t>
        </is>
      </c>
      <c r="B12239" s="1" t="n">
        <v>45561</v>
      </c>
      <c r="C12239" s="1" t="n">
        <v>45583</v>
      </c>
      <c r="D12239" t="inlineStr">
        <is>
          <t>GÄVLEBORGS LÄN</t>
        </is>
      </c>
      <c r="E12239" t="inlineStr">
        <is>
          <t>LJUSDAL</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41985-2024</t>
        </is>
      </c>
      <c r="B12240" s="1" t="n">
        <v>45561</v>
      </c>
      <c r="C12240" s="1" t="n">
        <v>45583</v>
      </c>
      <c r="D12240" t="inlineStr">
        <is>
          <t>GÄVLEBORGS LÄN</t>
        </is>
      </c>
      <c r="E12240" t="inlineStr">
        <is>
          <t>LJUSDAL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41800-2024</t>
        </is>
      </c>
      <c r="B12241" s="1" t="n">
        <v>45561</v>
      </c>
      <c r="C12241" s="1" t="n">
        <v>45583</v>
      </c>
      <c r="D12241" t="inlineStr">
        <is>
          <t>GÄVLEBORGS LÄN</t>
        </is>
      </c>
      <c r="E12241" t="inlineStr">
        <is>
          <t>SANDVIKEN</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41857-2024</t>
        </is>
      </c>
      <c r="B12242" s="1" t="n">
        <v>45561</v>
      </c>
      <c r="C12242" s="1" t="n">
        <v>45583</v>
      </c>
      <c r="D12242" t="inlineStr">
        <is>
          <t>GÄVLEBORGS LÄN</t>
        </is>
      </c>
      <c r="E12242" t="inlineStr">
        <is>
          <t>HUDIKSVALL</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41865-2024</t>
        </is>
      </c>
      <c r="B12243" s="1" t="n">
        <v>45561</v>
      </c>
      <c r="C12243" s="1" t="n">
        <v>45583</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42035-2024</t>
        </is>
      </c>
      <c r="B12244" s="1" t="n">
        <v>45561</v>
      </c>
      <c r="C12244" s="1" t="n">
        <v>45583</v>
      </c>
      <c r="D12244" t="inlineStr">
        <is>
          <t>GÄVLEBORGS LÄN</t>
        </is>
      </c>
      <c r="E12244" t="inlineStr">
        <is>
          <t>SÖDERHAMN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42068-2024</t>
        </is>
      </c>
      <c r="B12245" s="1" t="n">
        <v>45562</v>
      </c>
      <c r="C12245" s="1" t="n">
        <v>45583</v>
      </c>
      <c r="D12245" t="inlineStr">
        <is>
          <t>GÄVLEBORGS LÄN</t>
        </is>
      </c>
      <c r="E12245" t="inlineStr">
        <is>
          <t>OVANÅKER</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42082-2024</t>
        </is>
      </c>
      <c r="B12246" s="1" t="n">
        <v>45562</v>
      </c>
      <c r="C12246" s="1" t="n">
        <v>45583</v>
      </c>
      <c r="D12246" t="inlineStr">
        <is>
          <t>GÄVLEBORGS LÄN</t>
        </is>
      </c>
      <c r="E12246" t="inlineStr">
        <is>
          <t>LJUSDAL</t>
        </is>
      </c>
      <c r="F12246" t="inlineStr">
        <is>
          <t>Bergvik skog väst AB</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42158-2024</t>
        </is>
      </c>
      <c r="B12247" s="1" t="n">
        <v>45562</v>
      </c>
      <c r="C12247" s="1" t="n">
        <v>45583</v>
      </c>
      <c r="D12247" t="inlineStr">
        <is>
          <t>GÄVLEBORGS LÄN</t>
        </is>
      </c>
      <c r="E12247" t="inlineStr">
        <is>
          <t>LJUSDAL</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42069-2024</t>
        </is>
      </c>
      <c r="B12248" s="1" t="n">
        <v>45562</v>
      </c>
      <c r="C12248" s="1" t="n">
        <v>45583</v>
      </c>
      <c r="D12248" t="inlineStr">
        <is>
          <t>GÄVLEBORGS LÄN</t>
        </is>
      </c>
      <c r="E12248" t="inlineStr">
        <is>
          <t>SANDVIKEN</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42095-2024</t>
        </is>
      </c>
      <c r="B12249" s="1" t="n">
        <v>45562</v>
      </c>
      <c r="C12249" s="1" t="n">
        <v>45583</v>
      </c>
      <c r="D12249" t="inlineStr">
        <is>
          <t>GÄVLEBORGS LÄN</t>
        </is>
      </c>
      <c r="E12249" t="inlineStr">
        <is>
          <t>LJUSDAL</t>
        </is>
      </c>
      <c r="F12249" t="inlineStr">
        <is>
          <t>SCA</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42247-2024</t>
        </is>
      </c>
      <c r="B12250" s="1" t="n">
        <v>45562</v>
      </c>
      <c r="C12250" s="1" t="n">
        <v>45583</v>
      </c>
      <c r="D12250" t="inlineStr">
        <is>
          <t>GÄVLEBORGS LÄN</t>
        </is>
      </c>
      <c r="E12250" t="inlineStr">
        <is>
          <t>GÄVLE</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42265-2024</t>
        </is>
      </c>
      <c r="B12251" s="1" t="n">
        <v>45562</v>
      </c>
      <c r="C12251" s="1" t="n">
        <v>45583</v>
      </c>
      <c r="D12251" t="inlineStr">
        <is>
          <t>GÄVLEBORGS LÄN</t>
        </is>
      </c>
      <c r="E12251" t="inlineStr">
        <is>
          <t>SÖDERHAMN</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42071-2024</t>
        </is>
      </c>
      <c r="B12252" s="1" t="n">
        <v>45562</v>
      </c>
      <c r="C12252" s="1" t="n">
        <v>45583</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42107-2024</t>
        </is>
      </c>
      <c r="B12253" s="1" t="n">
        <v>45562</v>
      </c>
      <c r="C12253" s="1" t="n">
        <v>45583</v>
      </c>
      <c r="D12253" t="inlineStr">
        <is>
          <t>GÄVLEBORGS LÄN</t>
        </is>
      </c>
      <c r="E12253" t="inlineStr">
        <is>
          <t>SANDVIKEN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42164-2024</t>
        </is>
      </c>
      <c r="B12254" s="1" t="n">
        <v>45562</v>
      </c>
      <c r="C12254" s="1" t="n">
        <v>45583</v>
      </c>
      <c r="D12254" t="inlineStr">
        <is>
          <t>GÄVLEBORGS LÄN</t>
        </is>
      </c>
      <c r="E12254" t="inlineStr">
        <is>
          <t>LJUSDAL</t>
        </is>
      </c>
      <c r="F12254" t="inlineStr">
        <is>
          <t>Bergvik skog väst AB</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42253-2024</t>
        </is>
      </c>
      <c r="B12255" s="1" t="n">
        <v>45562</v>
      </c>
      <c r="C12255" s="1" t="n">
        <v>45583</v>
      </c>
      <c r="D12255" t="inlineStr">
        <is>
          <t>GÄVLEBORGS LÄN</t>
        </is>
      </c>
      <c r="E12255" t="inlineStr">
        <is>
          <t>NORDANSTIG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42316-2024</t>
        </is>
      </c>
      <c r="B12256" s="1" t="n">
        <v>45562</v>
      </c>
      <c r="C12256" s="1" t="n">
        <v>45583</v>
      </c>
      <c r="D12256" t="inlineStr">
        <is>
          <t>GÄVLEBORGS LÄN</t>
        </is>
      </c>
      <c r="E12256" t="inlineStr">
        <is>
          <t>OVANÅKER</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42324-2024</t>
        </is>
      </c>
      <c r="B12257" s="1" t="n">
        <v>45562</v>
      </c>
      <c r="C12257" s="1" t="n">
        <v>45583</v>
      </c>
      <c r="D12257" t="inlineStr">
        <is>
          <t>GÄVLEBORGS LÄN</t>
        </is>
      </c>
      <c r="E12257" t="inlineStr">
        <is>
          <t>OVANÅKER</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42101-2024</t>
        </is>
      </c>
      <c r="B12258" s="1" t="n">
        <v>45562</v>
      </c>
      <c r="C12258" s="1" t="n">
        <v>45583</v>
      </c>
      <c r="D12258" t="inlineStr">
        <is>
          <t>GÄVLEBORGS LÄN</t>
        </is>
      </c>
      <c r="E12258" t="inlineStr">
        <is>
          <t>HUDIKSVALL</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42129-2024</t>
        </is>
      </c>
      <c r="B12259" s="1" t="n">
        <v>45562</v>
      </c>
      <c r="C12259" s="1" t="n">
        <v>45583</v>
      </c>
      <c r="D12259" t="inlineStr">
        <is>
          <t>GÄVLEBORGS LÄN</t>
        </is>
      </c>
      <c r="E12259" t="inlineStr">
        <is>
          <t>BOLLNÄS</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42153-2024</t>
        </is>
      </c>
      <c r="B12260" s="1" t="n">
        <v>45562</v>
      </c>
      <c r="C12260" s="1" t="n">
        <v>45583</v>
      </c>
      <c r="D12260" t="inlineStr">
        <is>
          <t>GÄVLEBORGS LÄN</t>
        </is>
      </c>
      <c r="E12260" t="inlineStr">
        <is>
          <t>LJUSDAL</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45583</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42273-2024</t>
        </is>
      </c>
      <c r="B12262" s="1" t="n">
        <v>45562</v>
      </c>
      <c r="C12262" s="1" t="n">
        <v>45583</v>
      </c>
      <c r="D12262" t="inlineStr">
        <is>
          <t>GÄVLEBORGS LÄN</t>
        </is>
      </c>
      <c r="E12262" t="inlineStr">
        <is>
          <t>SÖDERHAMN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42331-2024</t>
        </is>
      </c>
      <c r="B12263" s="1" t="n">
        <v>45562</v>
      </c>
      <c r="C12263" s="1" t="n">
        <v>45583</v>
      </c>
      <c r="D12263" t="inlineStr">
        <is>
          <t>GÄVLEBORGS LÄN</t>
        </is>
      </c>
      <c r="E12263" t="inlineStr">
        <is>
          <t>OVANÅKER</t>
        </is>
      </c>
      <c r="G12263" t="n">
        <v>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42088-2024</t>
        </is>
      </c>
      <c r="B12264" s="1" t="n">
        <v>45562</v>
      </c>
      <c r="C12264" s="1" t="n">
        <v>45583</v>
      </c>
      <c r="D12264" t="inlineStr">
        <is>
          <t>GÄVLEBORGS LÄN</t>
        </is>
      </c>
      <c r="E12264" t="inlineStr">
        <is>
          <t>SANDVIKEN</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42136-2024</t>
        </is>
      </c>
      <c r="B12265" s="1" t="n">
        <v>45562</v>
      </c>
      <c r="C12265" s="1" t="n">
        <v>45583</v>
      </c>
      <c r="D12265" t="inlineStr">
        <is>
          <t>GÄVLEBORGS LÄN</t>
        </is>
      </c>
      <c r="E12265" t="inlineStr">
        <is>
          <t>HUDIKSVALL</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42144-2024</t>
        </is>
      </c>
      <c r="B12266" s="1" t="n">
        <v>45562</v>
      </c>
      <c r="C12266" s="1" t="n">
        <v>45583</v>
      </c>
      <c r="D12266" t="inlineStr">
        <is>
          <t>GÄVLEBORGS LÄN</t>
        </is>
      </c>
      <c r="E12266" t="inlineStr">
        <is>
          <t>HUDIKSVALL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42152-2024</t>
        </is>
      </c>
      <c r="B12267" s="1" t="n">
        <v>45562</v>
      </c>
      <c r="C12267" s="1" t="n">
        <v>45583</v>
      </c>
      <c r="D12267" t="inlineStr">
        <is>
          <t>GÄVLEBORGS LÄN</t>
        </is>
      </c>
      <c r="E12267" t="inlineStr">
        <is>
          <t>LJUSDAL</t>
        </is>
      </c>
      <c r="F12267" t="inlineStr">
        <is>
          <t>SCA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42217-2024</t>
        </is>
      </c>
      <c r="B12268" s="1" t="n">
        <v>45562</v>
      </c>
      <c r="C12268" s="1" t="n">
        <v>45583</v>
      </c>
      <c r="D12268" t="inlineStr">
        <is>
          <t>GÄVLEBORGS LÄN</t>
        </is>
      </c>
      <c r="E12268" t="inlineStr">
        <is>
          <t>HUDIKSVALL</t>
        </is>
      </c>
      <c r="F12268" t="inlineStr">
        <is>
          <t>Holmen skog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42263-2024</t>
        </is>
      </c>
      <c r="B12269" s="1" t="n">
        <v>45562</v>
      </c>
      <c r="C12269" s="1" t="n">
        <v>45583</v>
      </c>
      <c r="D12269" t="inlineStr">
        <is>
          <t>GÄVLEBORGS LÄN</t>
        </is>
      </c>
      <c r="E12269" t="inlineStr">
        <is>
          <t>LJUSDAL</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42314-2024</t>
        </is>
      </c>
      <c r="B12270" s="1" t="n">
        <v>45562</v>
      </c>
      <c r="C12270" s="1" t="n">
        <v>45583</v>
      </c>
      <c r="D12270" t="inlineStr">
        <is>
          <t>GÄVLEBORGS LÄN</t>
        </is>
      </c>
      <c r="E12270" t="inlineStr">
        <is>
          <t>HUDIKSVALL</t>
        </is>
      </c>
      <c r="F12270" t="inlineStr">
        <is>
          <t>Holmen skog AB</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42322-2024</t>
        </is>
      </c>
      <c r="B12271" s="1" t="n">
        <v>45562</v>
      </c>
      <c r="C12271" s="1" t="n">
        <v>45583</v>
      </c>
      <c r="D12271" t="inlineStr">
        <is>
          <t>GÄVLEBORGS LÄN</t>
        </is>
      </c>
      <c r="E12271" t="inlineStr">
        <is>
          <t>OVANÅKER</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42334-2024</t>
        </is>
      </c>
      <c r="B12272" s="1" t="n">
        <v>45562</v>
      </c>
      <c r="C12272" s="1" t="n">
        <v>45583</v>
      </c>
      <c r="D12272" t="inlineStr">
        <is>
          <t>GÄVLEBORGS LÄN</t>
        </is>
      </c>
      <c r="E12272" t="inlineStr">
        <is>
          <t>OVANÅKER</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42360-2024</t>
        </is>
      </c>
      <c r="B12273" s="1" t="n">
        <v>45562</v>
      </c>
      <c r="C12273" s="1" t="n">
        <v>45583</v>
      </c>
      <c r="D12273" t="inlineStr">
        <is>
          <t>GÄVLEBORGS LÄN</t>
        </is>
      </c>
      <c r="E12273" t="inlineStr">
        <is>
          <t>GÄVLE</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42417-2024</t>
        </is>
      </c>
      <c r="B12274" s="1" t="n">
        <v>45565</v>
      </c>
      <c r="C12274" s="1" t="n">
        <v>45583</v>
      </c>
      <c r="D12274" t="inlineStr">
        <is>
          <t>GÄVLEBORGS LÄN</t>
        </is>
      </c>
      <c r="E12274" t="inlineStr">
        <is>
          <t>LJUSDAL</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42527-2024</t>
        </is>
      </c>
      <c r="B12275" s="1" t="n">
        <v>45565</v>
      </c>
      <c r="C12275" s="1" t="n">
        <v>45583</v>
      </c>
      <c r="D12275" t="inlineStr">
        <is>
          <t>GÄVLEBORGS LÄN</t>
        </is>
      </c>
      <c r="E12275" t="inlineStr">
        <is>
          <t>OCKELBO</t>
        </is>
      </c>
      <c r="F12275" t="inlineStr">
        <is>
          <t>Bergvik skog väst AB</t>
        </is>
      </c>
      <c r="G12275" t="n">
        <v>11.4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42521-2024</t>
        </is>
      </c>
      <c r="B12276" s="1" t="n">
        <v>45565</v>
      </c>
      <c r="C12276" s="1" t="n">
        <v>45583</v>
      </c>
      <c r="D12276" t="inlineStr">
        <is>
          <t>GÄVLEBORGS LÄN</t>
        </is>
      </c>
      <c r="E12276" t="inlineStr">
        <is>
          <t>HUDIKSVALL</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42537-2024</t>
        </is>
      </c>
      <c r="B12277" s="1" t="n">
        <v>45565</v>
      </c>
      <c r="C12277" s="1" t="n">
        <v>45583</v>
      </c>
      <c r="D12277" t="inlineStr">
        <is>
          <t>GÄVLEBORGS LÄN</t>
        </is>
      </c>
      <c r="E12277" t="inlineStr">
        <is>
          <t>LJUSDAL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42541-2024</t>
        </is>
      </c>
      <c r="B12278" s="1" t="n">
        <v>45565</v>
      </c>
      <c r="C12278" s="1" t="n">
        <v>45583</v>
      </c>
      <c r="D12278" t="inlineStr">
        <is>
          <t>GÄVLEBORGS LÄN</t>
        </is>
      </c>
      <c r="E12278" t="inlineStr">
        <is>
          <t>BOLLNÄS</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42549-2024</t>
        </is>
      </c>
      <c r="B12279" s="1" t="n">
        <v>45565</v>
      </c>
      <c r="C12279" s="1" t="n">
        <v>45583</v>
      </c>
      <c r="D12279" t="inlineStr">
        <is>
          <t>GÄVLEBORGS LÄN</t>
        </is>
      </c>
      <c r="E12279" t="inlineStr">
        <is>
          <t>SÖDERHAMN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42543-2024</t>
        </is>
      </c>
      <c r="B12280" s="1" t="n">
        <v>45565</v>
      </c>
      <c r="C12280" s="1" t="n">
        <v>45583</v>
      </c>
      <c r="D12280" t="inlineStr">
        <is>
          <t>GÄVLEBORGS LÄN</t>
        </is>
      </c>
      <c r="E12280" t="inlineStr">
        <is>
          <t>BOLLNÄS</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42575-2024</t>
        </is>
      </c>
      <c r="B12281" s="1" t="n">
        <v>45565</v>
      </c>
      <c r="C12281" s="1" t="n">
        <v>45583</v>
      </c>
      <c r="D12281" t="inlineStr">
        <is>
          <t>GÄVLEBORGS LÄN</t>
        </is>
      </c>
      <c r="E12281" t="inlineStr">
        <is>
          <t>BOLLNÄS</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42579-2024</t>
        </is>
      </c>
      <c r="B12282" s="1" t="n">
        <v>45565</v>
      </c>
      <c r="C12282" s="1" t="n">
        <v>45583</v>
      </c>
      <c r="D12282" t="inlineStr">
        <is>
          <t>GÄVLEBORGS LÄN</t>
        </is>
      </c>
      <c r="E12282" t="inlineStr">
        <is>
          <t>BOLLNÄS</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42540-2024</t>
        </is>
      </c>
      <c r="B12283" s="1" t="n">
        <v>45565</v>
      </c>
      <c r="C12283" s="1" t="n">
        <v>45583</v>
      </c>
      <c r="D12283" t="inlineStr">
        <is>
          <t>GÄVLEBORGS LÄN</t>
        </is>
      </c>
      <c r="E12283" t="inlineStr">
        <is>
          <t>LJUSDAL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42570-2024</t>
        </is>
      </c>
      <c r="B12284" s="1" t="n">
        <v>45565</v>
      </c>
      <c r="C12284" s="1" t="n">
        <v>45583</v>
      </c>
      <c r="D12284" t="inlineStr">
        <is>
          <t>GÄVLEBORGS LÄN</t>
        </is>
      </c>
      <c r="E12284" t="inlineStr">
        <is>
          <t>BOLLNÄS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42629-2024</t>
        </is>
      </c>
      <c r="B12285" s="1" t="n">
        <v>45565</v>
      </c>
      <c r="C12285" s="1" t="n">
        <v>45583</v>
      </c>
      <c r="D12285" t="inlineStr">
        <is>
          <t>GÄVLEBORGS LÄN</t>
        </is>
      </c>
      <c r="E12285" t="inlineStr">
        <is>
          <t>HUDIKSVALL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42392-2024</t>
        </is>
      </c>
      <c r="B12286" s="1" t="n">
        <v>45565</v>
      </c>
      <c r="C12286" s="1" t="n">
        <v>45583</v>
      </c>
      <c r="D12286" t="inlineStr">
        <is>
          <t>GÄVLEBORGS LÄN</t>
        </is>
      </c>
      <c r="E12286" t="inlineStr">
        <is>
          <t>LJUSDAL</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42400-2024</t>
        </is>
      </c>
      <c r="B12287" s="1" t="n">
        <v>45565</v>
      </c>
      <c r="C12287" s="1" t="n">
        <v>45583</v>
      </c>
      <c r="D12287" t="inlineStr">
        <is>
          <t>GÄVLEBORGS LÄN</t>
        </is>
      </c>
      <c r="E12287" t="inlineStr">
        <is>
          <t>GÄVLE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42509-2024</t>
        </is>
      </c>
      <c r="B12288" s="1" t="n">
        <v>45565</v>
      </c>
      <c r="C12288" s="1" t="n">
        <v>45583</v>
      </c>
      <c r="D12288" t="inlineStr">
        <is>
          <t>GÄVLEBORGS LÄN</t>
        </is>
      </c>
      <c r="E12288" t="inlineStr">
        <is>
          <t>HUDIKSVALL</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42518-2024</t>
        </is>
      </c>
      <c r="B12289" s="1" t="n">
        <v>45565</v>
      </c>
      <c r="C12289" s="1" t="n">
        <v>45583</v>
      </c>
      <c r="D12289" t="inlineStr">
        <is>
          <t>GÄVLEBORGS LÄN</t>
        </is>
      </c>
      <c r="E12289" t="inlineStr">
        <is>
          <t>HUDIKSVALL</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42580-2024</t>
        </is>
      </c>
      <c r="B12290" s="1" t="n">
        <v>45565</v>
      </c>
      <c r="C12290" s="1" t="n">
        <v>45583</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42644-2024</t>
        </is>
      </c>
      <c r="B12291" s="1" t="n">
        <v>45566</v>
      </c>
      <c r="C12291" s="1" t="n">
        <v>45583</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42643-2024</t>
        </is>
      </c>
      <c r="B12292" s="1" t="n">
        <v>45566</v>
      </c>
      <c r="C12292" s="1" t="n">
        <v>45583</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42659-2024</t>
        </is>
      </c>
      <c r="B12293" s="1" t="n">
        <v>45566</v>
      </c>
      <c r="C12293" s="1" t="n">
        <v>45583</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42692-2024</t>
        </is>
      </c>
      <c r="B12294" s="1" t="n">
        <v>45566</v>
      </c>
      <c r="C12294" s="1" t="n">
        <v>45583</v>
      </c>
      <c r="D12294" t="inlineStr">
        <is>
          <t>GÄVLEBORGS LÄN</t>
        </is>
      </c>
      <c r="E12294" t="inlineStr">
        <is>
          <t>HUDIKSVALL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42687-2024</t>
        </is>
      </c>
      <c r="B12295" s="1" t="n">
        <v>45566</v>
      </c>
      <c r="C12295" s="1" t="n">
        <v>45583</v>
      </c>
      <c r="D12295" t="inlineStr">
        <is>
          <t>GÄVLEBORGS LÄN</t>
        </is>
      </c>
      <c r="E12295" t="inlineStr">
        <is>
          <t>HUDIKSVALL</t>
        </is>
      </c>
      <c r="F12295" t="inlineStr">
        <is>
          <t>Holmen skog AB</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42701-2024</t>
        </is>
      </c>
      <c r="B12296" s="1" t="n">
        <v>45566</v>
      </c>
      <c r="C12296" s="1" t="n">
        <v>45583</v>
      </c>
      <c r="D12296" t="inlineStr">
        <is>
          <t>GÄVLEBORGS LÄN</t>
        </is>
      </c>
      <c r="E12296" t="inlineStr">
        <is>
          <t>NORDANSTIG</t>
        </is>
      </c>
      <c r="F12296" t="inlineStr">
        <is>
          <t>Holmen skog AB</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45583</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45583</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45583</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45583</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45583</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45583</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42720-2024</t>
        </is>
      </c>
      <c r="B12303" s="1" t="n">
        <v>45566</v>
      </c>
      <c r="C12303" s="1" t="n">
        <v>45583</v>
      </c>
      <c r="D12303" t="inlineStr">
        <is>
          <t>GÄVLEBORGS LÄN</t>
        </is>
      </c>
      <c r="E12303" t="inlineStr">
        <is>
          <t>LJUSDAL</t>
        </is>
      </c>
      <c r="F12303" t="inlineStr">
        <is>
          <t>Kommuner</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42796-2024</t>
        </is>
      </c>
      <c r="B12304" s="1" t="n">
        <v>45566</v>
      </c>
      <c r="C12304" s="1" t="n">
        <v>45583</v>
      </c>
      <c r="D12304" t="inlineStr">
        <is>
          <t>GÄVLEBORGS LÄN</t>
        </is>
      </c>
      <c r="E12304" t="inlineStr">
        <is>
          <t>NORDANSTIG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45583</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42869-2024</t>
        </is>
      </c>
      <c r="B12306" s="1" t="n">
        <v>45566</v>
      </c>
      <c r="C12306" s="1" t="n">
        <v>45583</v>
      </c>
      <c r="D12306" t="inlineStr">
        <is>
          <t>GÄVLEBORGS LÄN</t>
        </is>
      </c>
      <c r="E12306" t="inlineStr">
        <is>
          <t>SANDVIKEN</t>
        </is>
      </c>
      <c r="F12306" t="inlineStr">
        <is>
          <t>Sveaskog</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42873-2024</t>
        </is>
      </c>
      <c r="B12307" s="1" t="n">
        <v>45566</v>
      </c>
      <c r="C12307" s="1" t="n">
        <v>45583</v>
      </c>
      <c r="D12307" t="inlineStr">
        <is>
          <t>GÄVLEBORGS LÄN</t>
        </is>
      </c>
      <c r="E12307" t="inlineStr">
        <is>
          <t>OCKELBO</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42703-2024</t>
        </is>
      </c>
      <c r="B12308" s="1" t="n">
        <v>45566</v>
      </c>
      <c r="C12308" s="1" t="n">
        <v>45583</v>
      </c>
      <c r="D12308" t="inlineStr">
        <is>
          <t>GÄVLEBORGS LÄN</t>
        </is>
      </c>
      <c r="E12308" t="inlineStr">
        <is>
          <t>LJUSDAL</t>
        </is>
      </c>
      <c r="F12308" t="inlineStr">
        <is>
          <t>Kommuner</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42712-2024</t>
        </is>
      </c>
      <c r="B12309" s="1" t="n">
        <v>45566</v>
      </c>
      <c r="C12309" s="1" t="n">
        <v>45583</v>
      </c>
      <c r="D12309" t="inlineStr">
        <is>
          <t>GÄVLEBORGS LÄN</t>
        </is>
      </c>
      <c r="E12309" t="inlineStr">
        <is>
          <t>LJUSDAL</t>
        </is>
      </c>
      <c r="F12309" t="inlineStr">
        <is>
          <t>Kommuner</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42717-2024</t>
        </is>
      </c>
      <c r="B12310" s="1" t="n">
        <v>45566</v>
      </c>
      <c r="C12310" s="1" t="n">
        <v>45583</v>
      </c>
      <c r="D12310" t="inlineStr">
        <is>
          <t>GÄVLEBORGS LÄN</t>
        </is>
      </c>
      <c r="E12310" t="inlineStr">
        <is>
          <t>NORDANSTIG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42810-2024</t>
        </is>
      </c>
      <c r="B12311" s="1" t="n">
        <v>45566</v>
      </c>
      <c r="C12311" s="1" t="n">
        <v>45583</v>
      </c>
      <c r="D12311" t="inlineStr">
        <is>
          <t>GÄVLEBORGS LÄN</t>
        </is>
      </c>
      <c r="E12311" t="inlineStr">
        <is>
          <t>OCKELBO</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45583</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45583</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43070-2024</t>
        </is>
      </c>
      <c r="B12314" s="1" t="n">
        <v>45567</v>
      </c>
      <c r="C12314" s="1" t="n">
        <v>45583</v>
      </c>
      <c r="D12314" t="inlineStr">
        <is>
          <t>GÄVLEBORGS LÄN</t>
        </is>
      </c>
      <c r="E12314" t="inlineStr">
        <is>
          <t>HUDIKSVALL</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43131-2024</t>
        </is>
      </c>
      <c r="B12315" s="1" t="n">
        <v>45567</v>
      </c>
      <c r="C12315" s="1" t="n">
        <v>45583</v>
      </c>
      <c r="D12315" t="inlineStr">
        <is>
          <t>GÄVLEBORGS LÄN</t>
        </is>
      </c>
      <c r="E12315" t="inlineStr">
        <is>
          <t>BOLLNÄS</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42997-2024</t>
        </is>
      </c>
      <c r="B12316" s="1" t="n">
        <v>45567</v>
      </c>
      <c r="C12316" s="1" t="n">
        <v>45583</v>
      </c>
      <c r="D12316" t="inlineStr">
        <is>
          <t>GÄVLEBORGS LÄN</t>
        </is>
      </c>
      <c r="E12316" t="inlineStr">
        <is>
          <t>LJUSDAL</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43005-2024</t>
        </is>
      </c>
      <c r="B12317" s="1" t="n">
        <v>45567</v>
      </c>
      <c r="C12317" s="1" t="n">
        <v>45583</v>
      </c>
      <c r="D12317" t="inlineStr">
        <is>
          <t>GÄVLEBORGS LÄN</t>
        </is>
      </c>
      <c r="E12317" t="inlineStr">
        <is>
          <t>GÄVLE</t>
        </is>
      </c>
      <c r="F12317" t="inlineStr">
        <is>
          <t>Bergvik skog öst AB</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43042-2024</t>
        </is>
      </c>
      <c r="B12318" s="1" t="n">
        <v>45567</v>
      </c>
      <c r="C12318" s="1" t="n">
        <v>45583</v>
      </c>
      <c r="D12318" t="inlineStr">
        <is>
          <t>GÄVLEBORGS LÄN</t>
        </is>
      </c>
      <c r="E12318" t="inlineStr">
        <is>
          <t>BOLLNÄS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43075-2024</t>
        </is>
      </c>
      <c r="B12319" s="1" t="n">
        <v>45567</v>
      </c>
      <c r="C12319" s="1" t="n">
        <v>45583</v>
      </c>
      <c r="D12319" t="inlineStr">
        <is>
          <t>GÄVLEBORGS LÄN</t>
        </is>
      </c>
      <c r="E12319" t="inlineStr">
        <is>
          <t>NORDANSTIG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43143-2024</t>
        </is>
      </c>
      <c r="B12320" s="1" t="n">
        <v>45567</v>
      </c>
      <c r="C12320" s="1" t="n">
        <v>45583</v>
      </c>
      <c r="D12320" t="inlineStr">
        <is>
          <t>GÄVLEBORGS LÄN</t>
        </is>
      </c>
      <c r="E12320" t="inlineStr">
        <is>
          <t>HOFORS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43151-2024</t>
        </is>
      </c>
      <c r="B12321" s="1" t="n">
        <v>45567</v>
      </c>
      <c r="C12321" s="1" t="n">
        <v>45583</v>
      </c>
      <c r="D12321" t="inlineStr">
        <is>
          <t>GÄVLEBORGS LÄN</t>
        </is>
      </c>
      <c r="E12321" t="inlineStr">
        <is>
          <t>LJUSDAL</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43175-2024</t>
        </is>
      </c>
      <c r="B12322" s="1" t="n">
        <v>45567</v>
      </c>
      <c r="C12322" s="1" t="n">
        <v>45583</v>
      </c>
      <c r="D12322" t="inlineStr">
        <is>
          <t>GÄVLEBORGS LÄN</t>
        </is>
      </c>
      <c r="E12322" t="inlineStr">
        <is>
          <t>OVANÅKER</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43179-2024</t>
        </is>
      </c>
      <c r="B12323" s="1" t="n">
        <v>45567</v>
      </c>
      <c r="C12323" s="1" t="n">
        <v>45583</v>
      </c>
      <c r="D12323" t="inlineStr">
        <is>
          <t>GÄVLEBORGS LÄN</t>
        </is>
      </c>
      <c r="E12323" t="inlineStr">
        <is>
          <t>LJUSDAL</t>
        </is>
      </c>
      <c r="G12323" t="n">
        <v>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43191-2024</t>
        </is>
      </c>
      <c r="B12324" s="1" t="n">
        <v>45567</v>
      </c>
      <c r="C12324" s="1" t="n">
        <v>45583</v>
      </c>
      <c r="D12324" t="inlineStr">
        <is>
          <t>GÄVLEBORGS LÄN</t>
        </is>
      </c>
      <c r="E12324" t="inlineStr">
        <is>
          <t>SÖDERHAMN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43207-2024</t>
        </is>
      </c>
      <c r="B12325" s="1" t="n">
        <v>45567</v>
      </c>
      <c r="C12325" s="1" t="n">
        <v>45583</v>
      </c>
      <c r="D12325" t="inlineStr">
        <is>
          <t>GÄVLEBORGS LÄN</t>
        </is>
      </c>
      <c r="E12325" t="inlineStr">
        <is>
          <t>SANDVIKEN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42942-2024</t>
        </is>
      </c>
      <c r="B12326" s="1" t="n">
        <v>45567</v>
      </c>
      <c r="C12326" s="1" t="n">
        <v>45583</v>
      </c>
      <c r="D12326" t="inlineStr">
        <is>
          <t>GÄVLEBORGS LÄN</t>
        </is>
      </c>
      <c r="E12326" t="inlineStr">
        <is>
          <t>HUDIKSVALL</t>
        </is>
      </c>
      <c r="F12326" t="inlineStr">
        <is>
          <t>Holmen skog AB</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43180-2024</t>
        </is>
      </c>
      <c r="B12327" s="1" t="n">
        <v>45567</v>
      </c>
      <c r="C12327" s="1" t="n">
        <v>45583</v>
      </c>
      <c r="D12327" t="inlineStr">
        <is>
          <t>GÄVLEBORGS LÄN</t>
        </is>
      </c>
      <c r="E12327" t="inlineStr">
        <is>
          <t>LJUSDAL</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43216-2024</t>
        </is>
      </c>
      <c r="B12328" s="1" t="n">
        <v>45567</v>
      </c>
      <c r="C12328" s="1" t="n">
        <v>45583</v>
      </c>
      <c r="D12328" t="inlineStr">
        <is>
          <t>GÄVLEBORGS LÄN</t>
        </is>
      </c>
      <c r="E12328" t="inlineStr">
        <is>
          <t>HUDIKSVALL</t>
        </is>
      </c>
      <c r="F12328" t="inlineStr">
        <is>
          <t>Holmen skog AB</t>
        </is>
      </c>
      <c r="G12328" t="n">
        <v>22.4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43121-2024</t>
        </is>
      </c>
      <c r="B12329" s="1" t="n">
        <v>45567</v>
      </c>
      <c r="C12329" s="1" t="n">
        <v>45583</v>
      </c>
      <c r="D12329" t="inlineStr">
        <is>
          <t>GÄVLEBORGS LÄN</t>
        </is>
      </c>
      <c r="E12329" t="inlineStr">
        <is>
          <t>SANDVIKEN</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43129-2024</t>
        </is>
      </c>
      <c r="B12330" s="1" t="n">
        <v>45567</v>
      </c>
      <c r="C12330" s="1" t="n">
        <v>45583</v>
      </c>
      <c r="D12330" t="inlineStr">
        <is>
          <t>GÄVLEBORGS LÄN</t>
        </is>
      </c>
      <c r="E12330" t="inlineStr">
        <is>
          <t>BOLLNÄS</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43177-2024</t>
        </is>
      </c>
      <c r="B12331" s="1" t="n">
        <v>45567</v>
      </c>
      <c r="C12331" s="1" t="n">
        <v>45583</v>
      </c>
      <c r="D12331" t="inlineStr">
        <is>
          <t>GÄVLEBORGS LÄN</t>
        </is>
      </c>
      <c r="E12331" t="inlineStr">
        <is>
          <t>BOLLNÄS</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43189-2024</t>
        </is>
      </c>
      <c r="B12332" s="1" t="n">
        <v>45567</v>
      </c>
      <c r="C12332" s="1" t="n">
        <v>45583</v>
      </c>
      <c r="D12332" t="inlineStr">
        <is>
          <t>GÄVLEBORGS LÄN</t>
        </is>
      </c>
      <c r="E12332" t="inlineStr">
        <is>
          <t>LJUSDAL</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42991-2024</t>
        </is>
      </c>
      <c r="B12333" s="1" t="n">
        <v>45567</v>
      </c>
      <c r="C12333" s="1" t="n">
        <v>45583</v>
      </c>
      <c r="D12333" t="inlineStr">
        <is>
          <t>GÄVLEBORGS LÄN</t>
        </is>
      </c>
      <c r="E12333" t="inlineStr">
        <is>
          <t>OVANÅKER</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43007-2024</t>
        </is>
      </c>
      <c r="B12334" s="1" t="n">
        <v>45567</v>
      </c>
      <c r="C12334" s="1" t="n">
        <v>45583</v>
      </c>
      <c r="D12334" t="inlineStr">
        <is>
          <t>GÄVLEBORGS LÄN</t>
        </is>
      </c>
      <c r="E12334" t="inlineStr">
        <is>
          <t>GÄVLE</t>
        </is>
      </c>
      <c r="F12334" t="inlineStr">
        <is>
          <t>Bergvik skog öst AB</t>
        </is>
      </c>
      <c r="G12334" t="n">
        <v>14.8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43028-2024</t>
        </is>
      </c>
      <c r="B12335" s="1" t="n">
        <v>45567</v>
      </c>
      <c r="C12335" s="1" t="n">
        <v>45583</v>
      </c>
      <c r="D12335" t="inlineStr">
        <is>
          <t>GÄVLEBORGS LÄN</t>
        </is>
      </c>
      <c r="E12335" t="inlineStr">
        <is>
          <t>BOLLNÄS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43230-2024</t>
        </is>
      </c>
      <c r="B12336" s="1" t="n">
        <v>45567</v>
      </c>
      <c r="C12336" s="1" t="n">
        <v>45583</v>
      </c>
      <c r="D12336" t="inlineStr">
        <is>
          <t>GÄVLEBORGS LÄN</t>
        </is>
      </c>
      <c r="E12336" t="inlineStr">
        <is>
          <t>GÄVLE</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45583</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43310-2024</t>
        </is>
      </c>
      <c r="B12338" s="1" t="n">
        <v>45568</v>
      </c>
      <c r="C12338" s="1" t="n">
        <v>45583</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45583</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45583</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43465-2024</t>
        </is>
      </c>
      <c r="B12341" s="1" t="n">
        <v>45568</v>
      </c>
      <c r="C12341" s="1" t="n">
        <v>45583</v>
      </c>
      <c r="D12341" t="inlineStr">
        <is>
          <t>GÄVLEBORGS LÄN</t>
        </is>
      </c>
      <c r="E12341" t="inlineStr">
        <is>
          <t>NORDANSTIG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43438-2024</t>
        </is>
      </c>
      <c r="B12342" s="1" t="n">
        <v>45568</v>
      </c>
      <c r="C12342" s="1" t="n">
        <v>45583</v>
      </c>
      <c r="D12342" t="inlineStr">
        <is>
          <t>GÄVLEBORGS LÄN</t>
        </is>
      </c>
      <c r="E12342" t="inlineStr">
        <is>
          <t>HUDIKSVALL</t>
        </is>
      </c>
      <c r="F12342" t="inlineStr">
        <is>
          <t>Holmen skog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43458-2024</t>
        </is>
      </c>
      <c r="B12343" s="1" t="n">
        <v>45568</v>
      </c>
      <c r="C12343" s="1" t="n">
        <v>45583</v>
      </c>
      <c r="D12343" t="inlineStr">
        <is>
          <t>GÄVLEBORGS LÄN</t>
        </is>
      </c>
      <c r="E12343" t="inlineStr">
        <is>
          <t>HUDIKSVALL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43504-2024</t>
        </is>
      </c>
      <c r="B12344" s="1" t="n">
        <v>45569</v>
      </c>
      <c r="C12344" s="1" t="n">
        <v>45583</v>
      </c>
      <c r="D12344" t="inlineStr">
        <is>
          <t>GÄVLEBORGS LÄN</t>
        </is>
      </c>
      <c r="E12344" t="inlineStr">
        <is>
          <t>OVANÅKER</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43501-2024</t>
        </is>
      </c>
      <c r="B12345" s="1" t="n">
        <v>45569</v>
      </c>
      <c r="C12345" s="1" t="n">
        <v>45583</v>
      </c>
      <c r="D12345" t="inlineStr">
        <is>
          <t>GÄVLEBORGS LÄN</t>
        </is>
      </c>
      <c r="E12345" t="inlineStr">
        <is>
          <t>HUDIKSVALL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43521-2024</t>
        </is>
      </c>
      <c r="B12346" s="1" t="n">
        <v>45569</v>
      </c>
      <c r="C12346" s="1" t="n">
        <v>45583</v>
      </c>
      <c r="D12346" t="inlineStr">
        <is>
          <t>GÄVLEBORGS LÄN</t>
        </is>
      </c>
      <c r="E12346" t="inlineStr">
        <is>
          <t>OVANÅKER</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43534-2024</t>
        </is>
      </c>
      <c r="B12347" s="1" t="n">
        <v>45569</v>
      </c>
      <c r="C12347" s="1" t="n">
        <v>45583</v>
      </c>
      <c r="D12347" t="inlineStr">
        <is>
          <t>GÄVLEBORGS LÄN</t>
        </is>
      </c>
      <c r="E12347" t="inlineStr">
        <is>
          <t>SÖDERHAMN</t>
        </is>
      </c>
      <c r="F12347" t="inlineStr">
        <is>
          <t>Kommuner</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43542-2024</t>
        </is>
      </c>
      <c r="B12348" s="1" t="n">
        <v>45569</v>
      </c>
      <c r="C12348" s="1" t="n">
        <v>45583</v>
      </c>
      <c r="D12348" t="inlineStr">
        <is>
          <t>GÄVLEBORGS LÄN</t>
        </is>
      </c>
      <c r="E12348" t="inlineStr">
        <is>
          <t>OVANÅKER</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43547-2024</t>
        </is>
      </c>
      <c r="B12349" s="1" t="n">
        <v>45569</v>
      </c>
      <c r="C12349" s="1" t="n">
        <v>45583</v>
      </c>
      <c r="D12349" t="inlineStr">
        <is>
          <t>GÄVLEBORGS LÄN</t>
        </is>
      </c>
      <c r="E12349" t="inlineStr">
        <is>
          <t>OVANÅKER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43499-2024</t>
        </is>
      </c>
      <c r="B12350" s="1" t="n">
        <v>45569</v>
      </c>
      <c r="C12350" s="1" t="n">
        <v>45583</v>
      </c>
      <c r="D12350" t="inlineStr">
        <is>
          <t>GÄVLEBORGS LÄN</t>
        </is>
      </c>
      <c r="E12350" t="inlineStr">
        <is>
          <t>LJUSDAL</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43503-2024</t>
        </is>
      </c>
      <c r="B12351" s="1" t="n">
        <v>45569</v>
      </c>
      <c r="C12351" s="1" t="n">
        <v>45583</v>
      </c>
      <c r="D12351" t="inlineStr">
        <is>
          <t>GÄVLEBORGS LÄN</t>
        </is>
      </c>
      <c r="E12351" t="inlineStr">
        <is>
          <t>OVANÅKER</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43523-2024</t>
        </is>
      </c>
      <c r="B12352" s="1" t="n">
        <v>45569</v>
      </c>
      <c r="C12352" s="1" t="n">
        <v>45583</v>
      </c>
      <c r="D12352" t="inlineStr">
        <is>
          <t>GÄVLEBORGS LÄN</t>
        </is>
      </c>
      <c r="E12352" t="inlineStr">
        <is>
          <t>NORDANSTIG</t>
        </is>
      </c>
      <c r="F12352" t="inlineStr">
        <is>
          <t>Holmen skog AB</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43644-2024</t>
        </is>
      </c>
      <c r="B12353" s="1" t="n">
        <v>45569</v>
      </c>
      <c r="C12353" s="1" t="n">
        <v>45583</v>
      </c>
      <c r="D12353" t="inlineStr">
        <is>
          <t>GÄVLEBORGS LÄN</t>
        </is>
      </c>
      <c r="E12353" t="inlineStr">
        <is>
          <t>HUDIKSVALL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43652-2024</t>
        </is>
      </c>
      <c r="B12354" s="1" t="n">
        <v>45569</v>
      </c>
      <c r="C12354" s="1" t="n">
        <v>45583</v>
      </c>
      <c r="D12354" t="inlineStr">
        <is>
          <t>GÄVLEBORGS LÄN</t>
        </is>
      </c>
      <c r="E12354" t="inlineStr">
        <is>
          <t>GÄVLE</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43668-2024</t>
        </is>
      </c>
      <c r="B12355" s="1" t="n">
        <v>45569</v>
      </c>
      <c r="C12355" s="1" t="n">
        <v>45583</v>
      </c>
      <c r="D12355" t="inlineStr">
        <is>
          <t>GÄVLEBORGS LÄN</t>
        </is>
      </c>
      <c r="E12355" t="inlineStr">
        <is>
          <t>LJUSDAL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43682-2024</t>
        </is>
      </c>
      <c r="B12356" s="1" t="n">
        <v>45569</v>
      </c>
      <c r="C12356" s="1" t="n">
        <v>45583</v>
      </c>
      <c r="D12356" t="inlineStr">
        <is>
          <t>GÄVLEBORGS LÄN</t>
        </is>
      </c>
      <c r="E12356" t="inlineStr">
        <is>
          <t>SÖDERHAMN</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43686-2024</t>
        </is>
      </c>
      <c r="B12357" s="1" t="n">
        <v>45569</v>
      </c>
      <c r="C12357" s="1" t="n">
        <v>45583</v>
      </c>
      <c r="D12357" t="inlineStr">
        <is>
          <t>GÄVLEBORGS LÄN</t>
        </is>
      </c>
      <c r="E12357" t="inlineStr">
        <is>
          <t>GÄVLE</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43544-2024</t>
        </is>
      </c>
      <c r="B12358" s="1" t="n">
        <v>45569</v>
      </c>
      <c r="C12358" s="1" t="n">
        <v>45583</v>
      </c>
      <c r="D12358" t="inlineStr">
        <is>
          <t>GÄVLEBORGS LÄN</t>
        </is>
      </c>
      <c r="E12358" t="inlineStr">
        <is>
          <t>OVANÅKER</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43580-2024</t>
        </is>
      </c>
      <c r="B12359" s="1" t="n">
        <v>45569</v>
      </c>
      <c r="C12359" s="1" t="n">
        <v>45583</v>
      </c>
      <c r="D12359" t="inlineStr">
        <is>
          <t>GÄVLEBORGS LÄN</t>
        </is>
      </c>
      <c r="E12359" t="inlineStr">
        <is>
          <t>LJUSDAL</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43598-2024</t>
        </is>
      </c>
      <c r="B12360" s="1" t="n">
        <v>45569</v>
      </c>
      <c r="C12360" s="1" t="n">
        <v>45583</v>
      </c>
      <c r="D12360" t="inlineStr">
        <is>
          <t>GÄVLEBORGS LÄN</t>
        </is>
      </c>
      <c r="E12360" t="inlineStr">
        <is>
          <t>HUDIKSVALL</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43647-2024</t>
        </is>
      </c>
      <c r="B12361" s="1" t="n">
        <v>45569</v>
      </c>
      <c r="C12361" s="1" t="n">
        <v>45583</v>
      </c>
      <c r="D12361" t="inlineStr">
        <is>
          <t>GÄVLEBORGS LÄN</t>
        </is>
      </c>
      <c r="E12361" t="inlineStr">
        <is>
          <t>HUDIKSVALL</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43498-2024</t>
        </is>
      </c>
      <c r="B12362" s="1" t="n">
        <v>45569</v>
      </c>
      <c r="C12362" s="1" t="n">
        <v>45583</v>
      </c>
      <c r="D12362" t="inlineStr">
        <is>
          <t>GÄVLEBORGS LÄN</t>
        </is>
      </c>
      <c r="E12362" t="inlineStr">
        <is>
          <t>OVANÅKER</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43562-2024</t>
        </is>
      </c>
      <c r="B12363" s="1" t="n">
        <v>45569</v>
      </c>
      <c r="C12363" s="1" t="n">
        <v>45583</v>
      </c>
      <c r="D12363" t="inlineStr">
        <is>
          <t>GÄVLEBORGS LÄN</t>
        </is>
      </c>
      <c r="E12363" t="inlineStr">
        <is>
          <t>LJUSDAL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43625-2024</t>
        </is>
      </c>
      <c r="B12364" s="1" t="n">
        <v>45569</v>
      </c>
      <c r="C12364" s="1" t="n">
        <v>45583</v>
      </c>
      <c r="D12364" t="inlineStr">
        <is>
          <t>GÄVLEBORGS LÄN</t>
        </is>
      </c>
      <c r="E12364" t="inlineStr">
        <is>
          <t>HUDIKSVALL</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43629-2024</t>
        </is>
      </c>
      <c r="B12365" s="1" t="n">
        <v>45569</v>
      </c>
      <c r="C12365" s="1" t="n">
        <v>45583</v>
      </c>
      <c r="D12365" t="inlineStr">
        <is>
          <t>GÄVLEBORGS LÄN</t>
        </is>
      </c>
      <c r="E12365" t="inlineStr">
        <is>
          <t>HUDIKSVALL</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43646-2024</t>
        </is>
      </c>
      <c r="B12366" s="1" t="n">
        <v>45569</v>
      </c>
      <c r="C12366" s="1" t="n">
        <v>45583</v>
      </c>
      <c r="D12366" t="inlineStr">
        <is>
          <t>GÄVLEBORGS LÄN</t>
        </is>
      </c>
      <c r="E12366" t="inlineStr">
        <is>
          <t>HUDIKSVALL</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43661-2024</t>
        </is>
      </c>
      <c r="B12367" s="1" t="n">
        <v>45569</v>
      </c>
      <c r="C12367" s="1" t="n">
        <v>45583</v>
      </c>
      <c r="D12367" t="inlineStr">
        <is>
          <t>GÄVLEBORGS LÄN</t>
        </is>
      </c>
      <c r="E12367" t="inlineStr">
        <is>
          <t>GÄVLE</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43665-2024</t>
        </is>
      </c>
      <c r="B12368" s="1" t="n">
        <v>45569</v>
      </c>
      <c r="C12368" s="1" t="n">
        <v>45583</v>
      </c>
      <c r="D12368" t="inlineStr">
        <is>
          <t>GÄVLEBORGS LÄN</t>
        </is>
      </c>
      <c r="E12368" t="inlineStr">
        <is>
          <t>HUDIKSVALL</t>
        </is>
      </c>
      <c r="F12368" t="inlineStr">
        <is>
          <t>Kommuner</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43695-2024</t>
        </is>
      </c>
      <c r="B12369" s="1" t="n">
        <v>45569</v>
      </c>
      <c r="C12369" s="1" t="n">
        <v>45583</v>
      </c>
      <c r="D12369" t="inlineStr">
        <is>
          <t>GÄVLEBORGS LÄN</t>
        </is>
      </c>
      <c r="E12369" t="inlineStr">
        <is>
          <t>LJUSDAL</t>
        </is>
      </c>
      <c r="G12369" t="n">
        <v>14.7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43764-2024</t>
        </is>
      </c>
      <c r="B12370" s="1" t="n">
        <v>45569</v>
      </c>
      <c r="C12370" s="1" t="n">
        <v>45583</v>
      </c>
      <c r="D12370" t="inlineStr">
        <is>
          <t>GÄVLEBORGS LÄN</t>
        </is>
      </c>
      <c r="E12370" t="inlineStr">
        <is>
          <t>SANDVIKEN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45583</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43979-2024</t>
        </is>
      </c>
      <c r="B12372" s="1" t="n">
        <v>45572</v>
      </c>
      <c r="C12372" s="1" t="n">
        <v>45583</v>
      </c>
      <c r="D12372" t="inlineStr">
        <is>
          <t>GÄVLEBORGS LÄN</t>
        </is>
      </c>
      <c r="E12372" t="inlineStr">
        <is>
          <t>SÖDERHAMN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43983-2024</t>
        </is>
      </c>
      <c r="B12373" s="1" t="n">
        <v>45572</v>
      </c>
      <c r="C12373" s="1" t="n">
        <v>45583</v>
      </c>
      <c r="D12373" t="inlineStr">
        <is>
          <t>GÄVLEBORGS LÄN</t>
        </is>
      </c>
      <c r="E12373" t="inlineStr">
        <is>
          <t>LJUSDAL</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43991-2024</t>
        </is>
      </c>
      <c r="B12374" s="1" t="n">
        <v>45572</v>
      </c>
      <c r="C12374" s="1" t="n">
        <v>45583</v>
      </c>
      <c r="D12374" t="inlineStr">
        <is>
          <t>GÄVLEBORGS LÄN</t>
        </is>
      </c>
      <c r="E12374" t="inlineStr">
        <is>
          <t>OVANÅKER</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44053-2024</t>
        </is>
      </c>
      <c r="B12375" s="1" t="n">
        <v>45572</v>
      </c>
      <c r="C12375" s="1" t="n">
        <v>45583</v>
      </c>
      <c r="D12375" t="inlineStr">
        <is>
          <t>GÄVLEBORGS LÄN</t>
        </is>
      </c>
      <c r="E12375" t="inlineStr">
        <is>
          <t>HUDIKSVALL</t>
        </is>
      </c>
      <c r="F12375" t="inlineStr">
        <is>
          <t>Holmen skog AB</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43986-2024</t>
        </is>
      </c>
      <c r="B12376" s="1" t="n">
        <v>45572</v>
      </c>
      <c r="C12376" s="1" t="n">
        <v>45583</v>
      </c>
      <c r="D12376" t="inlineStr">
        <is>
          <t>GÄVLEBORGS LÄN</t>
        </is>
      </c>
      <c r="E12376" t="inlineStr">
        <is>
          <t>SÖDERHAMN</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44092-2024</t>
        </is>
      </c>
      <c r="B12377" s="1" t="n">
        <v>45572</v>
      </c>
      <c r="C12377" s="1" t="n">
        <v>45583</v>
      </c>
      <c r="D12377" t="inlineStr">
        <is>
          <t>GÄVLEBORGS LÄN</t>
        </is>
      </c>
      <c r="E12377" t="inlineStr">
        <is>
          <t>LJUSDAL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43996-2024</t>
        </is>
      </c>
      <c r="B12378" s="1" t="n">
        <v>45572</v>
      </c>
      <c r="C12378" s="1" t="n">
        <v>45583</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44037-2024</t>
        </is>
      </c>
      <c r="B12379" s="1" t="n">
        <v>45572</v>
      </c>
      <c r="C12379" s="1" t="n">
        <v>45583</v>
      </c>
      <c r="D12379" t="inlineStr">
        <is>
          <t>GÄVLEBORGS LÄN</t>
        </is>
      </c>
      <c r="E12379" t="inlineStr">
        <is>
          <t>HUDIKSVALL</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44180-2024</t>
        </is>
      </c>
      <c r="B12380" s="1" t="n">
        <v>45572</v>
      </c>
      <c r="C12380" s="1" t="n">
        <v>45583</v>
      </c>
      <c r="D12380" t="inlineStr">
        <is>
          <t>GÄVLEBORGS LÄN</t>
        </is>
      </c>
      <c r="E12380" t="inlineStr">
        <is>
          <t>BOLLNÄS</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44179-2024</t>
        </is>
      </c>
      <c r="B12381" s="1" t="n">
        <v>45572</v>
      </c>
      <c r="C12381" s="1" t="n">
        <v>45583</v>
      </c>
      <c r="D12381" t="inlineStr">
        <is>
          <t>GÄVLEBORGS LÄN</t>
        </is>
      </c>
      <c r="E12381" t="inlineStr">
        <is>
          <t>BOLLNÄS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45583</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45583</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45583</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44339-2024</t>
        </is>
      </c>
      <c r="B12385" s="1" t="n">
        <v>45573</v>
      </c>
      <c r="C12385" s="1" t="n">
        <v>45583</v>
      </c>
      <c r="D12385" t="inlineStr">
        <is>
          <t>GÄVLEBORGS LÄN</t>
        </is>
      </c>
      <c r="E12385" t="inlineStr">
        <is>
          <t>NORDANSTIG</t>
        </is>
      </c>
      <c r="G12385" t="n">
        <v>10.7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44344-2024</t>
        </is>
      </c>
      <c r="B12386" s="1" t="n">
        <v>45573</v>
      </c>
      <c r="C12386" s="1" t="n">
        <v>45583</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44229-2024</t>
        </is>
      </c>
      <c r="B12387" s="1" t="n">
        <v>45573</v>
      </c>
      <c r="C12387" s="1" t="n">
        <v>45583</v>
      </c>
      <c r="D12387" t="inlineStr">
        <is>
          <t>GÄVLEBORGS LÄN</t>
        </is>
      </c>
      <c r="E12387" t="inlineStr">
        <is>
          <t>HUDIKSVALL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44234-2024</t>
        </is>
      </c>
      <c r="B12388" s="1" t="n">
        <v>45573</v>
      </c>
      <c r="C12388" s="1" t="n">
        <v>45583</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44337-2024</t>
        </is>
      </c>
      <c r="B12389" s="1" t="n">
        <v>45573</v>
      </c>
      <c r="C12389" s="1" t="n">
        <v>45583</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44377-2024</t>
        </is>
      </c>
      <c r="B12390" s="1" t="n">
        <v>45573</v>
      </c>
      <c r="C12390" s="1" t="n">
        <v>45583</v>
      </c>
      <c r="D12390" t="inlineStr">
        <is>
          <t>GÄVLEBORGS LÄN</t>
        </is>
      </c>
      <c r="E12390" t="inlineStr">
        <is>
          <t>NORDANSTIG</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44277-2024</t>
        </is>
      </c>
      <c r="B12391" s="1" t="n">
        <v>45573</v>
      </c>
      <c r="C12391" s="1" t="n">
        <v>45583</v>
      </c>
      <c r="D12391" t="inlineStr">
        <is>
          <t>GÄVLEBORGS LÄN</t>
        </is>
      </c>
      <c r="E12391" t="inlineStr">
        <is>
          <t>HUDIKSVALL</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44350-2024</t>
        </is>
      </c>
      <c r="B12392" s="1" t="n">
        <v>45573</v>
      </c>
      <c r="C12392" s="1" t="n">
        <v>45583</v>
      </c>
      <c r="D12392" t="inlineStr">
        <is>
          <t>GÄVLEBORGS LÄN</t>
        </is>
      </c>
      <c r="E12392" t="inlineStr">
        <is>
          <t>SANDVIKEN</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45583</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44432-2024</t>
        </is>
      </c>
      <c r="B12394" s="1" t="n">
        <v>45574</v>
      </c>
      <c r="C12394" s="1" t="n">
        <v>45583</v>
      </c>
      <c r="D12394" t="inlineStr">
        <is>
          <t>GÄVLEBORGS LÄN</t>
        </is>
      </c>
      <c r="E12394" t="inlineStr">
        <is>
          <t>BOLLNÄS</t>
        </is>
      </c>
      <c r="F12394" t="inlineStr">
        <is>
          <t>Bergvik skog väst AB</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44436-2024</t>
        </is>
      </c>
      <c r="B12395" s="1" t="n">
        <v>45574</v>
      </c>
      <c r="C12395" s="1" t="n">
        <v>45583</v>
      </c>
      <c r="D12395" t="inlineStr">
        <is>
          <t>GÄVLEBORGS LÄN</t>
        </is>
      </c>
      <c r="E12395" t="inlineStr">
        <is>
          <t>NORDANSTIG</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44434-2024</t>
        </is>
      </c>
      <c r="B12396" s="1" t="n">
        <v>45574</v>
      </c>
      <c r="C12396" s="1" t="n">
        <v>45583</v>
      </c>
      <c r="D12396" t="inlineStr">
        <is>
          <t>GÄVLEBORGS LÄN</t>
        </is>
      </c>
      <c r="E12396" t="inlineStr">
        <is>
          <t>GÄVLE</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44439-2024</t>
        </is>
      </c>
      <c r="B12397" s="1" t="n">
        <v>45574</v>
      </c>
      <c r="C12397" s="1" t="n">
        <v>45583</v>
      </c>
      <c r="D12397" t="inlineStr">
        <is>
          <t>GÄVLEBORGS LÄN</t>
        </is>
      </c>
      <c r="E12397" t="inlineStr">
        <is>
          <t>OVANÅKER</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44451-2024</t>
        </is>
      </c>
      <c r="B12398" s="1" t="n">
        <v>45574</v>
      </c>
      <c r="C12398" s="1" t="n">
        <v>45583</v>
      </c>
      <c r="D12398" t="inlineStr">
        <is>
          <t>GÄVLEBORGS LÄN</t>
        </is>
      </c>
      <c r="E12398" t="inlineStr">
        <is>
          <t>LJUSDAL</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44457-2024</t>
        </is>
      </c>
      <c r="B12399" s="1" t="n">
        <v>45574</v>
      </c>
      <c r="C12399" s="1" t="n">
        <v>45583</v>
      </c>
      <c r="D12399" t="inlineStr">
        <is>
          <t>GÄVLEBORGS LÄN</t>
        </is>
      </c>
      <c r="E12399" t="inlineStr">
        <is>
          <t>OCKELBO</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44463-2024</t>
        </is>
      </c>
      <c r="B12400" s="1" t="n">
        <v>45574</v>
      </c>
      <c r="C12400" s="1" t="n">
        <v>45583</v>
      </c>
      <c r="D12400" t="inlineStr">
        <is>
          <t>GÄVLEBORGS LÄN</t>
        </is>
      </c>
      <c r="E12400" t="inlineStr">
        <is>
          <t>HUDIKSVALL</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44474-2024</t>
        </is>
      </c>
      <c r="B12401" s="1" t="n">
        <v>45574</v>
      </c>
      <c r="C12401" s="1" t="n">
        <v>45583</v>
      </c>
      <c r="D12401" t="inlineStr">
        <is>
          <t>GÄVLEBORGS LÄN</t>
        </is>
      </c>
      <c r="E12401" t="inlineStr">
        <is>
          <t>OVANÅKER</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44486-2024</t>
        </is>
      </c>
      <c r="B12402" s="1" t="n">
        <v>45574</v>
      </c>
      <c r="C12402" s="1" t="n">
        <v>45583</v>
      </c>
      <c r="D12402" t="inlineStr">
        <is>
          <t>GÄVLEBORGS LÄN</t>
        </is>
      </c>
      <c r="E12402" t="inlineStr">
        <is>
          <t>SANDVIKEN</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44506-2024</t>
        </is>
      </c>
      <c r="B12403" s="1" t="n">
        <v>45574</v>
      </c>
      <c r="C12403" s="1" t="n">
        <v>45583</v>
      </c>
      <c r="D12403" t="inlineStr">
        <is>
          <t>GÄVLEBORGS LÄN</t>
        </is>
      </c>
      <c r="E12403" t="inlineStr">
        <is>
          <t>OVANÅKER</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44556-2024</t>
        </is>
      </c>
      <c r="B12404" s="1" t="n">
        <v>45574</v>
      </c>
      <c r="C12404" s="1" t="n">
        <v>45583</v>
      </c>
      <c r="D12404" t="inlineStr">
        <is>
          <t>GÄVLEBORGS LÄN</t>
        </is>
      </c>
      <c r="E12404" t="inlineStr">
        <is>
          <t>GÄVLE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44580-2024</t>
        </is>
      </c>
      <c r="B12405" s="1" t="n">
        <v>45574</v>
      </c>
      <c r="C12405" s="1" t="n">
        <v>45583</v>
      </c>
      <c r="D12405" t="inlineStr">
        <is>
          <t>GÄVLEBORGS LÄN</t>
        </is>
      </c>
      <c r="E12405" t="inlineStr">
        <is>
          <t>BOLLNÄS</t>
        </is>
      </c>
      <c r="F12405" t="inlineStr">
        <is>
          <t>Bergvik skog väst AB</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44496-2024</t>
        </is>
      </c>
      <c r="B12406" s="1" t="n">
        <v>45574</v>
      </c>
      <c r="C12406" s="1" t="n">
        <v>45583</v>
      </c>
      <c r="D12406" t="inlineStr">
        <is>
          <t>GÄVLEBORGS LÄN</t>
        </is>
      </c>
      <c r="E12406" t="inlineStr">
        <is>
          <t>HUDIKSVALL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44500-2024</t>
        </is>
      </c>
      <c r="B12407" s="1" t="n">
        <v>45574</v>
      </c>
      <c r="C12407" s="1" t="n">
        <v>45583</v>
      </c>
      <c r="D12407" t="inlineStr">
        <is>
          <t>GÄVLEBORGS LÄN</t>
        </is>
      </c>
      <c r="E12407" t="inlineStr">
        <is>
          <t>NORDANSTIG</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44549-2024</t>
        </is>
      </c>
      <c r="B12408" s="1" t="n">
        <v>45574</v>
      </c>
      <c r="C12408" s="1" t="n">
        <v>45583</v>
      </c>
      <c r="D12408" t="inlineStr">
        <is>
          <t>GÄVLEBORGS LÄN</t>
        </is>
      </c>
      <c r="E12408" t="inlineStr">
        <is>
          <t>HUDIKSVALL</t>
        </is>
      </c>
      <c r="F12408" t="inlineStr">
        <is>
          <t>Holmen skog AB</t>
        </is>
      </c>
      <c r="G12408" t="n">
        <v>30.9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44440-2024</t>
        </is>
      </c>
      <c r="B12409" s="1" t="n">
        <v>45574</v>
      </c>
      <c r="C12409" s="1" t="n">
        <v>45583</v>
      </c>
      <c r="D12409" t="inlineStr">
        <is>
          <t>GÄVLEBORGS LÄN</t>
        </is>
      </c>
      <c r="E12409" t="inlineStr">
        <is>
          <t>OVANÅKER</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44456-2024</t>
        </is>
      </c>
      <c r="B12410" s="1" t="n">
        <v>45574</v>
      </c>
      <c r="C12410" s="1" t="n">
        <v>45583</v>
      </c>
      <c r="D12410" t="inlineStr">
        <is>
          <t>GÄVLEBORGS LÄN</t>
        </is>
      </c>
      <c r="E12410" t="inlineStr">
        <is>
          <t>BOLLNÄS</t>
        </is>
      </c>
      <c r="G12410" t="n">
        <v>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44749-2024</t>
        </is>
      </c>
      <c r="B12411" s="1" t="n">
        <v>45574</v>
      </c>
      <c r="C12411" s="1" t="n">
        <v>45583</v>
      </c>
      <c r="D12411" t="inlineStr">
        <is>
          <t>GÄVLEBORGS LÄN</t>
        </is>
      </c>
      <c r="E12411" t="inlineStr">
        <is>
          <t>HUDIKSVALL</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44682-2024</t>
        </is>
      </c>
      <c r="B12412" s="1" t="n">
        <v>45574</v>
      </c>
      <c r="C12412" s="1" t="n">
        <v>45583</v>
      </c>
      <c r="D12412" t="inlineStr">
        <is>
          <t>GÄVLEBORGS LÄN</t>
        </is>
      </c>
      <c r="E12412" t="inlineStr">
        <is>
          <t>BOLLNÄS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44687-2024</t>
        </is>
      </c>
      <c r="B12413" s="1" t="n">
        <v>45574</v>
      </c>
      <c r="C12413" s="1" t="n">
        <v>45583</v>
      </c>
      <c r="D12413" t="inlineStr">
        <is>
          <t>GÄVLEBORGS LÄN</t>
        </is>
      </c>
      <c r="E12413" t="inlineStr">
        <is>
          <t>HUDIKSVALL</t>
        </is>
      </c>
      <c r="G12413" t="n">
        <v>17.3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44695-2024</t>
        </is>
      </c>
      <c r="B12414" s="1" t="n">
        <v>45574</v>
      </c>
      <c r="C12414" s="1" t="n">
        <v>45583</v>
      </c>
      <c r="D12414" t="inlineStr">
        <is>
          <t>GÄVLEBORGS LÄN</t>
        </is>
      </c>
      <c r="E12414" t="inlineStr">
        <is>
          <t>LJUSDAL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44703-2024</t>
        </is>
      </c>
      <c r="B12415" s="1" t="n">
        <v>45574</v>
      </c>
      <c r="C12415" s="1" t="n">
        <v>45583</v>
      </c>
      <c r="D12415" t="inlineStr">
        <is>
          <t>GÄVLEBORGS LÄN</t>
        </is>
      </c>
      <c r="E12415" t="inlineStr">
        <is>
          <t>SÖDERHAMN</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44843-2024</t>
        </is>
      </c>
      <c r="B12416" s="1" t="n">
        <v>45574</v>
      </c>
      <c r="C12416" s="1" t="n">
        <v>45583</v>
      </c>
      <c r="D12416" t="inlineStr">
        <is>
          <t>GÄVLEBORGS LÄN</t>
        </is>
      </c>
      <c r="E12416" t="inlineStr">
        <is>
          <t>GÄVLE</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44473-2024</t>
        </is>
      </c>
      <c r="B12417" s="1" t="n">
        <v>45574</v>
      </c>
      <c r="C12417" s="1" t="n">
        <v>45583</v>
      </c>
      <c r="D12417" t="inlineStr">
        <is>
          <t>GÄVLEBORGS LÄN</t>
        </is>
      </c>
      <c r="E12417" t="inlineStr">
        <is>
          <t>OVANÅKER</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44497-2024</t>
        </is>
      </c>
      <c r="B12418" s="1" t="n">
        <v>45574</v>
      </c>
      <c r="C12418" s="1" t="n">
        <v>45583</v>
      </c>
      <c r="D12418" t="inlineStr">
        <is>
          <t>GÄVLEBORGS LÄN</t>
        </is>
      </c>
      <c r="E12418" t="inlineStr">
        <is>
          <t>HUDIKSVALL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44571-2024</t>
        </is>
      </c>
      <c r="B12419" s="1" t="n">
        <v>45574</v>
      </c>
      <c r="C12419" s="1" t="n">
        <v>45583</v>
      </c>
      <c r="D12419" t="inlineStr">
        <is>
          <t>GÄVLEBORGS LÄN</t>
        </is>
      </c>
      <c r="E12419" t="inlineStr">
        <is>
          <t>OVANÅKER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44575-2024</t>
        </is>
      </c>
      <c r="B12420" s="1" t="n">
        <v>45574</v>
      </c>
      <c r="C12420" s="1" t="n">
        <v>45583</v>
      </c>
      <c r="D12420" t="inlineStr">
        <is>
          <t>GÄVLEBORGS LÄN</t>
        </is>
      </c>
      <c r="E12420" t="inlineStr">
        <is>
          <t>OVANÅKER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44688-2024</t>
        </is>
      </c>
      <c r="B12421" s="1" t="n">
        <v>45574</v>
      </c>
      <c r="C12421" s="1" t="n">
        <v>45583</v>
      </c>
      <c r="D12421" t="inlineStr">
        <is>
          <t>GÄVLEBORGS LÄN</t>
        </is>
      </c>
      <c r="E12421" t="inlineStr">
        <is>
          <t>HUDIKSVALL</t>
        </is>
      </c>
      <c r="G12421" t="n">
        <v>66.59999999999999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44720-2024</t>
        </is>
      </c>
      <c r="B12422" s="1" t="n">
        <v>45574</v>
      </c>
      <c r="C12422" s="1" t="n">
        <v>45583</v>
      </c>
      <c r="D12422" t="inlineStr">
        <is>
          <t>GÄVLEBORGS LÄN</t>
        </is>
      </c>
      <c r="E12422" t="inlineStr">
        <is>
          <t>HUDIKSVALL</t>
        </is>
      </c>
      <c r="F12422" t="inlineStr">
        <is>
          <t>Holmen skog AB</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44736-2024</t>
        </is>
      </c>
      <c r="B12423" s="1" t="n">
        <v>45574</v>
      </c>
      <c r="C12423" s="1" t="n">
        <v>45583</v>
      </c>
      <c r="D12423" t="inlineStr">
        <is>
          <t>GÄVLEBORGS LÄN</t>
        </is>
      </c>
      <c r="E12423" t="inlineStr">
        <is>
          <t>HUDIKSVALL</t>
        </is>
      </c>
      <c r="G12423" t="n">
        <v>43.7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44800-2024</t>
        </is>
      </c>
      <c r="B12424" s="1" t="n">
        <v>45574</v>
      </c>
      <c r="C12424" s="1" t="n">
        <v>45583</v>
      </c>
      <c r="D12424" t="inlineStr">
        <is>
          <t>GÄVLEBORGS LÄN</t>
        </is>
      </c>
      <c r="E12424" t="inlineStr">
        <is>
          <t>GÄVLE</t>
        </is>
      </c>
      <c r="F12424" t="inlineStr">
        <is>
          <t>Bergvik skog öst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44813-2024</t>
        </is>
      </c>
      <c r="B12425" s="1" t="n">
        <v>45574</v>
      </c>
      <c r="C12425" s="1" t="n">
        <v>45583</v>
      </c>
      <c r="D12425" t="inlineStr">
        <is>
          <t>GÄVLEBORGS LÄN</t>
        </is>
      </c>
      <c r="E12425" t="inlineStr">
        <is>
          <t>HUDIKSVALL</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44826-2024</t>
        </is>
      </c>
      <c r="B12426" s="1" t="n">
        <v>45574</v>
      </c>
      <c r="C12426" s="1" t="n">
        <v>45583</v>
      </c>
      <c r="D12426" t="inlineStr">
        <is>
          <t>GÄVLEBORGS LÄN</t>
        </is>
      </c>
      <c r="E12426" t="inlineStr">
        <is>
          <t>NORDANSTIG</t>
        </is>
      </c>
      <c r="F12426" t="inlineStr">
        <is>
          <t>Holmen skog AB</t>
        </is>
      </c>
      <c r="G12426" t="n">
        <v>15.3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44791-2024</t>
        </is>
      </c>
      <c r="B12427" s="1" t="n">
        <v>45574</v>
      </c>
      <c r="C12427" s="1" t="n">
        <v>45583</v>
      </c>
      <c r="D12427" t="inlineStr">
        <is>
          <t>GÄVLEBORGS LÄN</t>
        </is>
      </c>
      <c r="E12427" t="inlineStr">
        <is>
          <t>GÄVLE</t>
        </is>
      </c>
      <c r="F12427" t="inlineStr">
        <is>
          <t>Bergvik skog öst AB</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44795-2024</t>
        </is>
      </c>
      <c r="B12428" s="1" t="n">
        <v>45574</v>
      </c>
      <c r="C12428" s="1" t="n">
        <v>45583</v>
      </c>
      <c r="D12428" t="inlineStr">
        <is>
          <t>GÄVLEBORGS LÄN</t>
        </is>
      </c>
      <c r="E12428" t="inlineStr">
        <is>
          <t>GÄVLE</t>
        </is>
      </c>
      <c r="F12428" t="inlineStr">
        <is>
          <t>Bergvik skog öst AB</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44837-2024</t>
        </is>
      </c>
      <c r="B12429" s="1" t="n">
        <v>45574</v>
      </c>
      <c r="C12429" s="1" t="n">
        <v>45583</v>
      </c>
      <c r="D12429" t="inlineStr">
        <is>
          <t>GÄVLEBORGS LÄN</t>
        </is>
      </c>
      <c r="E12429" t="inlineStr">
        <is>
          <t>NORDANSTIG</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44487-2024</t>
        </is>
      </c>
      <c r="B12430" s="1" t="n">
        <v>45574</v>
      </c>
      <c r="C12430" s="1" t="n">
        <v>45583</v>
      </c>
      <c r="D12430" t="inlineStr">
        <is>
          <t>GÄVLEBORGS LÄN</t>
        </is>
      </c>
      <c r="E12430" t="inlineStr">
        <is>
          <t>BOLLNÄS</t>
        </is>
      </c>
      <c r="F12430" t="inlineStr">
        <is>
          <t>Kyrkan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44577-2024</t>
        </is>
      </c>
      <c r="B12431" s="1" t="n">
        <v>45574</v>
      </c>
      <c r="C12431" s="1" t="n">
        <v>45583</v>
      </c>
      <c r="D12431" t="inlineStr">
        <is>
          <t>GÄVLEBORGS LÄN</t>
        </is>
      </c>
      <c r="E12431" t="inlineStr">
        <is>
          <t>OVANÅKER</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44633-2024</t>
        </is>
      </c>
      <c r="B12432" s="1" t="n">
        <v>45574</v>
      </c>
      <c r="C12432" s="1" t="n">
        <v>45583</v>
      </c>
      <c r="D12432" t="inlineStr">
        <is>
          <t>GÄVLEBORGS LÄN</t>
        </is>
      </c>
      <c r="E12432" t="inlineStr">
        <is>
          <t>LJUSDAL</t>
        </is>
      </c>
      <c r="F12432" t="inlineStr">
        <is>
          <t>SCA</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44669-2024</t>
        </is>
      </c>
      <c r="B12433" s="1" t="n">
        <v>45574</v>
      </c>
      <c r="C12433" s="1" t="n">
        <v>45583</v>
      </c>
      <c r="D12433" t="inlineStr">
        <is>
          <t>GÄVLEBORGS LÄN</t>
        </is>
      </c>
      <c r="E12433" t="inlineStr">
        <is>
          <t>BOLLNÄS</t>
        </is>
      </c>
      <c r="F12433" t="inlineStr">
        <is>
          <t>Bergvik skog väst AB</t>
        </is>
      </c>
      <c r="G12433" t="n">
        <v>23.4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44681-2024</t>
        </is>
      </c>
      <c r="B12434" s="1" t="n">
        <v>45574</v>
      </c>
      <c r="C12434" s="1" t="n">
        <v>45583</v>
      </c>
      <c r="D12434" t="inlineStr">
        <is>
          <t>GÄVLEBORGS LÄN</t>
        </is>
      </c>
      <c r="E12434" t="inlineStr">
        <is>
          <t>SÖDERHAMN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44790-2024</t>
        </is>
      </c>
      <c r="B12435" s="1" t="n">
        <v>45574</v>
      </c>
      <c r="C12435" s="1" t="n">
        <v>45583</v>
      </c>
      <c r="D12435" t="inlineStr">
        <is>
          <t>GÄVLEBORGS LÄN</t>
        </is>
      </c>
      <c r="E12435" t="inlineStr">
        <is>
          <t>GÄVLE</t>
        </is>
      </c>
      <c r="F12435" t="inlineStr">
        <is>
          <t>Bergvik skog öst AB</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44802-2024</t>
        </is>
      </c>
      <c r="B12436" s="1" t="n">
        <v>45574</v>
      </c>
      <c r="C12436" s="1" t="n">
        <v>45583</v>
      </c>
      <c r="D12436" t="inlineStr">
        <is>
          <t>GÄVLEBORGS LÄN</t>
        </is>
      </c>
      <c r="E12436" t="inlineStr">
        <is>
          <t>GÄVLE</t>
        </is>
      </c>
      <c r="F12436" t="inlineStr">
        <is>
          <t>Bergvik skog öst AB</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44806-2024</t>
        </is>
      </c>
      <c r="B12437" s="1" t="n">
        <v>45574</v>
      </c>
      <c r="C12437" s="1" t="n">
        <v>45583</v>
      </c>
      <c r="D12437" t="inlineStr">
        <is>
          <t>GÄVLEBORGS LÄN</t>
        </is>
      </c>
      <c r="E12437" t="inlineStr">
        <is>
          <t>GÄVLE</t>
        </is>
      </c>
      <c r="F12437" t="inlineStr">
        <is>
          <t>Bergvik skog öst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44905-2024</t>
        </is>
      </c>
      <c r="B12438" s="1" t="n">
        <v>45575</v>
      </c>
      <c r="C12438" s="1" t="n">
        <v>45583</v>
      </c>
      <c r="D12438" t="inlineStr">
        <is>
          <t>GÄVLEBORGS LÄN</t>
        </is>
      </c>
      <c r="E12438" t="inlineStr">
        <is>
          <t>OVANÅKER</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44913-2024</t>
        </is>
      </c>
      <c r="B12439" s="1" t="n">
        <v>45575</v>
      </c>
      <c r="C12439" s="1" t="n">
        <v>45583</v>
      </c>
      <c r="D12439" t="inlineStr">
        <is>
          <t>GÄVLEBORGS LÄN</t>
        </is>
      </c>
      <c r="E12439" t="inlineStr">
        <is>
          <t>GÄVLE</t>
        </is>
      </c>
      <c r="F12439" t="inlineStr">
        <is>
          <t>Bergvik skog öst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44948-2024</t>
        </is>
      </c>
      <c r="B12440" s="1" t="n">
        <v>45575</v>
      </c>
      <c r="C12440" s="1" t="n">
        <v>45583</v>
      </c>
      <c r="D12440" t="inlineStr">
        <is>
          <t>GÄVLEBORGS LÄN</t>
        </is>
      </c>
      <c r="E12440" t="inlineStr">
        <is>
          <t>BOLLNÄS</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44856-2024</t>
        </is>
      </c>
      <c r="B12441" s="1" t="n">
        <v>45575</v>
      </c>
      <c r="C12441" s="1" t="n">
        <v>45583</v>
      </c>
      <c r="D12441" t="inlineStr">
        <is>
          <t>GÄVLEBORGS LÄN</t>
        </is>
      </c>
      <c r="E12441" t="inlineStr">
        <is>
          <t>LJUSDAL</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45115-2024</t>
        </is>
      </c>
      <c r="B12442" s="1" t="n">
        <v>45575</v>
      </c>
      <c r="C12442" s="1" t="n">
        <v>45583</v>
      </c>
      <c r="D12442" t="inlineStr">
        <is>
          <t>GÄVLEBORGS LÄN</t>
        </is>
      </c>
      <c r="E12442" t="inlineStr">
        <is>
          <t>BOLLNÄS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45181-2024</t>
        </is>
      </c>
      <c r="B12443" s="1" t="n">
        <v>45575</v>
      </c>
      <c r="C12443" s="1" t="n">
        <v>45583</v>
      </c>
      <c r="D12443" t="inlineStr">
        <is>
          <t>GÄVLEBORGS LÄN</t>
        </is>
      </c>
      <c r="E12443" t="inlineStr">
        <is>
          <t>HUDIKSVALL</t>
        </is>
      </c>
      <c r="F12443" t="inlineStr">
        <is>
          <t>Holmen skog AB</t>
        </is>
      </c>
      <c r="G12443" t="n">
        <v>8.300000000000001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45189-2024</t>
        </is>
      </c>
      <c r="B12444" s="1" t="n">
        <v>45575</v>
      </c>
      <c r="C12444" s="1" t="n">
        <v>45583</v>
      </c>
      <c r="D12444" t="inlineStr">
        <is>
          <t>GÄVLEBORGS LÄN</t>
        </is>
      </c>
      <c r="E12444" t="inlineStr">
        <is>
          <t>OCKELBO</t>
        </is>
      </c>
      <c r="F12444" t="inlineStr">
        <is>
          <t>Bergvik skog väst AB</t>
        </is>
      </c>
      <c r="G12444" t="n">
        <v>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45241-2024</t>
        </is>
      </c>
      <c r="B12445" s="1" t="n">
        <v>45576</v>
      </c>
      <c r="C12445" s="1" t="n">
        <v>45583</v>
      </c>
      <c r="D12445" t="inlineStr">
        <is>
          <t>GÄVLEBORGS LÄN</t>
        </is>
      </c>
      <c r="E12445" t="inlineStr">
        <is>
          <t>LJUSDAL</t>
        </is>
      </c>
      <c r="F12445" t="inlineStr">
        <is>
          <t>Sveaskog</t>
        </is>
      </c>
      <c r="G12445" t="n">
        <v>14.4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45017-2024</t>
        </is>
      </c>
      <c r="B12446" s="1" t="n">
        <v>45575</v>
      </c>
      <c r="C12446" s="1" t="n">
        <v>45583</v>
      </c>
      <c r="D12446" t="inlineStr">
        <is>
          <t>GÄVLEBORGS LÄN</t>
        </is>
      </c>
      <c r="E12446" t="inlineStr">
        <is>
          <t>BOLLNÄS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45029-2024</t>
        </is>
      </c>
      <c r="B12447" s="1" t="n">
        <v>45575</v>
      </c>
      <c r="C12447" s="1" t="n">
        <v>45583</v>
      </c>
      <c r="D12447" t="inlineStr">
        <is>
          <t>GÄVLEBORGS LÄN</t>
        </is>
      </c>
      <c r="E12447" t="inlineStr">
        <is>
          <t>GÄVLE</t>
        </is>
      </c>
      <c r="F12447" t="inlineStr">
        <is>
          <t>Bergvik skog väst AB</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45103-2024</t>
        </is>
      </c>
      <c r="B12448" s="1" t="n">
        <v>45575</v>
      </c>
      <c r="C12448" s="1" t="n">
        <v>45583</v>
      </c>
      <c r="D12448" t="inlineStr">
        <is>
          <t>GÄVLEBORGS LÄN</t>
        </is>
      </c>
      <c r="E12448" t="inlineStr">
        <is>
          <t>OCKELBO</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45179-2024</t>
        </is>
      </c>
      <c r="B12449" s="1" t="n">
        <v>45575</v>
      </c>
      <c r="C12449" s="1" t="n">
        <v>45583</v>
      </c>
      <c r="D12449" t="inlineStr">
        <is>
          <t>GÄVLEBORGS LÄN</t>
        </is>
      </c>
      <c r="E12449" t="inlineStr">
        <is>
          <t>HUDIKSVALL</t>
        </is>
      </c>
      <c r="F12449" t="inlineStr">
        <is>
          <t>Holmen skog AB</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45183-2024</t>
        </is>
      </c>
      <c r="B12450" s="1" t="n">
        <v>45575</v>
      </c>
      <c r="C12450" s="1" t="n">
        <v>45583</v>
      </c>
      <c r="D12450" t="inlineStr">
        <is>
          <t>GÄVLEBORGS LÄN</t>
        </is>
      </c>
      <c r="E12450" t="inlineStr">
        <is>
          <t>OCKELBO</t>
        </is>
      </c>
      <c r="F12450" t="inlineStr">
        <is>
          <t>Bergvik skog väst AB</t>
        </is>
      </c>
      <c r="G12450" t="n">
        <v>12.2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44859-2024</t>
        </is>
      </c>
      <c r="B12451" s="1" t="n">
        <v>45575</v>
      </c>
      <c r="C12451" s="1" t="n">
        <v>45583</v>
      </c>
      <c r="D12451" t="inlineStr">
        <is>
          <t>GÄVLEBORGS LÄN</t>
        </is>
      </c>
      <c r="E12451" t="inlineStr">
        <is>
          <t>OVANÅKER</t>
        </is>
      </c>
      <c r="G12451" t="n">
        <v>0.2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44863-2024</t>
        </is>
      </c>
      <c r="B12452" s="1" t="n">
        <v>45575</v>
      </c>
      <c r="C12452" s="1" t="n">
        <v>45583</v>
      </c>
      <c r="D12452" t="inlineStr">
        <is>
          <t>GÄVLEBORGS LÄN</t>
        </is>
      </c>
      <c r="E12452" t="inlineStr">
        <is>
          <t>OVANÅKER</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44910-2024</t>
        </is>
      </c>
      <c r="B12453" s="1" t="n">
        <v>45575</v>
      </c>
      <c r="C12453" s="1" t="n">
        <v>45583</v>
      </c>
      <c r="D12453" t="inlineStr">
        <is>
          <t>GÄVLEBORGS LÄN</t>
        </is>
      </c>
      <c r="E12453" t="inlineStr">
        <is>
          <t>OVANÅKER</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44914-2024</t>
        </is>
      </c>
      <c r="B12454" s="1" t="n">
        <v>45575</v>
      </c>
      <c r="C12454" s="1" t="n">
        <v>45583</v>
      </c>
      <c r="D12454" t="inlineStr">
        <is>
          <t>GÄVLEBORGS LÄN</t>
        </is>
      </c>
      <c r="E12454" t="inlineStr">
        <is>
          <t>GÄVLE</t>
        </is>
      </c>
      <c r="F12454" t="inlineStr">
        <is>
          <t>Bergvik skog öst AB</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45131-2024</t>
        </is>
      </c>
      <c r="B12455" s="1" t="n">
        <v>45575</v>
      </c>
      <c r="C12455" s="1" t="n">
        <v>45583</v>
      </c>
      <c r="D12455" t="inlineStr">
        <is>
          <t>GÄVLEBORGS LÄN</t>
        </is>
      </c>
      <c r="E12455" t="inlineStr">
        <is>
          <t>SANDVIKEN</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45380-2024</t>
        </is>
      </c>
      <c r="B12456" s="1" t="n">
        <v>45576</v>
      </c>
      <c r="C12456" s="1" t="n">
        <v>45583</v>
      </c>
      <c r="D12456" t="inlineStr">
        <is>
          <t>GÄVLEBORGS LÄN</t>
        </is>
      </c>
      <c r="E12456" t="inlineStr">
        <is>
          <t>HUDIKSVALL</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45388-2024</t>
        </is>
      </c>
      <c r="B12457" s="1" t="n">
        <v>45576</v>
      </c>
      <c r="C12457" s="1" t="n">
        <v>45583</v>
      </c>
      <c r="D12457" t="inlineStr">
        <is>
          <t>GÄVLEBORGS LÄN</t>
        </is>
      </c>
      <c r="E12457" t="inlineStr">
        <is>
          <t>LJUSDAL</t>
        </is>
      </c>
      <c r="F12457" t="inlineStr">
        <is>
          <t>Sveaskog</t>
        </is>
      </c>
      <c r="G12457" t="n">
        <v>13.2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45270-2024</t>
        </is>
      </c>
      <c r="B12458" s="1" t="n">
        <v>45576</v>
      </c>
      <c r="C12458" s="1" t="n">
        <v>45583</v>
      </c>
      <c r="D12458" t="inlineStr">
        <is>
          <t>GÄVLEBORGS LÄN</t>
        </is>
      </c>
      <c r="E12458" t="inlineStr">
        <is>
          <t>LJUSDAL</t>
        </is>
      </c>
      <c r="F12458" t="inlineStr">
        <is>
          <t>Sveaskog</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45433-2024</t>
        </is>
      </c>
      <c r="B12459" s="1" t="n">
        <v>45576</v>
      </c>
      <c r="C12459" s="1" t="n">
        <v>45583</v>
      </c>
      <c r="D12459" t="inlineStr">
        <is>
          <t>GÄVLEBORGS LÄN</t>
        </is>
      </c>
      <c r="E12459" t="inlineStr">
        <is>
          <t>NORDANSTIG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45446-2024</t>
        </is>
      </c>
      <c r="B12460" s="1" t="n">
        <v>45576</v>
      </c>
      <c r="C12460" s="1" t="n">
        <v>45583</v>
      </c>
      <c r="D12460" t="inlineStr">
        <is>
          <t>GÄVLEBORGS LÄN</t>
        </is>
      </c>
      <c r="E12460" t="inlineStr">
        <is>
          <t>LJUSDAL</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45318-2024</t>
        </is>
      </c>
      <c r="B12461" s="1" t="n">
        <v>45576</v>
      </c>
      <c r="C12461" s="1" t="n">
        <v>45583</v>
      </c>
      <c r="D12461" t="inlineStr">
        <is>
          <t>GÄVLEBORGS LÄN</t>
        </is>
      </c>
      <c r="E12461" t="inlineStr">
        <is>
          <t>SANDVIKEN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45331-2024</t>
        </is>
      </c>
      <c r="B12462" s="1" t="n">
        <v>45576</v>
      </c>
      <c r="C12462" s="1" t="n">
        <v>45583</v>
      </c>
      <c r="D12462" t="inlineStr">
        <is>
          <t>GÄVLEBORGS LÄN</t>
        </is>
      </c>
      <c r="E12462" t="inlineStr">
        <is>
          <t>SANDVIKEN</t>
        </is>
      </c>
      <c r="F12462" t="inlineStr">
        <is>
          <t>Bergvik skog öst AB</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45432-2024</t>
        </is>
      </c>
      <c r="B12463" s="1" t="n">
        <v>45576</v>
      </c>
      <c r="C12463" s="1" t="n">
        <v>45583</v>
      </c>
      <c r="D12463" t="inlineStr">
        <is>
          <t>GÄVLEBORGS LÄN</t>
        </is>
      </c>
      <c r="E12463" t="inlineStr">
        <is>
          <t>NORDANSTIG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45583</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45509-2024</t>
        </is>
      </c>
      <c r="B12465" s="1" t="n">
        <v>45578</v>
      </c>
      <c r="C12465" s="1" t="n">
        <v>45583</v>
      </c>
      <c r="D12465" t="inlineStr">
        <is>
          <t>GÄVLEBORGS LÄN</t>
        </is>
      </c>
      <c r="E12465" t="inlineStr">
        <is>
          <t>LJUSDAL</t>
        </is>
      </c>
      <c r="F12465" t="inlineStr">
        <is>
          <t>Naturvårdsverket</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45549-2024</t>
        </is>
      </c>
      <c r="B12466" s="1" t="n">
        <v>45579</v>
      </c>
      <c r="C12466" s="1" t="n">
        <v>45583</v>
      </c>
      <c r="D12466" t="inlineStr">
        <is>
          <t>GÄVLEBORGS LÄN</t>
        </is>
      </c>
      <c r="E12466" t="inlineStr">
        <is>
          <t>NORDANSTIG</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45557-2024</t>
        </is>
      </c>
      <c r="B12467" s="1" t="n">
        <v>45579</v>
      </c>
      <c r="C12467" s="1" t="n">
        <v>45583</v>
      </c>
      <c r="D12467" t="inlineStr">
        <is>
          <t>GÄVLEBORGS LÄN</t>
        </is>
      </c>
      <c r="E12467" t="inlineStr">
        <is>
          <t>BOLLNÄS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45566-2024</t>
        </is>
      </c>
      <c r="B12468" s="1" t="n">
        <v>45579</v>
      </c>
      <c r="C12468" s="1" t="n">
        <v>45583</v>
      </c>
      <c r="D12468" t="inlineStr">
        <is>
          <t>GÄVLEBORGS LÄN</t>
        </is>
      </c>
      <c r="E12468" t="inlineStr">
        <is>
          <t>GÄVLE</t>
        </is>
      </c>
      <c r="F12468" t="inlineStr">
        <is>
          <t>Bergvik skog väst AB</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45534-2024</t>
        </is>
      </c>
      <c r="B12469" s="1" t="n">
        <v>45579</v>
      </c>
      <c r="C12469" s="1" t="n">
        <v>45583</v>
      </c>
      <c r="D12469" t="inlineStr">
        <is>
          <t>GÄVLEBORGS LÄN</t>
        </is>
      </c>
      <c r="E12469" t="inlineStr">
        <is>
          <t>OVANÅKER</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45546-2024</t>
        </is>
      </c>
      <c r="B12470" s="1" t="n">
        <v>45579</v>
      </c>
      <c r="C12470" s="1" t="n">
        <v>45583</v>
      </c>
      <c r="D12470" t="inlineStr">
        <is>
          <t>GÄVLEBORGS LÄN</t>
        </is>
      </c>
      <c r="E12470" t="inlineStr">
        <is>
          <t>OVANÅKER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45553-2024</t>
        </is>
      </c>
      <c r="B12471" s="1" t="n">
        <v>45579</v>
      </c>
      <c r="C12471" s="1" t="n">
        <v>45583</v>
      </c>
      <c r="D12471" t="inlineStr">
        <is>
          <t>GÄVLEBORGS LÄN</t>
        </is>
      </c>
      <c r="E12471" t="inlineStr">
        <is>
          <t>NORDANSTIG</t>
        </is>
      </c>
      <c r="G12471" t="n">
        <v>5.7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45563-2024</t>
        </is>
      </c>
      <c r="B12472" s="1" t="n">
        <v>45579</v>
      </c>
      <c r="C12472" s="1" t="n">
        <v>45583</v>
      </c>
      <c r="D12472" t="inlineStr">
        <is>
          <t>GÄVLEBORGS LÄN</t>
        </is>
      </c>
      <c r="E12472" t="inlineStr">
        <is>
          <t>HUDIKSVALL</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45604-2024</t>
        </is>
      </c>
      <c r="B12473" s="1" t="n">
        <v>45579</v>
      </c>
      <c r="C12473" s="1" t="n">
        <v>45583</v>
      </c>
      <c r="D12473" t="inlineStr">
        <is>
          <t>GÄVLEBORGS LÄN</t>
        </is>
      </c>
      <c r="E12473" t="inlineStr">
        <is>
          <t>SANDVIKEN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45645-2024</t>
        </is>
      </c>
      <c r="B12474" s="1" t="n">
        <v>45579</v>
      </c>
      <c r="C12474" s="1" t="n">
        <v>45583</v>
      </c>
      <c r="D12474" t="inlineStr">
        <is>
          <t>GÄVLEBORGS LÄN</t>
        </is>
      </c>
      <c r="E12474" t="inlineStr">
        <is>
          <t>HOFORS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45688-2024</t>
        </is>
      </c>
      <c r="B12475" s="1" t="n">
        <v>45579</v>
      </c>
      <c r="C12475" s="1" t="n">
        <v>45583</v>
      </c>
      <c r="D12475" t="inlineStr">
        <is>
          <t>GÄVLEBORGS LÄN</t>
        </is>
      </c>
      <c r="E12475" t="inlineStr">
        <is>
          <t>OCKELBO</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45696-2024</t>
        </is>
      </c>
      <c r="B12476" s="1" t="n">
        <v>45579</v>
      </c>
      <c r="C12476" s="1" t="n">
        <v>45583</v>
      </c>
      <c r="D12476" t="inlineStr">
        <is>
          <t>GÄVLEBORGS LÄN</t>
        </is>
      </c>
      <c r="E12476" t="inlineStr">
        <is>
          <t>LJUSDAL</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45700-2024</t>
        </is>
      </c>
      <c r="B12477" s="1" t="n">
        <v>45579</v>
      </c>
      <c r="C12477" s="1" t="n">
        <v>45583</v>
      </c>
      <c r="D12477" t="inlineStr">
        <is>
          <t>GÄVLEBORGS LÄN</t>
        </is>
      </c>
      <c r="E12477" t="inlineStr">
        <is>
          <t>HUDIKSVALL</t>
        </is>
      </c>
      <c r="F12477" t="inlineStr">
        <is>
          <t>Holmen skog AB</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45782-2024</t>
        </is>
      </c>
      <c r="B12478" s="1" t="n">
        <v>45579</v>
      </c>
      <c r="C12478" s="1" t="n">
        <v>45583</v>
      </c>
      <c r="D12478" t="inlineStr">
        <is>
          <t>GÄVLEBORGS LÄN</t>
        </is>
      </c>
      <c r="E12478" t="inlineStr">
        <is>
          <t>BOLLNÄS</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45775-2024</t>
        </is>
      </c>
      <c r="B12479" s="1" t="n">
        <v>45579</v>
      </c>
      <c r="C12479" s="1" t="n">
        <v>45583</v>
      </c>
      <c r="D12479" t="inlineStr">
        <is>
          <t>GÄVLEBORGS LÄN</t>
        </is>
      </c>
      <c r="E12479" t="inlineStr">
        <is>
          <t>HUDIKSVALL</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45532-2024</t>
        </is>
      </c>
      <c r="B12480" s="1" t="n">
        <v>45579</v>
      </c>
      <c r="C12480" s="1" t="n">
        <v>45583</v>
      </c>
      <c r="D12480" t="inlineStr">
        <is>
          <t>GÄVLEBORGS LÄN</t>
        </is>
      </c>
      <c r="E12480" t="inlineStr">
        <is>
          <t>OVANÅKER</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45555-2024</t>
        </is>
      </c>
      <c r="B12481" s="1" t="n">
        <v>45579</v>
      </c>
      <c r="C12481" s="1" t="n">
        <v>45583</v>
      </c>
      <c r="D12481" t="inlineStr">
        <is>
          <t>GÄVLEBORGS LÄN</t>
        </is>
      </c>
      <c r="E12481" t="inlineStr">
        <is>
          <t>HUDIKSVALL</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45598-2024</t>
        </is>
      </c>
      <c r="B12482" s="1" t="n">
        <v>45579</v>
      </c>
      <c r="C12482" s="1" t="n">
        <v>45583</v>
      </c>
      <c r="D12482" t="inlineStr">
        <is>
          <t>GÄVLEBORGS LÄN</t>
        </is>
      </c>
      <c r="E12482" t="inlineStr">
        <is>
          <t>BOLLNÄS</t>
        </is>
      </c>
      <c r="F12482" t="inlineStr">
        <is>
          <t>Kommuner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45694-2024</t>
        </is>
      </c>
      <c r="B12483" s="1" t="n">
        <v>45579</v>
      </c>
      <c r="C12483" s="1" t="n">
        <v>45583</v>
      </c>
      <c r="D12483" t="inlineStr">
        <is>
          <t>GÄVLEBORGS LÄN</t>
        </is>
      </c>
      <c r="E12483" t="inlineStr">
        <is>
          <t>LJUSDAL</t>
        </is>
      </c>
      <c r="G12483" t="n">
        <v>14.1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45768-2024</t>
        </is>
      </c>
      <c r="B12484" s="1" t="n">
        <v>45579</v>
      </c>
      <c r="C12484" s="1" t="n">
        <v>45583</v>
      </c>
      <c r="D12484" t="inlineStr">
        <is>
          <t>GÄVLEBORGS LÄN</t>
        </is>
      </c>
      <c r="E12484" t="inlineStr">
        <is>
          <t>LJUSDAL</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45829-2024</t>
        </is>
      </c>
      <c r="B12485" s="1" t="n">
        <v>45579</v>
      </c>
      <c r="C12485" s="1" t="n">
        <v>45583</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45554-2024</t>
        </is>
      </c>
      <c r="B12486" s="1" t="n">
        <v>45579</v>
      </c>
      <c r="C12486" s="1" t="n">
        <v>45583</v>
      </c>
      <c r="D12486" t="inlineStr">
        <is>
          <t>GÄVLEBORGS LÄN</t>
        </is>
      </c>
      <c r="E12486" t="inlineStr">
        <is>
          <t>BOLLNÄS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45647-2024</t>
        </is>
      </c>
      <c r="B12487" s="1" t="n">
        <v>45579</v>
      </c>
      <c r="C12487" s="1" t="n">
        <v>45583</v>
      </c>
      <c r="D12487" t="inlineStr">
        <is>
          <t>GÄVLEBORGS LÄN</t>
        </is>
      </c>
      <c r="E12487" t="inlineStr">
        <is>
          <t>OCKELBO</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45763-2024</t>
        </is>
      </c>
      <c r="B12488" s="1" t="n">
        <v>45579</v>
      </c>
      <c r="C12488" s="1" t="n">
        <v>45583</v>
      </c>
      <c r="D12488" t="inlineStr">
        <is>
          <t>GÄVLEBORGS LÄN</t>
        </is>
      </c>
      <c r="E12488" t="inlineStr">
        <is>
          <t>BOLLNÄS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45772-2024</t>
        </is>
      </c>
      <c r="B12489" s="1" t="n">
        <v>45579</v>
      </c>
      <c r="C12489" s="1" t="n">
        <v>45583</v>
      </c>
      <c r="D12489" t="inlineStr">
        <is>
          <t>GÄVLEBORGS LÄN</t>
        </is>
      </c>
      <c r="E12489" t="inlineStr">
        <is>
          <t>HUDIKSVALL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45843-2024</t>
        </is>
      </c>
      <c r="B12490" s="1" t="n">
        <v>45580</v>
      </c>
      <c r="C12490" s="1" t="n">
        <v>45583</v>
      </c>
      <c r="D12490" t="inlineStr">
        <is>
          <t>GÄVLEBORGS LÄN</t>
        </is>
      </c>
      <c r="E12490" t="inlineStr">
        <is>
          <t>BOLLNÄS</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45864-2024</t>
        </is>
      </c>
      <c r="B12491" s="1" t="n">
        <v>45580</v>
      </c>
      <c r="C12491" s="1" t="n">
        <v>45583</v>
      </c>
      <c r="D12491" t="inlineStr">
        <is>
          <t>GÄVLEBORGS LÄN</t>
        </is>
      </c>
      <c r="E12491" t="inlineStr">
        <is>
          <t>LJUSDAL</t>
        </is>
      </c>
      <c r="F12491" t="inlineStr">
        <is>
          <t>Naturvårdsverket</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45930-2024</t>
        </is>
      </c>
      <c r="B12492" s="1" t="n">
        <v>45580</v>
      </c>
      <c r="C12492" s="1" t="n">
        <v>45583</v>
      </c>
      <c r="D12492" t="inlineStr">
        <is>
          <t>GÄVLEBORGS LÄN</t>
        </is>
      </c>
      <c r="E12492" t="inlineStr">
        <is>
          <t>LJUSDAL</t>
        </is>
      </c>
      <c r="G12492" t="n">
        <v>9.300000000000001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45938-2024</t>
        </is>
      </c>
      <c r="B12493" s="1" t="n">
        <v>45580</v>
      </c>
      <c r="C12493" s="1" t="n">
        <v>45583</v>
      </c>
      <c r="D12493" t="inlineStr">
        <is>
          <t>GÄVLEBORGS LÄN</t>
        </is>
      </c>
      <c r="E12493" t="inlineStr">
        <is>
          <t>GÄVLE</t>
        </is>
      </c>
      <c r="F12493" t="inlineStr">
        <is>
          <t>Bergvik skog öst AB</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45842-2024</t>
        </is>
      </c>
      <c r="B12494" s="1" t="n">
        <v>45580</v>
      </c>
      <c r="C12494" s="1" t="n">
        <v>45583</v>
      </c>
      <c r="D12494" t="inlineStr">
        <is>
          <t>GÄVLEBORGS LÄN</t>
        </is>
      </c>
      <c r="E12494" t="inlineStr">
        <is>
          <t>BOLLNÄS</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45954-2024</t>
        </is>
      </c>
      <c r="B12495" s="1" t="n">
        <v>45580</v>
      </c>
      <c r="C12495" s="1" t="n">
        <v>45583</v>
      </c>
      <c r="D12495" t="inlineStr">
        <is>
          <t>GÄVLEBORGS LÄN</t>
        </is>
      </c>
      <c r="E12495" t="inlineStr">
        <is>
          <t>BOLLNÄS</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45958-2024</t>
        </is>
      </c>
      <c r="B12496" s="1" t="n">
        <v>45580</v>
      </c>
      <c r="C12496" s="1" t="n">
        <v>45583</v>
      </c>
      <c r="D12496" t="inlineStr">
        <is>
          <t>GÄVLEBORGS LÄN</t>
        </is>
      </c>
      <c r="E12496" t="inlineStr">
        <is>
          <t>BOLLNÄS</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45965-2024</t>
        </is>
      </c>
      <c r="B12497" s="1" t="n">
        <v>45580</v>
      </c>
      <c r="C12497" s="1" t="n">
        <v>45583</v>
      </c>
      <c r="D12497" t="inlineStr">
        <is>
          <t>GÄVLEBORGS LÄN</t>
        </is>
      </c>
      <c r="E12497" t="inlineStr">
        <is>
          <t>GÄVLE</t>
        </is>
      </c>
      <c r="F12497" t="inlineStr">
        <is>
          <t>Bergvik skog öst AB</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46000-2024</t>
        </is>
      </c>
      <c r="B12498" s="1" t="n">
        <v>45580</v>
      </c>
      <c r="C12498" s="1" t="n">
        <v>45583</v>
      </c>
      <c r="D12498" t="inlineStr">
        <is>
          <t>GÄVLEBORGS LÄN</t>
        </is>
      </c>
      <c r="E12498" t="inlineStr">
        <is>
          <t>OVANÅKER</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46007-2024</t>
        </is>
      </c>
      <c r="B12499" s="1" t="n">
        <v>45580</v>
      </c>
      <c r="C12499" s="1" t="n">
        <v>45583</v>
      </c>
      <c r="D12499" t="inlineStr">
        <is>
          <t>GÄVLEBORGS LÄN</t>
        </is>
      </c>
      <c r="E12499" t="inlineStr">
        <is>
          <t>SÖDERHAMN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45998-2024</t>
        </is>
      </c>
      <c r="B12500" s="1" t="n">
        <v>45580</v>
      </c>
      <c r="C12500" s="1" t="n">
        <v>45583</v>
      </c>
      <c r="D12500" t="inlineStr">
        <is>
          <t>GÄVLEBORGS LÄN</t>
        </is>
      </c>
      <c r="E12500" t="inlineStr">
        <is>
          <t>OVANÅKER</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46006-2024</t>
        </is>
      </c>
      <c r="B12501" s="1" t="n">
        <v>45580</v>
      </c>
      <c r="C12501" s="1" t="n">
        <v>45583</v>
      </c>
      <c r="D12501" t="inlineStr">
        <is>
          <t>GÄVLEBORGS LÄN</t>
        </is>
      </c>
      <c r="E12501" t="inlineStr">
        <is>
          <t>SÖDERHAMN</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46036-2024</t>
        </is>
      </c>
      <c r="B12502" s="1" t="n">
        <v>45580</v>
      </c>
      <c r="C12502" s="1" t="n">
        <v>45583</v>
      </c>
      <c r="D12502" t="inlineStr">
        <is>
          <t>GÄVLEBORGS LÄN</t>
        </is>
      </c>
      <c r="E12502" t="inlineStr">
        <is>
          <t>OVANÅKER</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46034-2024</t>
        </is>
      </c>
      <c r="B12503" s="1" t="n">
        <v>45580</v>
      </c>
      <c r="C12503" s="1" t="n">
        <v>45583</v>
      </c>
      <c r="D12503" t="inlineStr">
        <is>
          <t>GÄVLEBORGS LÄN</t>
        </is>
      </c>
      <c r="E12503" t="inlineStr">
        <is>
          <t>OVANÅKER</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45912-2024</t>
        </is>
      </c>
      <c r="B12504" s="1" t="n">
        <v>45580</v>
      </c>
      <c r="C12504" s="1" t="n">
        <v>45583</v>
      </c>
      <c r="D12504" t="inlineStr">
        <is>
          <t>GÄVLEBORGS LÄN</t>
        </is>
      </c>
      <c r="E12504" t="inlineStr">
        <is>
          <t>LJUSDAL</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45997-2024</t>
        </is>
      </c>
      <c r="B12505" s="1" t="n">
        <v>45580</v>
      </c>
      <c r="C12505" s="1" t="n">
        <v>45583</v>
      </c>
      <c r="D12505" t="inlineStr">
        <is>
          <t>GÄVLEBORGS LÄN</t>
        </is>
      </c>
      <c r="E12505" t="inlineStr">
        <is>
          <t>OVANÅKER</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46033-2024</t>
        </is>
      </c>
      <c r="B12506" s="1" t="n">
        <v>45580</v>
      </c>
      <c r="C12506" s="1" t="n">
        <v>45583</v>
      </c>
      <c r="D12506" t="inlineStr">
        <is>
          <t>GÄVLEBORGS LÄN</t>
        </is>
      </c>
      <c r="E12506" t="inlineStr">
        <is>
          <t>BOLLNÄS</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46080-2024</t>
        </is>
      </c>
      <c r="B12507" s="1" t="n">
        <v>45581</v>
      </c>
      <c r="C12507" s="1" t="n">
        <v>45583</v>
      </c>
      <c r="D12507" t="inlineStr">
        <is>
          <t>GÄVLEBORGS LÄN</t>
        </is>
      </c>
      <c r="E12507" t="inlineStr">
        <is>
          <t>LJUSDAL</t>
        </is>
      </c>
      <c r="F12507" t="inlineStr">
        <is>
          <t>Bergvik skog väst AB</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46099-2024</t>
        </is>
      </c>
      <c r="B12508" s="1" t="n">
        <v>45581</v>
      </c>
      <c r="C12508" s="1" t="n">
        <v>45583</v>
      </c>
      <c r="D12508" t="inlineStr">
        <is>
          <t>GÄVLEBORGS LÄN</t>
        </is>
      </c>
      <c r="E12508" t="inlineStr">
        <is>
          <t>OCKELBO</t>
        </is>
      </c>
      <c r="F12508" t="inlineStr">
        <is>
          <t>Bergvik skog väst AB</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46115-2024</t>
        </is>
      </c>
      <c r="B12509" s="1" t="n">
        <v>45581</v>
      </c>
      <c r="C12509" s="1" t="n">
        <v>45583</v>
      </c>
      <c r="D12509" t="inlineStr">
        <is>
          <t>GÄVLEBORGS LÄN</t>
        </is>
      </c>
      <c r="E12509" t="inlineStr">
        <is>
          <t>GÄVLE</t>
        </is>
      </c>
      <c r="F12509" t="inlineStr">
        <is>
          <t>Kyrkan</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46135-2024</t>
        </is>
      </c>
      <c r="B12510" s="1" t="n">
        <v>45581</v>
      </c>
      <c r="C12510" s="1" t="n">
        <v>45583</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46151-2024</t>
        </is>
      </c>
      <c r="B12511" s="1" t="n">
        <v>45581</v>
      </c>
      <c r="C12511" s="1" t="n">
        <v>45583</v>
      </c>
      <c r="D12511" t="inlineStr">
        <is>
          <t>GÄVLEBORGS LÄN</t>
        </is>
      </c>
      <c r="E12511" t="inlineStr">
        <is>
          <t>BOLLNÄS</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46074-2024</t>
        </is>
      </c>
      <c r="B12512" s="1" t="n">
        <v>45581</v>
      </c>
      <c r="C12512" s="1" t="n">
        <v>45583</v>
      </c>
      <c r="D12512" t="inlineStr">
        <is>
          <t>GÄVLEBORGS LÄN</t>
        </is>
      </c>
      <c r="E12512" t="inlineStr">
        <is>
          <t>OCKELBO</t>
        </is>
      </c>
      <c r="F12512" t="inlineStr">
        <is>
          <t>Bergvik skog väst AB</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46078-2024</t>
        </is>
      </c>
      <c r="B12513" s="1" t="n">
        <v>45581</v>
      </c>
      <c r="C12513" s="1" t="n">
        <v>45583</v>
      </c>
      <c r="D12513" t="inlineStr">
        <is>
          <t>GÄVLEBORGS LÄN</t>
        </is>
      </c>
      <c r="E12513" t="inlineStr">
        <is>
          <t>LJUSDAL</t>
        </is>
      </c>
      <c r="F12513" t="inlineStr">
        <is>
          <t>Bergvik skog väst AB</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46207-2024</t>
        </is>
      </c>
      <c r="B12514" s="1" t="n">
        <v>45581</v>
      </c>
      <c r="C12514" s="1" t="n">
        <v>45583</v>
      </c>
      <c r="D12514" t="inlineStr">
        <is>
          <t>GÄVLEBORGS LÄN</t>
        </is>
      </c>
      <c r="E12514" t="inlineStr">
        <is>
          <t>HUDIKSVALL</t>
        </is>
      </c>
      <c r="F12514" t="inlineStr">
        <is>
          <t>Holmen skog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46100-2024</t>
        </is>
      </c>
      <c r="B12515" s="1" t="n">
        <v>45581</v>
      </c>
      <c r="C12515" s="1" t="n">
        <v>45583</v>
      </c>
      <c r="D12515" t="inlineStr">
        <is>
          <t>GÄVLEBORGS LÄN</t>
        </is>
      </c>
      <c r="E12515" t="inlineStr">
        <is>
          <t>OCKELBO</t>
        </is>
      </c>
      <c r="F12515" t="inlineStr">
        <is>
          <t>Bergvik skog väst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46271-2024</t>
        </is>
      </c>
      <c r="B12516" s="1" t="n">
        <v>45581</v>
      </c>
      <c r="C12516" s="1" t="n">
        <v>45583</v>
      </c>
      <c r="D12516" t="inlineStr">
        <is>
          <t>GÄVLEBORGS LÄN</t>
        </is>
      </c>
      <c r="E12516" t="inlineStr">
        <is>
          <t>BOLLNÄS</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46217-2024</t>
        </is>
      </c>
      <c r="B12517" s="1" t="n">
        <v>45581</v>
      </c>
      <c r="C12517" s="1" t="n">
        <v>45583</v>
      </c>
      <c r="D12517" t="inlineStr">
        <is>
          <t>GÄVLEBORGS LÄN</t>
        </is>
      </c>
      <c r="E12517" t="inlineStr">
        <is>
          <t>GÄVLE</t>
        </is>
      </c>
      <c r="F12517" t="inlineStr">
        <is>
          <t>Bergvik skog väst AB</t>
        </is>
      </c>
      <c r="G12517" t="n">
        <v>15.2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46247-2024</t>
        </is>
      </c>
      <c r="B12518" s="1" t="n">
        <v>45581</v>
      </c>
      <c r="C12518" s="1" t="n">
        <v>45583</v>
      </c>
      <c r="D12518" t="inlineStr">
        <is>
          <t>GÄVLEBORGS LÄN</t>
        </is>
      </c>
      <c r="E12518" t="inlineStr">
        <is>
          <t>LJUSDAL</t>
        </is>
      </c>
      <c r="F12518" t="inlineStr">
        <is>
          <t>Sveaskog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46075-2024</t>
        </is>
      </c>
      <c r="B12519" s="1" t="n">
        <v>45581</v>
      </c>
      <c r="C12519" s="1" t="n">
        <v>45583</v>
      </c>
      <c r="D12519" t="inlineStr">
        <is>
          <t>GÄVLEBORGS LÄN</t>
        </is>
      </c>
      <c r="E12519" t="inlineStr">
        <is>
          <t>LJUSDAL</t>
        </is>
      </c>
      <c r="F12519" t="inlineStr">
        <is>
          <t>Bergvik skog väst AB</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46206-2024</t>
        </is>
      </c>
      <c r="B12520" s="1" t="n">
        <v>45581</v>
      </c>
      <c r="C12520" s="1" t="n">
        <v>45583</v>
      </c>
      <c r="D12520" t="inlineStr">
        <is>
          <t>GÄVLEBORGS LÄN</t>
        </is>
      </c>
      <c r="E12520" t="inlineStr">
        <is>
          <t>LJUSDAL</t>
        </is>
      </c>
      <c r="F12520" t="inlineStr">
        <is>
          <t>Sveaskog</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46244-2024</t>
        </is>
      </c>
      <c r="B12521" s="1" t="n">
        <v>45581</v>
      </c>
      <c r="C12521" s="1" t="n">
        <v>45583</v>
      </c>
      <c r="D12521" t="inlineStr">
        <is>
          <t>GÄVLEBORGS LÄN</t>
        </is>
      </c>
      <c r="E12521" t="inlineStr">
        <is>
          <t>LJUSDAL</t>
        </is>
      </c>
      <c r="F12521" t="inlineStr">
        <is>
          <t>Sveaskog</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46299-2024</t>
        </is>
      </c>
      <c r="B12522" s="1" t="n">
        <v>45581</v>
      </c>
      <c r="C12522" s="1" t="n">
        <v>45583</v>
      </c>
      <c r="D12522" t="inlineStr">
        <is>
          <t>GÄVLEBORGS LÄN</t>
        </is>
      </c>
      <c r="E12522" t="inlineStr">
        <is>
          <t>HUDIKSVALL</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46372-2024</t>
        </is>
      </c>
      <c r="B12523" s="1" t="n">
        <v>45582</v>
      </c>
      <c r="C12523" s="1" t="n">
        <v>45583</v>
      </c>
      <c r="D12523" t="inlineStr">
        <is>
          <t>GÄVLEBORGS LÄN</t>
        </is>
      </c>
      <c r="E12523" t="inlineStr">
        <is>
          <t>HUDIKSVALL</t>
        </is>
      </c>
      <c r="F12523" t="inlineStr">
        <is>
          <t>Holmen skog AB</t>
        </is>
      </c>
      <c r="G12523" t="n">
        <v>10.4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46376-2024</t>
        </is>
      </c>
      <c r="B12524" s="1" t="n">
        <v>45582</v>
      </c>
      <c r="C12524" s="1" t="n">
        <v>45583</v>
      </c>
      <c r="D12524" t="inlineStr">
        <is>
          <t>GÄVLEBORGS LÄN</t>
        </is>
      </c>
      <c r="E12524" t="inlineStr">
        <is>
          <t>NORDANSTIG</t>
        </is>
      </c>
      <c r="F12524" t="inlineStr">
        <is>
          <t>Holmen skog AB</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46383-2024</t>
        </is>
      </c>
      <c r="B12525" s="1" t="n">
        <v>45582</v>
      </c>
      <c r="C12525" s="1" t="n">
        <v>45583</v>
      </c>
      <c r="D12525" t="inlineStr">
        <is>
          <t>GÄVLEBORGS LÄN</t>
        </is>
      </c>
      <c r="E12525" t="inlineStr">
        <is>
          <t>BOLLNÄS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46400-2024</t>
        </is>
      </c>
      <c r="B12526" s="1" t="n">
        <v>45582</v>
      </c>
      <c r="C12526" s="1" t="n">
        <v>45583</v>
      </c>
      <c r="D12526" t="inlineStr">
        <is>
          <t>GÄVLEBORGS LÄN</t>
        </is>
      </c>
      <c r="E12526" t="inlineStr">
        <is>
          <t>GÄVLE</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46407-2024</t>
        </is>
      </c>
      <c r="B12527" s="1" t="n">
        <v>45582</v>
      </c>
      <c r="C12527" s="1" t="n">
        <v>45583</v>
      </c>
      <c r="D12527" t="inlineStr">
        <is>
          <t>GÄVLEBORGS LÄN</t>
        </is>
      </c>
      <c r="E12527" t="inlineStr">
        <is>
          <t>LJUSDAL</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46481-2024</t>
        </is>
      </c>
      <c r="B12528" s="1" t="n">
        <v>45582</v>
      </c>
      <c r="C12528" s="1" t="n">
        <v>45583</v>
      </c>
      <c r="D12528" t="inlineStr">
        <is>
          <t>GÄVLEBORGS LÄN</t>
        </is>
      </c>
      <c r="E12528" t="inlineStr">
        <is>
          <t>OCKELBO</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46438-2024</t>
        </is>
      </c>
      <c r="B12529" s="1" t="n">
        <v>45582</v>
      </c>
      <c r="C12529" s="1" t="n">
        <v>45583</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46485-2024</t>
        </is>
      </c>
      <c r="B12530" s="1" t="n">
        <v>45582</v>
      </c>
      <c r="C12530" s="1" t="n">
        <v>45583</v>
      </c>
      <c r="D12530" t="inlineStr">
        <is>
          <t>GÄVLEBORGS LÄN</t>
        </is>
      </c>
      <c r="E12530" t="inlineStr">
        <is>
          <t>OCKELBO</t>
        </is>
      </c>
      <c r="F12530" t="inlineStr">
        <is>
          <t>Bergvik skog väst AB</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46502-2024</t>
        </is>
      </c>
      <c r="B12531" s="1" t="n">
        <v>45582</v>
      </c>
      <c r="C12531" s="1" t="n">
        <v>45583</v>
      </c>
      <c r="D12531" t="inlineStr">
        <is>
          <t>GÄVLEBORGS LÄN</t>
        </is>
      </c>
      <c r="E12531" t="inlineStr">
        <is>
          <t>LJUSDAL</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46598-2024</t>
        </is>
      </c>
      <c r="B12532" s="1" t="n">
        <v>45582</v>
      </c>
      <c r="C12532" s="1" t="n">
        <v>45583</v>
      </c>
      <c r="D12532" t="inlineStr">
        <is>
          <t>GÄVLEBORGS LÄN</t>
        </is>
      </c>
      <c r="E12532" t="inlineStr">
        <is>
          <t>HUDIKSVALL</t>
        </is>
      </c>
      <c r="F12532" t="inlineStr">
        <is>
          <t>Holmen skog AB</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46449-2024</t>
        </is>
      </c>
      <c r="B12533" s="1" t="n">
        <v>45582</v>
      </c>
      <c r="C12533" s="1" t="n">
        <v>45583</v>
      </c>
      <c r="D12533" t="inlineStr">
        <is>
          <t>GÄVLEBORGS LÄN</t>
        </is>
      </c>
      <c r="E12533" t="inlineStr">
        <is>
          <t>GÄVLE</t>
        </is>
      </c>
      <c r="F12533" t="inlineStr">
        <is>
          <t>Bergvik skog väst AB</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46459-2024</t>
        </is>
      </c>
      <c r="B12534" s="1" t="n">
        <v>45582</v>
      </c>
      <c r="C12534" s="1" t="n">
        <v>45583</v>
      </c>
      <c r="D12534" t="inlineStr">
        <is>
          <t>GÄVLEBORGS LÄN</t>
        </is>
      </c>
      <c r="E12534" t="inlineStr">
        <is>
          <t>NORDANSTIG</t>
        </is>
      </c>
      <c r="F12534" t="inlineStr">
        <is>
          <t>Holmen skog AB</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46573-2024</t>
        </is>
      </c>
      <c r="B12535" s="1" t="n">
        <v>45582</v>
      </c>
      <c r="C12535" s="1" t="n">
        <v>45583</v>
      </c>
      <c r="D12535" t="inlineStr">
        <is>
          <t>GÄVLEBORGS LÄN</t>
        </is>
      </c>
      <c r="E12535" t="inlineStr">
        <is>
          <t>SANDVIKEN</t>
        </is>
      </c>
      <c r="G12535" t="n">
        <v>6.4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46593-2024</t>
        </is>
      </c>
      <c r="B12536" s="1" t="n">
        <v>45582</v>
      </c>
      <c r="C12536" s="1" t="n">
        <v>45583</v>
      </c>
      <c r="D12536" t="inlineStr">
        <is>
          <t>GÄVLEBORGS LÄN</t>
        </is>
      </c>
      <c r="E12536" t="inlineStr">
        <is>
          <t>HUDIKSVALL</t>
        </is>
      </c>
      <c r="F12536" t="inlineStr">
        <is>
          <t>Holmen skog AB</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46605-2024</t>
        </is>
      </c>
      <c r="B12537" s="1" t="n">
        <v>45582</v>
      </c>
      <c r="C12537" s="1" t="n">
        <v>45583</v>
      </c>
      <c r="D12537" t="inlineStr">
        <is>
          <t>GÄVLEBORGS LÄN</t>
        </is>
      </c>
      <c r="E12537" t="inlineStr">
        <is>
          <t>OVANÅKER</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46341-2024</t>
        </is>
      </c>
      <c r="B12538" s="1" t="n">
        <v>45582</v>
      </c>
      <c r="C12538" s="1" t="n">
        <v>45583</v>
      </c>
      <c r="D12538" t="inlineStr">
        <is>
          <t>GÄVLEBORGS LÄN</t>
        </is>
      </c>
      <c r="E12538" t="inlineStr">
        <is>
          <t>HUDIKSVALL</t>
        </is>
      </c>
      <c r="F12538" t="inlineStr">
        <is>
          <t>Holmen skog AB</t>
        </is>
      </c>
      <c r="G12538" t="n">
        <v>11.8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46361-2024</t>
        </is>
      </c>
      <c r="B12539" s="1" t="n">
        <v>45582</v>
      </c>
      <c r="C12539" s="1" t="n">
        <v>45583</v>
      </c>
      <c r="D12539" t="inlineStr">
        <is>
          <t>GÄVLEBORGS LÄN</t>
        </is>
      </c>
      <c r="E12539" t="inlineStr">
        <is>
          <t>BOLLNÄS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46397-2024</t>
        </is>
      </c>
      <c r="B12540" s="1" t="n">
        <v>45582</v>
      </c>
      <c r="C12540" s="1" t="n">
        <v>45583</v>
      </c>
      <c r="D12540" t="inlineStr">
        <is>
          <t>GÄVLEBORGS LÄN</t>
        </is>
      </c>
      <c r="E12540" t="inlineStr">
        <is>
          <t>OVANÅKER</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46401-2024</t>
        </is>
      </c>
      <c r="B12541" s="1" t="n">
        <v>45582</v>
      </c>
      <c r="C12541" s="1" t="n">
        <v>45583</v>
      </c>
      <c r="D12541" t="inlineStr">
        <is>
          <t>GÄVLEBORGS LÄN</t>
        </is>
      </c>
      <c r="E12541" t="inlineStr">
        <is>
          <t>HUDIKSVALL</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46516-2024</t>
        </is>
      </c>
      <c r="B12542" s="1" t="n">
        <v>45582</v>
      </c>
      <c r="C12542" s="1" t="n">
        <v>45583</v>
      </c>
      <c r="D12542" t="inlineStr">
        <is>
          <t>GÄVLEBORGS LÄN</t>
        </is>
      </c>
      <c r="E12542" t="inlineStr">
        <is>
          <t>LJUSDAL</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46537-2024</t>
        </is>
      </c>
      <c r="B12543" s="1" t="n">
        <v>45582</v>
      </c>
      <c r="C12543" s="1" t="n">
        <v>45583</v>
      </c>
      <c r="D12543" t="inlineStr">
        <is>
          <t>GÄVLEBORGS LÄN</t>
        </is>
      </c>
      <c r="E12543" t="inlineStr">
        <is>
          <t>LJUSDAL</t>
        </is>
      </c>
      <c r="G12543" t="n">
        <v>1.4</v>
      </c>
      <c r="H12543" t="n">
        <v>0</v>
      </c>
      <c r="I12543" t="n">
        <v>0</v>
      </c>
      <c r="J12543" t="n">
        <v>0</v>
      </c>
      <c r="K12543" t="n">
        <v>0</v>
      </c>
      <c r="L12543" t="n">
        <v>0</v>
      </c>
      <c r="M12543" t="n">
        <v>0</v>
      </c>
      <c r="N12543" t="n">
        <v>0</v>
      </c>
      <c r="O12543" t="n">
        <v>0</v>
      </c>
      <c r="P12543" t="n">
        <v>0</v>
      </c>
      <c r="Q12543" t="n">
        <v>0</v>
      </c>
      <c r="R12543" s="2" t="inlineStr"/>
    </row>
    <row r="12544">
      <c r="A12544" t="inlineStr">
        <is>
          <t>A 46590-2024</t>
        </is>
      </c>
      <c r="B12544" s="1" t="n">
        <v>45582</v>
      </c>
      <c r="C12544" s="1" t="n">
        <v>45583</v>
      </c>
      <c r="D12544" t="inlineStr">
        <is>
          <t>GÄVLEBORGS LÄN</t>
        </is>
      </c>
      <c r="E12544" t="inlineStr">
        <is>
          <t>HUDIKSVALL</t>
        </is>
      </c>
      <c r="F12544" t="inlineStr">
        <is>
          <t>Holmen skog AB</t>
        </is>
      </c>
      <c r="G12544" t="n">
        <v>1</v>
      </c>
      <c r="H12544" t="n">
        <v>0</v>
      </c>
      <c r="I12544" t="n">
        <v>0</v>
      </c>
      <c r="J12544" t="n">
        <v>0</v>
      </c>
      <c r="K12544" t="n">
        <v>0</v>
      </c>
      <c r="L12544" t="n">
        <v>0</v>
      </c>
      <c r="M12544" t="n">
        <v>0</v>
      </c>
      <c r="N12544" t="n">
        <v>0</v>
      </c>
      <c r="O12544" t="n">
        <v>0</v>
      </c>
      <c r="P12544" t="n">
        <v>0</v>
      </c>
      <c r="Q12544" t="n">
        <v>0</v>
      </c>
      <c r="R12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2024-10-18T13:17:46Z</dcterms:created>
  <dcterms:modified xmlns:dcterms="http://purl.org/dc/terms/" xmlns:xsi="http://www.w3.org/2001/XMLSchema-instance" xsi:type="dcterms:W3CDTF">2024-10-18T13:17:57Z</dcterms:modified>
</cp:coreProperties>
</file>