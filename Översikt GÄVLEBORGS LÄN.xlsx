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45359</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45359</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45359</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45359</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45359</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45359</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45359</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45359</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45359</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45359</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45359</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45359</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45359</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45359</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45359</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45359</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45359</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45359</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45359</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45359</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45359</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45359</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45359</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45359</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45359</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45359</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45359</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45359</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45359</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45359</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45359</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45359</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45359</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45359</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45359</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45359</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45359</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45359</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45359</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45359</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45359</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45359</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45359</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45359</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45359</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45359</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45359</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45359</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45359</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45359</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45359</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45359</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45359</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45359</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45359</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45359</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45359</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45359</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45359</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45359</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45359</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45359</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45359</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45359</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45359</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45359</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45359</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45359</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45359</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1915-2019</t>
        </is>
      </c>
      <c r="B74" s="1" t="n">
        <v>43475</v>
      </c>
      <c r="C74" s="1" t="n">
        <v>45359</v>
      </c>
      <c r="D74" t="inlineStr">
        <is>
          <t>GÄVLEBORGS LÄN</t>
        </is>
      </c>
      <c r="E74" t="inlineStr">
        <is>
          <t>HUDIKSVALL</t>
        </is>
      </c>
      <c r="G74" t="n">
        <v>11.2</v>
      </c>
      <c r="H74" t="n">
        <v>0</v>
      </c>
      <c r="I74" t="n">
        <v>1</v>
      </c>
      <c r="J74" t="n">
        <v>4</v>
      </c>
      <c r="K74" t="n">
        <v>0</v>
      </c>
      <c r="L74" t="n">
        <v>0</v>
      </c>
      <c r="M74" t="n">
        <v>0</v>
      </c>
      <c r="N74" t="n">
        <v>0</v>
      </c>
      <c r="O74" t="n">
        <v>4</v>
      </c>
      <c r="P74" t="n">
        <v>0</v>
      </c>
      <c r="Q74" t="n">
        <v>5</v>
      </c>
      <c r="R74" s="2" t="inlineStr">
        <is>
          <t>Garnlav
Lunglav
Ullticka
Violettgrå tagellav
Thomsons trägnagare</t>
        </is>
      </c>
      <c r="S74">
        <f>HYPERLINK("https://klasma.github.io/Logging_2184/artfynd/A 1915-2019 artfynd.xlsx", "A 1915-2019")</f>
        <v/>
      </c>
      <c r="T74">
        <f>HYPERLINK("https://klasma.github.io/Logging_2184/kartor/A 1915-2019 karta.png", "A 1915-2019")</f>
        <v/>
      </c>
      <c r="V74">
        <f>HYPERLINK("https://klasma.github.io/Logging_2184/klagomål/A 1915-2019 FSC-klagomål.docx", "A 1915-2019")</f>
        <v/>
      </c>
      <c r="W74">
        <f>HYPERLINK("https://klasma.github.io/Logging_2184/klagomålsmail/A 1915-2019 FSC-klagomål mail.docx", "A 1915-2019")</f>
        <v/>
      </c>
      <c r="X74">
        <f>HYPERLINK("https://klasma.github.io/Logging_2184/tillsyn/A 1915-2019 tillsynsbegäran.docx", "A 1915-2019")</f>
        <v/>
      </c>
      <c r="Y74">
        <f>HYPERLINK("https://klasma.github.io/Logging_2184/tillsynsmail/A 1915-2019 tillsynsbegäran mail.docx", "A 1915-2019")</f>
        <v/>
      </c>
    </row>
    <row r="75" ht="15" customHeight="1">
      <c r="A75" t="inlineStr">
        <is>
          <t>A 5644-2019</t>
        </is>
      </c>
      <c r="B75" s="1" t="n">
        <v>43489</v>
      </c>
      <c r="C75" s="1" t="n">
        <v>45359</v>
      </c>
      <c r="D75" t="inlineStr">
        <is>
          <t>GÄVLEBORGS LÄN</t>
        </is>
      </c>
      <c r="E75" t="inlineStr">
        <is>
          <t>HUDIKSVALL</t>
        </is>
      </c>
      <c r="G75" t="n">
        <v>5.3</v>
      </c>
      <c r="H75" t="n">
        <v>3</v>
      </c>
      <c r="I75" t="n">
        <v>3</v>
      </c>
      <c r="J75" t="n">
        <v>0</v>
      </c>
      <c r="K75" t="n">
        <v>0</v>
      </c>
      <c r="L75" t="n">
        <v>0</v>
      </c>
      <c r="M75" t="n">
        <v>0</v>
      </c>
      <c r="N75" t="n">
        <v>0</v>
      </c>
      <c r="O75" t="n">
        <v>0</v>
      </c>
      <c r="P75" t="n">
        <v>0</v>
      </c>
      <c r="Q75" t="n">
        <v>5</v>
      </c>
      <c r="R75" s="2" t="inlineStr">
        <is>
          <t>Korallrot
Strutbräken
Ögonpyrola
Lopplummer
Revlummer</t>
        </is>
      </c>
      <c r="S75">
        <f>HYPERLINK("https://klasma.github.io/Logging_2184/artfynd/A 5644-2019 artfynd.xlsx", "A 5644-2019")</f>
        <v/>
      </c>
      <c r="T75">
        <f>HYPERLINK("https://klasma.github.io/Logging_2184/kartor/A 5644-2019 karta.png", "A 5644-2019")</f>
        <v/>
      </c>
      <c r="V75">
        <f>HYPERLINK("https://klasma.github.io/Logging_2184/klagomål/A 5644-2019 FSC-klagomål.docx", "A 5644-2019")</f>
        <v/>
      </c>
      <c r="W75">
        <f>HYPERLINK("https://klasma.github.io/Logging_2184/klagomålsmail/A 5644-2019 FSC-klagomål mail.docx", "A 5644-2019")</f>
        <v/>
      </c>
      <c r="X75">
        <f>HYPERLINK("https://klasma.github.io/Logging_2184/tillsyn/A 5644-2019 tillsynsbegäran.docx", "A 5644-2019")</f>
        <v/>
      </c>
      <c r="Y75">
        <f>HYPERLINK("https://klasma.github.io/Logging_2184/tillsynsmail/A 5644-2019 tillsynsbegäran mail.docx", "A 5644-2019")</f>
        <v/>
      </c>
    </row>
    <row r="76" ht="15" customHeight="1">
      <c r="A76" t="inlineStr">
        <is>
          <t>A 22996-2019</t>
        </is>
      </c>
      <c r="B76" s="1" t="n">
        <v>43591</v>
      </c>
      <c r="C76" s="1" t="n">
        <v>45359</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45359</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45359</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45359</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45359</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45359</v>
      </c>
      <c r="D81" t="inlineStr">
        <is>
          <t>GÄVLEBORGS LÄN</t>
        </is>
      </c>
      <c r="E81" t="inlineStr">
        <is>
          <t>BOLLNÄS</t>
        </is>
      </c>
      <c r="G81" t="n">
        <v>3.6</v>
      </c>
      <c r="H81" t="n">
        <v>0</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45359</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45359</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row>
    <row r="84" ht="15" customHeight="1">
      <c r="A84" t="inlineStr">
        <is>
          <t>A 49036-2021</t>
        </is>
      </c>
      <c r="B84" s="1" t="n">
        <v>44453</v>
      </c>
      <c r="C84" s="1" t="n">
        <v>45359</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45359</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45359</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45359</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29834-2022</t>
        </is>
      </c>
      <c r="B88" s="1" t="n">
        <v>44755</v>
      </c>
      <c r="C88" s="1" t="n">
        <v>45359</v>
      </c>
      <c r="D88" t="inlineStr">
        <is>
          <t>GÄVLEBORGS LÄN</t>
        </is>
      </c>
      <c r="E88" t="inlineStr">
        <is>
          <t>LJUSDAL</t>
        </is>
      </c>
      <c r="F88" t="inlineStr">
        <is>
          <t>SCA</t>
        </is>
      </c>
      <c r="G88" t="n">
        <v>21.9</v>
      </c>
      <c r="H88" t="n">
        <v>2</v>
      </c>
      <c r="I88" t="n">
        <v>0</v>
      </c>
      <c r="J88" t="n">
        <v>4</v>
      </c>
      <c r="K88" t="n">
        <v>1</v>
      </c>
      <c r="L88" t="n">
        <v>0</v>
      </c>
      <c r="M88" t="n">
        <v>0</v>
      </c>
      <c r="N88" t="n">
        <v>0</v>
      </c>
      <c r="O88" t="n">
        <v>5</v>
      </c>
      <c r="P88" t="n">
        <v>1</v>
      </c>
      <c r="Q88" t="n">
        <v>5</v>
      </c>
      <c r="R88" s="2" t="inlineStr">
        <is>
          <t>Knärot
Garnlav
Mörk kolflarnlav
Tretåig hackspett
Vedskivlav</t>
        </is>
      </c>
      <c r="S88">
        <f>HYPERLINK("https://klasma.github.io/Logging_2161/artfynd/A 29834-2022 artfynd.xlsx", "A 29834-2022")</f>
        <v/>
      </c>
      <c r="T88">
        <f>HYPERLINK("https://klasma.github.io/Logging_2161/kartor/A 29834-2022 karta.png", "A 29834-2022")</f>
        <v/>
      </c>
      <c r="U88">
        <f>HYPERLINK("https://klasma.github.io/Logging_2161/knärot/A 29834-2022 karta knärot.png", "A 29834-2022")</f>
        <v/>
      </c>
      <c r="V88">
        <f>HYPERLINK("https://klasma.github.io/Logging_2161/klagomål/A 29834-2022 FSC-klagomål.docx", "A 29834-2022")</f>
        <v/>
      </c>
      <c r="W88">
        <f>HYPERLINK("https://klasma.github.io/Logging_2161/klagomålsmail/A 29834-2022 FSC-klagomål mail.docx", "A 29834-2022")</f>
        <v/>
      </c>
      <c r="X88">
        <f>HYPERLINK("https://klasma.github.io/Logging_2161/tillsyn/A 29834-2022 tillsynsbegäran.docx", "A 29834-2022")</f>
        <v/>
      </c>
      <c r="Y88">
        <f>HYPERLINK("https://klasma.github.io/Logging_2161/tillsynsmail/A 29834-2022 tillsynsbegäran mail.docx", "A 29834-2022")</f>
        <v/>
      </c>
      <c r="Z88">
        <f>HYPERLINK("https://klasma.github.io/Logging_2161/fåglar/A 29834-2022 prioriterade fågelarter.docx", "A 29834-2022")</f>
        <v/>
      </c>
    </row>
    <row r="89" ht="15" customHeight="1">
      <c r="A89" t="inlineStr">
        <is>
          <t>A 31463-2022</t>
        </is>
      </c>
      <c r="B89" s="1" t="n">
        <v>44774</v>
      </c>
      <c r="C89" s="1" t="n">
        <v>45359</v>
      </c>
      <c r="D89" t="inlineStr">
        <is>
          <t>GÄVLEBORGS LÄN</t>
        </is>
      </c>
      <c r="E89" t="inlineStr">
        <is>
          <t>LJUSDAL</t>
        </is>
      </c>
      <c r="F89" t="inlineStr">
        <is>
          <t>SCA</t>
        </is>
      </c>
      <c r="G89" t="n">
        <v>4.3</v>
      </c>
      <c r="H89" t="n">
        <v>2</v>
      </c>
      <c r="I89" t="n">
        <v>0</v>
      </c>
      <c r="J89" t="n">
        <v>4</v>
      </c>
      <c r="K89" t="n">
        <v>1</v>
      </c>
      <c r="L89" t="n">
        <v>0</v>
      </c>
      <c r="M89" t="n">
        <v>0</v>
      </c>
      <c r="N89" t="n">
        <v>0</v>
      </c>
      <c r="O89" t="n">
        <v>5</v>
      </c>
      <c r="P89" t="n">
        <v>1</v>
      </c>
      <c r="Q89" t="n">
        <v>5</v>
      </c>
      <c r="R89" s="2" t="inlineStr">
        <is>
          <t>Knärot
Garnlav
Kolflarnlav
Lunglav
Tretåig hackspett</t>
        </is>
      </c>
      <c r="S89">
        <f>HYPERLINK("https://klasma.github.io/Logging_2161/artfynd/A 31463-2022 artfynd.xlsx", "A 31463-2022")</f>
        <v/>
      </c>
      <c r="T89">
        <f>HYPERLINK("https://klasma.github.io/Logging_2161/kartor/A 31463-2022 karta.png", "A 31463-2022")</f>
        <v/>
      </c>
      <c r="U89">
        <f>HYPERLINK("https://klasma.github.io/Logging_2161/knärot/A 31463-2022 karta knärot.png", "A 31463-2022")</f>
        <v/>
      </c>
      <c r="V89">
        <f>HYPERLINK("https://klasma.github.io/Logging_2161/klagomål/A 31463-2022 FSC-klagomål.docx", "A 31463-2022")</f>
        <v/>
      </c>
      <c r="W89">
        <f>HYPERLINK("https://klasma.github.io/Logging_2161/klagomålsmail/A 31463-2022 FSC-klagomål mail.docx", "A 31463-2022")</f>
        <v/>
      </c>
      <c r="X89">
        <f>HYPERLINK("https://klasma.github.io/Logging_2161/tillsyn/A 31463-2022 tillsynsbegäran.docx", "A 31463-2022")</f>
        <v/>
      </c>
      <c r="Y89">
        <f>HYPERLINK("https://klasma.github.io/Logging_2161/tillsynsmail/A 31463-2022 tillsynsbegäran mail.docx", "A 31463-2022")</f>
        <v/>
      </c>
      <c r="Z89">
        <f>HYPERLINK("https://klasma.github.io/Logging_2161/fåglar/A 31463-2022 prioriterade fågelarter.docx", "A 31463-2022")</f>
        <v/>
      </c>
    </row>
    <row r="90" ht="15" customHeight="1">
      <c r="A90" t="inlineStr">
        <is>
          <t>A 31524-2022</t>
        </is>
      </c>
      <c r="B90" s="1" t="n">
        <v>44775</v>
      </c>
      <c r="C90" s="1" t="n">
        <v>45359</v>
      </c>
      <c r="D90" t="inlineStr">
        <is>
          <t>GÄVLEBORGS LÄN</t>
        </is>
      </c>
      <c r="E90" t="inlineStr">
        <is>
          <t>LJUSDAL</t>
        </is>
      </c>
      <c r="F90" t="inlineStr">
        <is>
          <t>Sveaskog</t>
        </is>
      </c>
      <c r="G90" t="n">
        <v>38.6</v>
      </c>
      <c r="H90" t="n">
        <v>2</v>
      </c>
      <c r="I90" t="n">
        <v>2</v>
      </c>
      <c r="J90" t="n">
        <v>2</v>
      </c>
      <c r="K90" t="n">
        <v>0</v>
      </c>
      <c r="L90" t="n">
        <v>0</v>
      </c>
      <c r="M90" t="n">
        <v>0</v>
      </c>
      <c r="N90" t="n">
        <v>0</v>
      </c>
      <c r="O90" t="n">
        <v>2</v>
      </c>
      <c r="P90" t="n">
        <v>0</v>
      </c>
      <c r="Q90" t="n">
        <v>5</v>
      </c>
      <c r="R90" s="2" t="inlineStr">
        <is>
          <t>Garnlav
Gränsticka
Korallrot
Källmossa
Fläcknycklar</t>
        </is>
      </c>
      <c r="S90">
        <f>HYPERLINK("https://klasma.github.io/Logging_2161/artfynd/A 31524-2022 artfynd.xlsx", "A 31524-2022")</f>
        <v/>
      </c>
      <c r="T90">
        <f>HYPERLINK("https://klasma.github.io/Logging_2161/kartor/A 31524-2022 karta.png", "A 31524-2022")</f>
        <v/>
      </c>
      <c r="V90">
        <f>HYPERLINK("https://klasma.github.io/Logging_2161/klagomål/A 31524-2022 FSC-klagomål.docx", "A 31524-2022")</f>
        <v/>
      </c>
      <c r="W90">
        <f>HYPERLINK("https://klasma.github.io/Logging_2161/klagomålsmail/A 31524-2022 FSC-klagomål mail.docx", "A 31524-2022")</f>
        <v/>
      </c>
      <c r="X90">
        <f>HYPERLINK("https://klasma.github.io/Logging_2161/tillsyn/A 31524-2022 tillsynsbegäran.docx", "A 31524-2022")</f>
        <v/>
      </c>
      <c r="Y90">
        <f>HYPERLINK("https://klasma.github.io/Logging_2161/tillsynsmail/A 31524-2022 tillsynsbegäran mail.docx", "A 31524-2022")</f>
        <v/>
      </c>
    </row>
    <row r="91" ht="15" customHeight="1">
      <c r="A91" t="inlineStr">
        <is>
          <t>A 45278-2022</t>
        </is>
      </c>
      <c r="B91" s="1" t="n">
        <v>44840</v>
      </c>
      <c r="C91" s="1" t="n">
        <v>45359</v>
      </c>
      <c r="D91" t="inlineStr">
        <is>
          <t>GÄVLEBORGS LÄN</t>
        </is>
      </c>
      <c r="E91" t="inlineStr">
        <is>
          <t>GÄVLE</t>
        </is>
      </c>
      <c r="F91" t="inlineStr">
        <is>
          <t>Bergvik skog väst AB</t>
        </is>
      </c>
      <c r="G91" t="n">
        <v>8.5</v>
      </c>
      <c r="H91" t="n">
        <v>1</v>
      </c>
      <c r="I91" t="n">
        <v>4</v>
      </c>
      <c r="J91" t="n">
        <v>0</v>
      </c>
      <c r="K91" t="n">
        <v>0</v>
      </c>
      <c r="L91" t="n">
        <v>0</v>
      </c>
      <c r="M91" t="n">
        <v>0</v>
      </c>
      <c r="N91" t="n">
        <v>0</v>
      </c>
      <c r="O91" t="n">
        <v>0</v>
      </c>
      <c r="P91" t="n">
        <v>0</v>
      </c>
      <c r="Q91" t="n">
        <v>5</v>
      </c>
      <c r="R91" s="2" t="inlineStr">
        <is>
          <t>Grönpyrola
Svart trolldruva
Underviol
Vårärt
Blåsippa</t>
        </is>
      </c>
      <c r="S91">
        <f>HYPERLINK("https://klasma.github.io/Logging_2180/artfynd/A 45278-2022 artfynd.xlsx", "A 45278-2022")</f>
        <v/>
      </c>
      <c r="T91">
        <f>HYPERLINK("https://klasma.github.io/Logging_2180/kartor/A 45278-2022 karta.png", "A 45278-2022")</f>
        <v/>
      </c>
      <c r="V91">
        <f>HYPERLINK("https://klasma.github.io/Logging_2180/klagomål/A 45278-2022 FSC-klagomål.docx", "A 45278-2022")</f>
        <v/>
      </c>
      <c r="W91">
        <f>HYPERLINK("https://klasma.github.io/Logging_2180/klagomålsmail/A 45278-2022 FSC-klagomål mail.docx", "A 45278-2022")</f>
        <v/>
      </c>
      <c r="X91">
        <f>HYPERLINK("https://klasma.github.io/Logging_2180/tillsyn/A 45278-2022 tillsynsbegäran.docx", "A 45278-2022")</f>
        <v/>
      </c>
      <c r="Y91">
        <f>HYPERLINK("https://klasma.github.io/Logging_2180/tillsynsmail/A 45278-2022 tillsynsbegäran mail.docx", "A 45278-2022")</f>
        <v/>
      </c>
    </row>
    <row r="92" ht="15" customHeight="1">
      <c r="A92" t="inlineStr">
        <is>
          <t>A 55280-2022</t>
        </is>
      </c>
      <c r="B92" s="1" t="n">
        <v>44887</v>
      </c>
      <c r="C92" s="1" t="n">
        <v>45359</v>
      </c>
      <c r="D92" t="inlineStr">
        <is>
          <t>GÄVLEBORGS LÄN</t>
        </is>
      </c>
      <c r="E92" t="inlineStr">
        <is>
          <t>HUDIKSVALL</t>
        </is>
      </c>
      <c r="F92" t="inlineStr">
        <is>
          <t>Holmen skog AB</t>
        </is>
      </c>
      <c r="G92" t="n">
        <v>3.3</v>
      </c>
      <c r="H92" t="n">
        <v>0</v>
      </c>
      <c r="I92" t="n">
        <v>1</v>
      </c>
      <c r="J92" t="n">
        <v>4</v>
      </c>
      <c r="K92" t="n">
        <v>0</v>
      </c>
      <c r="L92" t="n">
        <v>0</v>
      </c>
      <c r="M92" t="n">
        <v>0</v>
      </c>
      <c r="N92" t="n">
        <v>0</v>
      </c>
      <c r="O92" t="n">
        <v>4</v>
      </c>
      <c r="P92" t="n">
        <v>0</v>
      </c>
      <c r="Q92" t="n">
        <v>5</v>
      </c>
      <c r="R92" s="2" t="inlineStr">
        <is>
          <t>Granticka
Ullticka
Veckticka
Vedtrappmossa
Korallblylav</t>
        </is>
      </c>
      <c r="S92">
        <f>HYPERLINK("https://klasma.github.io/Logging_2184/artfynd/A 55280-2022 artfynd.xlsx", "A 55280-2022")</f>
        <v/>
      </c>
      <c r="T92">
        <f>HYPERLINK("https://klasma.github.io/Logging_2184/kartor/A 55280-2022 karta.png", "A 55280-2022")</f>
        <v/>
      </c>
      <c r="V92">
        <f>HYPERLINK("https://klasma.github.io/Logging_2184/klagomål/A 55280-2022 FSC-klagomål.docx", "A 55280-2022")</f>
        <v/>
      </c>
      <c r="W92">
        <f>HYPERLINK("https://klasma.github.io/Logging_2184/klagomålsmail/A 55280-2022 FSC-klagomål mail.docx", "A 55280-2022")</f>
        <v/>
      </c>
      <c r="X92">
        <f>HYPERLINK("https://klasma.github.io/Logging_2184/tillsyn/A 55280-2022 tillsynsbegäran.docx", "A 55280-2022")</f>
        <v/>
      </c>
      <c r="Y92">
        <f>HYPERLINK("https://klasma.github.io/Logging_2184/tillsynsmail/A 55280-2022 tillsynsbegäran mail.docx", "A 55280-2022")</f>
        <v/>
      </c>
    </row>
    <row r="93" ht="15" customHeight="1">
      <c r="A93" t="inlineStr">
        <is>
          <t>A 58628-2022</t>
        </is>
      </c>
      <c r="B93" s="1" t="n">
        <v>44902</v>
      </c>
      <c r="C93" s="1" t="n">
        <v>45359</v>
      </c>
      <c r="D93" t="inlineStr">
        <is>
          <t>GÄVLEBORGS LÄN</t>
        </is>
      </c>
      <c r="E93" t="inlineStr">
        <is>
          <t>LJUSDAL</t>
        </is>
      </c>
      <c r="G93" t="n">
        <v>2.6</v>
      </c>
      <c r="H93" t="n">
        <v>2</v>
      </c>
      <c r="I93" t="n">
        <v>2</v>
      </c>
      <c r="J93" t="n">
        <v>2</v>
      </c>
      <c r="K93" t="n">
        <v>1</v>
      </c>
      <c r="L93" t="n">
        <v>0</v>
      </c>
      <c r="M93" t="n">
        <v>0</v>
      </c>
      <c r="N93" t="n">
        <v>0</v>
      </c>
      <c r="O93" t="n">
        <v>3</v>
      </c>
      <c r="P93" t="n">
        <v>1</v>
      </c>
      <c r="Q93" t="n">
        <v>5</v>
      </c>
      <c r="R93" s="2" t="inlineStr">
        <is>
          <t>Knärot
Tretåig hackspett
Ullticka
Skinnlav
Stuplav</t>
        </is>
      </c>
      <c r="S93">
        <f>HYPERLINK("https://klasma.github.io/Logging_2161/artfynd/A 58628-2022 artfynd.xlsx", "A 58628-2022")</f>
        <v/>
      </c>
      <c r="T93">
        <f>HYPERLINK("https://klasma.github.io/Logging_2161/kartor/A 58628-2022 karta.png", "A 58628-2022")</f>
        <v/>
      </c>
      <c r="U93">
        <f>HYPERLINK("https://klasma.github.io/Logging_2161/knärot/A 58628-2022 karta knärot.png", "A 58628-2022")</f>
        <v/>
      </c>
      <c r="V93">
        <f>HYPERLINK("https://klasma.github.io/Logging_2161/klagomål/A 58628-2022 FSC-klagomål.docx", "A 58628-2022")</f>
        <v/>
      </c>
      <c r="W93">
        <f>HYPERLINK("https://klasma.github.io/Logging_2161/klagomålsmail/A 58628-2022 FSC-klagomål mail.docx", "A 58628-2022")</f>
        <v/>
      </c>
      <c r="X93">
        <f>HYPERLINK("https://klasma.github.io/Logging_2161/tillsyn/A 58628-2022 tillsynsbegäran.docx", "A 58628-2022")</f>
        <v/>
      </c>
      <c r="Y93">
        <f>HYPERLINK("https://klasma.github.io/Logging_2161/tillsynsmail/A 58628-2022 tillsynsbegäran mail.docx", "A 58628-2022")</f>
        <v/>
      </c>
      <c r="Z93">
        <f>HYPERLINK("https://klasma.github.io/Logging_2161/fåglar/A 58628-2022 prioriterade fågelarter.docx", "A 58628-2022")</f>
        <v/>
      </c>
    </row>
    <row r="94" ht="15" customHeight="1">
      <c r="A94" t="inlineStr">
        <is>
          <t>A 11990-2023</t>
        </is>
      </c>
      <c r="B94" s="1" t="n">
        <v>44995</v>
      </c>
      <c r="C94" s="1" t="n">
        <v>45359</v>
      </c>
      <c r="D94" t="inlineStr">
        <is>
          <t>GÄVLEBORGS LÄN</t>
        </is>
      </c>
      <c r="E94" t="inlineStr">
        <is>
          <t>SANDVIKEN</t>
        </is>
      </c>
      <c r="G94" t="n">
        <v>1.3</v>
      </c>
      <c r="H94" t="n">
        <v>0</v>
      </c>
      <c r="I94" t="n">
        <v>5</v>
      </c>
      <c r="J94" t="n">
        <v>0</v>
      </c>
      <c r="K94" t="n">
        <v>0</v>
      </c>
      <c r="L94" t="n">
        <v>0</v>
      </c>
      <c r="M94" t="n">
        <v>0</v>
      </c>
      <c r="N94" t="n">
        <v>0</v>
      </c>
      <c r="O94" t="n">
        <v>0</v>
      </c>
      <c r="P94" t="n">
        <v>0</v>
      </c>
      <c r="Q94" t="n">
        <v>5</v>
      </c>
      <c r="R94" s="2" t="inlineStr">
        <is>
          <t>Aspvedgnagare
Bronshjon
Thomsons trägnagare
Vedticka
Vågbandad barkbock</t>
        </is>
      </c>
      <c r="S94">
        <f>HYPERLINK("https://klasma.github.io/Logging_2181/artfynd/A 11990-2023 artfynd.xlsx", "A 11990-2023")</f>
        <v/>
      </c>
      <c r="T94">
        <f>HYPERLINK("https://klasma.github.io/Logging_2181/kartor/A 11990-2023 karta.png", "A 11990-2023")</f>
        <v/>
      </c>
      <c r="V94">
        <f>HYPERLINK("https://klasma.github.io/Logging_2181/klagomål/A 11990-2023 FSC-klagomål.docx", "A 11990-2023")</f>
        <v/>
      </c>
      <c r="W94">
        <f>HYPERLINK("https://klasma.github.io/Logging_2181/klagomålsmail/A 11990-2023 FSC-klagomål mail.docx", "A 11990-2023")</f>
        <v/>
      </c>
      <c r="X94">
        <f>HYPERLINK("https://klasma.github.io/Logging_2181/tillsyn/A 11990-2023 tillsynsbegäran.docx", "A 11990-2023")</f>
        <v/>
      </c>
      <c r="Y94">
        <f>HYPERLINK("https://klasma.github.io/Logging_2181/tillsynsmail/A 11990-2023 tillsynsbegäran mail.docx", "A 11990-2023")</f>
        <v/>
      </c>
    </row>
    <row r="95" ht="15" customHeight="1">
      <c r="A95" t="inlineStr">
        <is>
          <t>A 13750-2023</t>
        </is>
      </c>
      <c r="B95" s="1" t="n">
        <v>45007</v>
      </c>
      <c r="C95" s="1" t="n">
        <v>45359</v>
      </c>
      <c r="D95" t="inlineStr">
        <is>
          <t>GÄVLEBORGS LÄN</t>
        </is>
      </c>
      <c r="E95" t="inlineStr">
        <is>
          <t>HOFORS</t>
        </is>
      </c>
      <c r="F95" t="inlineStr">
        <is>
          <t>Övriga statliga verk och myndigheter</t>
        </is>
      </c>
      <c r="G95" t="n">
        <v>1.1</v>
      </c>
      <c r="H95" t="n">
        <v>1</v>
      </c>
      <c r="I95" t="n">
        <v>2</v>
      </c>
      <c r="J95" t="n">
        <v>3</v>
      </c>
      <c r="K95" t="n">
        <v>0</v>
      </c>
      <c r="L95" t="n">
        <v>0</v>
      </c>
      <c r="M95" t="n">
        <v>0</v>
      </c>
      <c r="N95" t="n">
        <v>0</v>
      </c>
      <c r="O95" t="n">
        <v>3</v>
      </c>
      <c r="P95" t="n">
        <v>0</v>
      </c>
      <c r="Q95" t="n">
        <v>5</v>
      </c>
      <c r="R95" s="2" t="inlineStr">
        <is>
          <t>Gultoppig fingersvamp
Leptoporus mollis
Talltita
Fjällig taggsvamp s.str.
Vedticka</t>
        </is>
      </c>
      <c r="S95">
        <f>HYPERLINK("https://klasma.github.io/Logging_2104/artfynd/A 13750-2023 artfynd.xlsx", "A 13750-2023")</f>
        <v/>
      </c>
      <c r="T95">
        <f>HYPERLINK("https://klasma.github.io/Logging_2104/kartor/A 13750-2023 karta.png", "A 13750-2023")</f>
        <v/>
      </c>
      <c r="V95">
        <f>HYPERLINK("https://klasma.github.io/Logging_2104/klagomål/A 13750-2023 FSC-klagomål.docx", "A 13750-2023")</f>
        <v/>
      </c>
      <c r="W95">
        <f>HYPERLINK("https://klasma.github.io/Logging_2104/klagomålsmail/A 13750-2023 FSC-klagomål mail.docx", "A 13750-2023")</f>
        <v/>
      </c>
      <c r="X95">
        <f>HYPERLINK("https://klasma.github.io/Logging_2104/tillsyn/A 13750-2023 tillsynsbegäran.docx", "A 13750-2023")</f>
        <v/>
      </c>
      <c r="Y95">
        <f>HYPERLINK("https://klasma.github.io/Logging_2104/tillsynsmail/A 13750-2023 tillsynsbegäran mail.docx", "A 13750-2023")</f>
        <v/>
      </c>
      <c r="Z95">
        <f>HYPERLINK("https://klasma.github.io/Logging_2104/fåglar/A 13750-2023 prioriterade fågelarter.docx", "A 13750-2023")</f>
        <v/>
      </c>
    </row>
    <row r="96" ht="15" customHeight="1">
      <c r="A96" t="inlineStr">
        <is>
          <t>A 13740-2023</t>
        </is>
      </c>
      <c r="B96" s="1" t="n">
        <v>45007</v>
      </c>
      <c r="C96" s="1" t="n">
        <v>45359</v>
      </c>
      <c r="D96" t="inlineStr">
        <is>
          <t>GÄVLEBORGS LÄN</t>
        </is>
      </c>
      <c r="E96" t="inlineStr">
        <is>
          <t>HOFORS</t>
        </is>
      </c>
      <c r="F96" t="inlineStr">
        <is>
          <t>Övriga statliga verk och myndigheter</t>
        </is>
      </c>
      <c r="G96" t="n">
        <v>2.7</v>
      </c>
      <c r="H96" t="n">
        <v>2</v>
      </c>
      <c r="I96" t="n">
        <v>1</v>
      </c>
      <c r="J96" t="n">
        <v>3</v>
      </c>
      <c r="K96" t="n">
        <v>1</v>
      </c>
      <c r="L96" t="n">
        <v>0</v>
      </c>
      <c r="M96" t="n">
        <v>0</v>
      </c>
      <c r="N96" t="n">
        <v>0</v>
      </c>
      <c r="O96" t="n">
        <v>4</v>
      </c>
      <c r="P96" t="n">
        <v>1</v>
      </c>
      <c r="Q96" t="n">
        <v>5</v>
      </c>
      <c r="R96" s="2" t="inlineStr">
        <is>
          <t>Knärot
Garnlav
Spillkråka
Ullticka
Vedticka</t>
        </is>
      </c>
      <c r="S96">
        <f>HYPERLINK("https://klasma.github.io/Logging_2104/artfynd/A 13740-2023 artfynd.xlsx", "A 13740-2023")</f>
        <v/>
      </c>
      <c r="T96">
        <f>HYPERLINK("https://klasma.github.io/Logging_2104/kartor/A 13740-2023 karta.png", "A 13740-2023")</f>
        <v/>
      </c>
      <c r="U96">
        <f>HYPERLINK("https://klasma.github.io/Logging_2104/knärot/A 13740-2023 karta knärot.png", "A 13740-2023")</f>
        <v/>
      </c>
      <c r="V96">
        <f>HYPERLINK("https://klasma.github.io/Logging_2104/klagomål/A 13740-2023 FSC-klagomål.docx", "A 13740-2023")</f>
        <v/>
      </c>
      <c r="W96">
        <f>HYPERLINK("https://klasma.github.io/Logging_2104/klagomålsmail/A 13740-2023 FSC-klagomål mail.docx", "A 13740-2023")</f>
        <v/>
      </c>
      <c r="X96">
        <f>HYPERLINK("https://klasma.github.io/Logging_2104/tillsyn/A 13740-2023 tillsynsbegäran.docx", "A 13740-2023")</f>
        <v/>
      </c>
      <c r="Y96">
        <f>HYPERLINK("https://klasma.github.io/Logging_2104/tillsynsmail/A 13740-2023 tillsynsbegäran mail.docx", "A 13740-2023")</f>
        <v/>
      </c>
      <c r="Z96">
        <f>HYPERLINK("https://klasma.github.io/Logging_2104/fåglar/A 13740-2023 prioriterade fågelarter.docx", "A 13740-2023")</f>
        <v/>
      </c>
    </row>
    <row r="97" ht="15" customHeight="1">
      <c r="A97" t="inlineStr">
        <is>
          <t>A 19521-2023</t>
        </is>
      </c>
      <c r="B97" s="1" t="n">
        <v>45050</v>
      </c>
      <c r="C97" s="1" t="n">
        <v>45359</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45359</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45359</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45359</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45359</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45359</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45359</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45359</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45359</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46239-2018</t>
        </is>
      </c>
      <c r="B106" s="1" t="n">
        <v>43367</v>
      </c>
      <c r="C106" s="1" t="n">
        <v>45359</v>
      </c>
      <c r="D106" t="inlineStr">
        <is>
          <t>GÄVLEBORGS LÄN</t>
        </is>
      </c>
      <c r="E106" t="inlineStr">
        <is>
          <t>LJUSDAL</t>
        </is>
      </c>
      <c r="G106" t="n">
        <v>113.5</v>
      </c>
      <c r="H106" t="n">
        <v>3</v>
      </c>
      <c r="I106" t="n">
        <v>0</v>
      </c>
      <c r="J106" t="n">
        <v>2</v>
      </c>
      <c r="K106" t="n">
        <v>0</v>
      </c>
      <c r="L106" t="n">
        <v>0</v>
      </c>
      <c r="M106" t="n">
        <v>1</v>
      </c>
      <c r="N106" t="n">
        <v>0</v>
      </c>
      <c r="O106" t="n">
        <v>3</v>
      </c>
      <c r="P106" t="n">
        <v>1</v>
      </c>
      <c r="Q106" t="n">
        <v>4</v>
      </c>
      <c r="R106" s="2" t="inlineStr">
        <is>
          <t>Ortolansparv
Buskskvätta
Slåtterfibbla
Nattviol</t>
        </is>
      </c>
      <c r="S106">
        <f>HYPERLINK("https://klasma.github.io/Logging_2161/artfynd/A 46239-2018 artfynd.xlsx", "A 46239-2018")</f>
        <v/>
      </c>
      <c r="T106">
        <f>HYPERLINK("https://klasma.github.io/Logging_2161/kartor/A 46239-2018 karta.png", "A 46239-2018")</f>
        <v/>
      </c>
      <c r="V106">
        <f>HYPERLINK("https://klasma.github.io/Logging_2161/klagomål/A 46239-2018 FSC-klagomål.docx", "A 46239-2018")</f>
        <v/>
      </c>
      <c r="W106">
        <f>HYPERLINK("https://klasma.github.io/Logging_2161/klagomålsmail/A 46239-2018 FSC-klagomål mail.docx", "A 46239-2018")</f>
        <v/>
      </c>
      <c r="X106">
        <f>HYPERLINK("https://klasma.github.io/Logging_2161/tillsyn/A 46239-2018 tillsynsbegäran.docx", "A 46239-2018")</f>
        <v/>
      </c>
      <c r="Y106">
        <f>HYPERLINK("https://klasma.github.io/Logging_2161/tillsynsmail/A 46239-2018 tillsynsbegäran mail.docx", "A 46239-2018")</f>
        <v/>
      </c>
      <c r="Z106">
        <f>HYPERLINK("https://klasma.github.io/Logging_2161/fåglar/A 46239-2018 prioriterade fågelarter.docx", "A 46239-2018")</f>
        <v/>
      </c>
    </row>
    <row r="107" ht="15" customHeight="1">
      <c r="A107" t="inlineStr">
        <is>
          <t>A 57120-2018</t>
        </is>
      </c>
      <c r="B107" s="1" t="n">
        <v>43403</v>
      </c>
      <c r="C107" s="1" t="n">
        <v>45359</v>
      </c>
      <c r="D107" t="inlineStr">
        <is>
          <t>GÄVLEBORGS LÄN</t>
        </is>
      </c>
      <c r="E107" t="inlineStr">
        <is>
          <t>HUDIKSVALL</t>
        </is>
      </c>
      <c r="F107" t="inlineStr">
        <is>
          <t>Holmen skog AB</t>
        </is>
      </c>
      <c r="G107" t="n">
        <v>6.8</v>
      </c>
      <c r="H107" t="n">
        <v>1</v>
      </c>
      <c r="I107" t="n">
        <v>0</v>
      </c>
      <c r="J107" t="n">
        <v>4</v>
      </c>
      <c r="K107" t="n">
        <v>0</v>
      </c>
      <c r="L107" t="n">
        <v>0</v>
      </c>
      <c r="M107" t="n">
        <v>0</v>
      </c>
      <c r="N107" t="n">
        <v>0</v>
      </c>
      <c r="O107" t="n">
        <v>4</v>
      </c>
      <c r="P107" t="n">
        <v>0</v>
      </c>
      <c r="Q107" t="n">
        <v>4</v>
      </c>
      <c r="R107" s="2" t="inlineStr">
        <is>
          <t>Kortskaftad ärgspik
Tallticka
Tretåig hackspett
Ullticka</t>
        </is>
      </c>
      <c r="S107">
        <f>HYPERLINK("https://klasma.github.io/Logging_2184/artfynd/A 57120-2018 artfynd.xlsx", "A 57120-2018")</f>
        <v/>
      </c>
      <c r="T107">
        <f>HYPERLINK("https://klasma.github.io/Logging_2184/kartor/A 57120-2018 karta.png", "A 57120-2018")</f>
        <v/>
      </c>
      <c r="V107">
        <f>HYPERLINK("https://klasma.github.io/Logging_2184/klagomål/A 57120-2018 FSC-klagomål.docx", "A 57120-2018")</f>
        <v/>
      </c>
      <c r="W107">
        <f>HYPERLINK("https://klasma.github.io/Logging_2184/klagomålsmail/A 57120-2018 FSC-klagomål mail.docx", "A 57120-2018")</f>
        <v/>
      </c>
      <c r="X107">
        <f>HYPERLINK("https://klasma.github.io/Logging_2184/tillsyn/A 57120-2018 tillsynsbegäran.docx", "A 57120-2018")</f>
        <v/>
      </c>
      <c r="Y107">
        <f>HYPERLINK("https://klasma.github.io/Logging_2184/tillsynsmail/A 57120-2018 tillsynsbegäran mail.docx", "A 57120-2018")</f>
        <v/>
      </c>
      <c r="Z107">
        <f>HYPERLINK("https://klasma.github.io/Logging_2184/fåglar/A 57120-2018 prioriterade fågelarter.docx", "A 57120-2018")</f>
        <v/>
      </c>
    </row>
    <row r="108" ht="15" customHeight="1">
      <c r="A108" t="inlineStr">
        <is>
          <t>A 67528-2018</t>
        </is>
      </c>
      <c r="B108" s="1" t="n">
        <v>43432</v>
      </c>
      <c r="C108" s="1" t="n">
        <v>45359</v>
      </c>
      <c r="D108" t="inlineStr">
        <is>
          <t>GÄVLEBORGS LÄN</t>
        </is>
      </c>
      <c r="E108" t="inlineStr">
        <is>
          <t>LJUSDAL</t>
        </is>
      </c>
      <c r="F108" t="inlineStr">
        <is>
          <t>Sveaskog</t>
        </is>
      </c>
      <c r="G108" t="n">
        <v>509.1</v>
      </c>
      <c r="H108" t="n">
        <v>1</v>
      </c>
      <c r="I108" t="n">
        <v>1</v>
      </c>
      <c r="J108" t="n">
        <v>2</v>
      </c>
      <c r="K108" t="n">
        <v>0</v>
      </c>
      <c r="L108" t="n">
        <v>0</v>
      </c>
      <c r="M108" t="n">
        <v>1</v>
      </c>
      <c r="N108" t="n">
        <v>0</v>
      </c>
      <c r="O108" t="n">
        <v>3</v>
      </c>
      <c r="P108" t="n">
        <v>1</v>
      </c>
      <c r="Q108" t="n">
        <v>4</v>
      </c>
      <c r="R108" s="2" t="inlineStr">
        <is>
          <t>Ortolansparv
Brunag
Svedjenäva
Tibast</t>
        </is>
      </c>
      <c r="S108">
        <f>HYPERLINK("https://klasma.github.io/Logging_2161/artfynd/A 67528-2018 artfynd.xlsx", "A 67528-2018")</f>
        <v/>
      </c>
      <c r="T108">
        <f>HYPERLINK("https://klasma.github.io/Logging_2161/kartor/A 67528-2018 karta.png", "A 67528-2018")</f>
        <v/>
      </c>
      <c r="V108">
        <f>HYPERLINK("https://klasma.github.io/Logging_2161/klagomål/A 67528-2018 FSC-klagomål.docx", "A 67528-2018")</f>
        <v/>
      </c>
      <c r="W108">
        <f>HYPERLINK("https://klasma.github.io/Logging_2161/klagomålsmail/A 67528-2018 FSC-klagomål mail.docx", "A 67528-2018")</f>
        <v/>
      </c>
      <c r="X108">
        <f>HYPERLINK("https://klasma.github.io/Logging_2161/tillsyn/A 67528-2018 tillsynsbegäran.docx", "A 67528-2018")</f>
        <v/>
      </c>
      <c r="Y108">
        <f>HYPERLINK("https://klasma.github.io/Logging_2161/tillsynsmail/A 67528-2018 tillsynsbegäran mail.docx", "A 67528-2018")</f>
        <v/>
      </c>
      <c r="Z108">
        <f>HYPERLINK("https://klasma.github.io/Logging_2161/fåglar/A 67528-2018 prioriterade fågelarter.docx", "A 67528-2018")</f>
        <v/>
      </c>
    </row>
    <row r="109" ht="15" customHeight="1">
      <c r="A109" t="inlineStr">
        <is>
          <t>A 47377-2019</t>
        </is>
      </c>
      <c r="B109" s="1" t="n">
        <v>43721</v>
      </c>
      <c r="C109" s="1" t="n">
        <v>45359</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45359</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45359</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45359</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45359</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64590-2020</t>
        </is>
      </c>
      <c r="B114" s="1" t="n">
        <v>44169</v>
      </c>
      <c r="C114" s="1" t="n">
        <v>45359</v>
      </c>
      <c r="D114" t="inlineStr">
        <is>
          <t>GÄVLEBORGS LÄN</t>
        </is>
      </c>
      <c r="E114" t="inlineStr">
        <is>
          <t>OCKELBO</t>
        </is>
      </c>
      <c r="F114" t="inlineStr">
        <is>
          <t>Bergvik skog väst AB</t>
        </is>
      </c>
      <c r="G114" t="n">
        <v>2.8</v>
      </c>
      <c r="H114" t="n">
        <v>1</v>
      </c>
      <c r="I114" t="n">
        <v>0</v>
      </c>
      <c r="J114" t="n">
        <v>3</v>
      </c>
      <c r="K114" t="n">
        <v>0</v>
      </c>
      <c r="L114" t="n">
        <v>0</v>
      </c>
      <c r="M114" t="n">
        <v>0</v>
      </c>
      <c r="N114" t="n">
        <v>0</v>
      </c>
      <c r="O114" t="n">
        <v>3</v>
      </c>
      <c r="P114" t="n">
        <v>0</v>
      </c>
      <c r="Q114" t="n">
        <v>4</v>
      </c>
      <c r="R114" s="2" t="inlineStr">
        <is>
          <t>Garnlav
Motaggsvamp
Vedskivlav
Revlummer</t>
        </is>
      </c>
      <c r="S114">
        <f>HYPERLINK("https://klasma.github.io/Logging_2101/artfynd/A 64590-2020 artfynd.xlsx", "A 64590-2020")</f>
        <v/>
      </c>
      <c r="T114">
        <f>HYPERLINK("https://klasma.github.io/Logging_2101/kartor/A 64590-2020 karta.png", "A 64590-2020")</f>
        <v/>
      </c>
      <c r="V114">
        <f>HYPERLINK("https://klasma.github.io/Logging_2101/klagomål/A 64590-2020 FSC-klagomål.docx", "A 64590-2020")</f>
        <v/>
      </c>
      <c r="W114">
        <f>HYPERLINK("https://klasma.github.io/Logging_2101/klagomålsmail/A 64590-2020 FSC-klagomål mail.docx", "A 64590-2020")</f>
        <v/>
      </c>
      <c r="X114">
        <f>HYPERLINK("https://klasma.github.io/Logging_2101/tillsyn/A 64590-2020 tillsynsbegäran.docx", "A 64590-2020")</f>
        <v/>
      </c>
      <c r="Y114">
        <f>HYPERLINK("https://klasma.github.io/Logging_2101/tillsynsmail/A 64590-2020 tillsynsbegäran mail.docx", "A 64590-2020")</f>
        <v/>
      </c>
    </row>
    <row r="115" ht="15" customHeight="1">
      <c r="A115" t="inlineStr">
        <is>
          <t>A 48181-2021</t>
        </is>
      </c>
      <c r="B115" s="1" t="n">
        <v>44449</v>
      </c>
      <c r="C115" s="1" t="n">
        <v>45359</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45359</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45359</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45359</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45359</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44589-2022</t>
        </is>
      </c>
      <c r="B120" s="1" t="n">
        <v>44840</v>
      </c>
      <c r="C120" s="1" t="n">
        <v>45359</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45359</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18274-2023</t>
        </is>
      </c>
      <c r="B122" s="1" t="n">
        <v>45041</v>
      </c>
      <c r="C122" s="1" t="n">
        <v>45359</v>
      </c>
      <c r="D122" t="inlineStr">
        <is>
          <t>GÄVLEBORGS LÄN</t>
        </is>
      </c>
      <c r="E122" t="inlineStr">
        <is>
          <t>SÖDERHAMN</t>
        </is>
      </c>
      <c r="F122" t="inlineStr">
        <is>
          <t>Bergvik skog väst AB</t>
        </is>
      </c>
      <c r="G122" t="n">
        <v>10.6</v>
      </c>
      <c r="H122" t="n">
        <v>4</v>
      </c>
      <c r="I122" t="n">
        <v>0</v>
      </c>
      <c r="J122" t="n">
        <v>4</v>
      </c>
      <c r="K122" t="n">
        <v>0</v>
      </c>
      <c r="L122" t="n">
        <v>0</v>
      </c>
      <c r="M122" t="n">
        <v>0</v>
      </c>
      <c r="N122" t="n">
        <v>0</v>
      </c>
      <c r="O122" t="n">
        <v>4</v>
      </c>
      <c r="P122" t="n">
        <v>0</v>
      </c>
      <c r="Q122" t="n">
        <v>4</v>
      </c>
      <c r="R122" s="2" t="inlineStr">
        <is>
          <t>Mindre hackspett
Rödvingetrast
Talltita
Ärtsångare</t>
        </is>
      </c>
      <c r="S122">
        <f>HYPERLINK("https://klasma.github.io/Logging_2182/artfynd/A 18274-2023 artfynd.xlsx", "A 18274-2023")</f>
        <v/>
      </c>
      <c r="T122">
        <f>HYPERLINK("https://klasma.github.io/Logging_2182/kartor/A 18274-2023 karta.png", "A 18274-2023")</f>
        <v/>
      </c>
      <c r="V122">
        <f>HYPERLINK("https://klasma.github.io/Logging_2182/klagomål/A 18274-2023 FSC-klagomål.docx", "A 18274-2023")</f>
        <v/>
      </c>
      <c r="W122">
        <f>HYPERLINK("https://klasma.github.io/Logging_2182/klagomålsmail/A 18274-2023 FSC-klagomål mail.docx", "A 18274-2023")</f>
        <v/>
      </c>
      <c r="X122">
        <f>HYPERLINK("https://klasma.github.io/Logging_2182/tillsyn/A 18274-2023 tillsynsbegäran.docx", "A 18274-2023")</f>
        <v/>
      </c>
      <c r="Y122">
        <f>HYPERLINK("https://klasma.github.io/Logging_2182/tillsynsmail/A 18274-2023 tillsynsbegäran mail.docx", "A 18274-2023")</f>
        <v/>
      </c>
      <c r="Z122">
        <f>HYPERLINK("https://klasma.github.io/Logging_2182/fåglar/A 18274-2023 prioriterade fågelarter.docx", "A 18274-2023")</f>
        <v/>
      </c>
    </row>
    <row r="123" ht="15" customHeight="1">
      <c r="A123" t="inlineStr">
        <is>
          <t>A 22978-2023</t>
        </is>
      </c>
      <c r="B123" s="1" t="n">
        <v>45072</v>
      </c>
      <c r="C123" s="1" t="n">
        <v>45359</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45359</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45359</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45359</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45359</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45196-2023</t>
        </is>
      </c>
      <c r="B128" s="1" t="n">
        <v>45191</v>
      </c>
      <c r="C128" s="1" t="n">
        <v>45359</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45359</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45359</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45359</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45359</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45359</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45359</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45359</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45359</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45359</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45359</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43562-2018</t>
        </is>
      </c>
      <c r="B139" s="1" t="n">
        <v>43357</v>
      </c>
      <c r="C139" s="1" t="n">
        <v>45359</v>
      </c>
      <c r="D139" t="inlineStr">
        <is>
          <t>GÄVLEBORGS LÄN</t>
        </is>
      </c>
      <c r="E139" t="inlineStr">
        <is>
          <t>LJUSDAL</t>
        </is>
      </c>
      <c r="G139" t="n">
        <v>64.59999999999999</v>
      </c>
      <c r="H139" t="n">
        <v>3</v>
      </c>
      <c r="I139" t="n">
        <v>0</v>
      </c>
      <c r="J139" t="n">
        <v>3</v>
      </c>
      <c r="K139" t="n">
        <v>0</v>
      </c>
      <c r="L139" t="n">
        <v>0</v>
      </c>
      <c r="M139" t="n">
        <v>0</v>
      </c>
      <c r="N139" t="n">
        <v>0</v>
      </c>
      <c r="O139" t="n">
        <v>3</v>
      </c>
      <c r="P139" t="n">
        <v>0</v>
      </c>
      <c r="Q139" t="n">
        <v>3</v>
      </c>
      <c r="R139" s="2" t="inlineStr">
        <is>
          <t>Björktrast
Rödvingetrast
Tretåig hackspett</t>
        </is>
      </c>
      <c r="S139">
        <f>HYPERLINK("https://klasma.github.io/Logging_2161/artfynd/A 43562-2018 artfynd.xlsx", "A 43562-2018")</f>
        <v/>
      </c>
      <c r="T139">
        <f>HYPERLINK("https://klasma.github.io/Logging_2161/kartor/A 43562-2018 karta.png", "A 43562-2018")</f>
        <v/>
      </c>
      <c r="V139">
        <f>HYPERLINK("https://klasma.github.io/Logging_2161/klagomål/A 43562-2018 FSC-klagomål.docx", "A 43562-2018")</f>
        <v/>
      </c>
      <c r="W139">
        <f>HYPERLINK("https://klasma.github.io/Logging_2161/klagomålsmail/A 43562-2018 FSC-klagomål mail.docx", "A 43562-2018")</f>
        <v/>
      </c>
      <c r="X139">
        <f>HYPERLINK("https://klasma.github.io/Logging_2161/tillsyn/A 43562-2018 tillsynsbegäran.docx", "A 43562-2018")</f>
        <v/>
      </c>
      <c r="Y139">
        <f>HYPERLINK("https://klasma.github.io/Logging_2161/tillsynsmail/A 43562-2018 tillsynsbegäran mail.docx", "A 43562-2018")</f>
        <v/>
      </c>
      <c r="Z139">
        <f>HYPERLINK("https://klasma.github.io/Logging_2161/fåglar/A 43562-2018 prioriterade fågelarter.docx", "A 43562-2018")</f>
        <v/>
      </c>
    </row>
    <row r="140" ht="15" customHeight="1">
      <c r="A140" t="inlineStr">
        <is>
          <t>A 21895-2019</t>
        </is>
      </c>
      <c r="B140" s="1" t="n">
        <v>43584</v>
      </c>
      <c r="C140" s="1" t="n">
        <v>45359</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45359</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45359</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45359</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45359</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45359</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45359</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45359</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45359</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45359</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45359</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45359</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45359</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21238-2021</t>
        </is>
      </c>
      <c r="B153" s="1" t="n">
        <v>44320</v>
      </c>
      <c r="C153" s="1" t="n">
        <v>45359</v>
      </c>
      <c r="D153" t="inlineStr">
        <is>
          <t>GÄVLEBORGS LÄN</t>
        </is>
      </c>
      <c r="E153" t="inlineStr">
        <is>
          <t>OVANÅKER</t>
        </is>
      </c>
      <c r="F153" t="inlineStr">
        <is>
          <t>Sveaskog</t>
        </is>
      </c>
      <c r="G153" t="n">
        <v>1.7</v>
      </c>
      <c r="H153" t="n">
        <v>0</v>
      </c>
      <c r="I153" t="n">
        <v>0</v>
      </c>
      <c r="J153" t="n">
        <v>3</v>
      </c>
      <c r="K153" t="n">
        <v>0</v>
      </c>
      <c r="L153" t="n">
        <v>0</v>
      </c>
      <c r="M153" t="n">
        <v>0</v>
      </c>
      <c r="N153" t="n">
        <v>0</v>
      </c>
      <c r="O153" t="n">
        <v>3</v>
      </c>
      <c r="P153" t="n">
        <v>0</v>
      </c>
      <c r="Q153" t="n">
        <v>3</v>
      </c>
      <c r="R153" s="2" t="inlineStr">
        <is>
          <t>Dvärgbägarlav
Gammelgransskål
Kolflarnlav</t>
        </is>
      </c>
      <c r="S153">
        <f>HYPERLINK("https://klasma.github.io/Logging_2121/artfynd/A 21238-2021 artfynd.xlsx", "A 21238-2021")</f>
        <v/>
      </c>
      <c r="T153">
        <f>HYPERLINK("https://klasma.github.io/Logging_2121/kartor/A 21238-2021 karta.png", "A 21238-2021")</f>
        <v/>
      </c>
      <c r="V153">
        <f>HYPERLINK("https://klasma.github.io/Logging_2121/klagomål/A 21238-2021 FSC-klagomål.docx", "A 21238-2021")</f>
        <v/>
      </c>
      <c r="W153">
        <f>HYPERLINK("https://klasma.github.io/Logging_2121/klagomålsmail/A 21238-2021 FSC-klagomål mail.docx", "A 21238-2021")</f>
        <v/>
      </c>
      <c r="X153">
        <f>HYPERLINK("https://klasma.github.io/Logging_2121/tillsyn/A 21238-2021 tillsynsbegäran.docx", "A 21238-2021")</f>
        <v/>
      </c>
      <c r="Y153">
        <f>HYPERLINK("https://klasma.github.io/Logging_2121/tillsynsmail/A 21238-2021 tillsynsbegäran mail.docx", "A 21238-2021")</f>
        <v/>
      </c>
    </row>
    <row r="154" ht="15" customHeight="1">
      <c r="A154" t="inlineStr">
        <is>
          <t>A 22461-2021</t>
        </is>
      </c>
      <c r="B154" s="1" t="n">
        <v>44326</v>
      </c>
      <c r="C154" s="1" t="n">
        <v>45359</v>
      </c>
      <c r="D154" t="inlineStr">
        <is>
          <t>GÄVLEBORGS LÄN</t>
        </is>
      </c>
      <c r="E154" t="inlineStr">
        <is>
          <t>LJUSDAL</t>
        </is>
      </c>
      <c r="F154" t="inlineStr">
        <is>
          <t>Sveaskog</t>
        </is>
      </c>
      <c r="G154" t="n">
        <v>7.1</v>
      </c>
      <c r="H154" t="n">
        <v>1</v>
      </c>
      <c r="I154" t="n">
        <v>1</v>
      </c>
      <c r="J154" t="n">
        <v>1</v>
      </c>
      <c r="K154" t="n">
        <v>0</v>
      </c>
      <c r="L154" t="n">
        <v>0</v>
      </c>
      <c r="M154" t="n">
        <v>0</v>
      </c>
      <c r="N154" t="n">
        <v>0</v>
      </c>
      <c r="O154" t="n">
        <v>1</v>
      </c>
      <c r="P154" t="n">
        <v>0</v>
      </c>
      <c r="Q154" t="n">
        <v>3</v>
      </c>
      <c r="R154" s="2" t="inlineStr">
        <is>
          <t>Lunglav
Stuplav
Revlummer</t>
        </is>
      </c>
      <c r="S154">
        <f>HYPERLINK("https://klasma.github.io/Logging_2161/artfynd/A 22461-2021 artfynd.xlsx", "A 22461-2021")</f>
        <v/>
      </c>
      <c r="T154">
        <f>HYPERLINK("https://klasma.github.io/Logging_2161/kartor/A 22461-2021 karta.png", "A 22461-2021")</f>
        <v/>
      </c>
      <c r="V154">
        <f>HYPERLINK("https://klasma.github.io/Logging_2161/klagomål/A 22461-2021 FSC-klagomål.docx", "A 22461-2021")</f>
        <v/>
      </c>
      <c r="W154">
        <f>HYPERLINK("https://klasma.github.io/Logging_2161/klagomålsmail/A 22461-2021 FSC-klagomål mail.docx", "A 22461-2021")</f>
        <v/>
      </c>
      <c r="X154">
        <f>HYPERLINK("https://klasma.github.io/Logging_2161/tillsyn/A 22461-2021 tillsynsbegäran.docx", "A 22461-2021")</f>
        <v/>
      </c>
      <c r="Y154">
        <f>HYPERLINK("https://klasma.github.io/Logging_2161/tillsynsmail/A 22461-2021 tillsynsbegäran mail.docx", "A 22461-2021")</f>
        <v/>
      </c>
    </row>
    <row r="155" ht="15" customHeight="1">
      <c r="A155" t="inlineStr">
        <is>
          <t>A 34590-2021</t>
        </is>
      </c>
      <c r="B155" s="1" t="n">
        <v>44382</v>
      </c>
      <c r="C155" s="1" t="n">
        <v>45359</v>
      </c>
      <c r="D155" t="inlineStr">
        <is>
          <t>GÄVLEBORGS LÄN</t>
        </is>
      </c>
      <c r="E155" t="inlineStr">
        <is>
          <t>BOLLNÄS</t>
        </is>
      </c>
      <c r="F155" t="inlineStr">
        <is>
          <t>Bergvik skog väst AB</t>
        </is>
      </c>
      <c r="G155" t="n">
        <v>5.6</v>
      </c>
      <c r="H155" t="n">
        <v>2</v>
      </c>
      <c r="I155" t="n">
        <v>1</v>
      </c>
      <c r="J155" t="n">
        <v>0</v>
      </c>
      <c r="K155" t="n">
        <v>0</v>
      </c>
      <c r="L155" t="n">
        <v>0</v>
      </c>
      <c r="M155" t="n">
        <v>0</v>
      </c>
      <c r="N155" t="n">
        <v>0</v>
      </c>
      <c r="O155" t="n">
        <v>0</v>
      </c>
      <c r="P155" t="n">
        <v>0</v>
      </c>
      <c r="Q155" t="n">
        <v>3</v>
      </c>
      <c r="R155" s="2" t="inlineStr">
        <is>
          <t>Tibast
Brudsporre
Fläcknycklar</t>
        </is>
      </c>
      <c r="S155">
        <f>HYPERLINK("https://klasma.github.io/Logging_2183/artfynd/A 34590-2021 artfynd.xlsx", "A 34590-2021")</f>
        <v/>
      </c>
      <c r="T155">
        <f>HYPERLINK("https://klasma.github.io/Logging_2183/kartor/A 34590-2021 karta.png", "A 34590-2021")</f>
        <v/>
      </c>
      <c r="V155">
        <f>HYPERLINK("https://klasma.github.io/Logging_2183/klagomål/A 34590-2021 FSC-klagomål.docx", "A 34590-2021")</f>
        <v/>
      </c>
      <c r="W155">
        <f>HYPERLINK("https://klasma.github.io/Logging_2183/klagomålsmail/A 34590-2021 FSC-klagomål mail.docx", "A 34590-2021")</f>
        <v/>
      </c>
      <c r="X155">
        <f>HYPERLINK("https://klasma.github.io/Logging_2183/tillsyn/A 34590-2021 tillsynsbegäran.docx", "A 34590-2021")</f>
        <v/>
      </c>
      <c r="Y155">
        <f>HYPERLINK("https://klasma.github.io/Logging_2183/tillsynsmail/A 34590-2021 tillsynsbegäran mail.docx", "A 34590-2021")</f>
        <v/>
      </c>
    </row>
    <row r="156" ht="15" customHeight="1">
      <c r="A156" t="inlineStr">
        <is>
          <t>A 49922-2021</t>
        </is>
      </c>
      <c r="B156" s="1" t="n">
        <v>44455</v>
      </c>
      <c r="C156" s="1" t="n">
        <v>45359</v>
      </c>
      <c r="D156" t="inlineStr">
        <is>
          <t>GÄVLEBORGS LÄN</t>
        </is>
      </c>
      <c r="E156" t="inlineStr">
        <is>
          <t>HUDIKSVALL</t>
        </is>
      </c>
      <c r="G156" t="n">
        <v>4.5</v>
      </c>
      <c r="H156" t="n">
        <v>0</v>
      </c>
      <c r="I156" t="n">
        <v>3</v>
      </c>
      <c r="J156" t="n">
        <v>0</v>
      </c>
      <c r="K156" t="n">
        <v>0</v>
      </c>
      <c r="L156" t="n">
        <v>0</v>
      </c>
      <c r="M156" t="n">
        <v>0</v>
      </c>
      <c r="N156" t="n">
        <v>0</v>
      </c>
      <c r="O156" t="n">
        <v>0</v>
      </c>
      <c r="P156" t="n">
        <v>0</v>
      </c>
      <c r="Q156" t="n">
        <v>3</v>
      </c>
      <c r="R156" s="2" t="inlineStr">
        <is>
          <t>Kattfotslav
Korallblylav
Skinnlav</t>
        </is>
      </c>
      <c r="S156">
        <f>HYPERLINK("https://klasma.github.io/Logging_2184/artfynd/A 49922-2021 artfynd.xlsx", "A 49922-2021")</f>
        <v/>
      </c>
      <c r="T156">
        <f>HYPERLINK("https://klasma.github.io/Logging_2184/kartor/A 49922-2021 karta.png", "A 49922-2021")</f>
        <v/>
      </c>
      <c r="V156">
        <f>HYPERLINK("https://klasma.github.io/Logging_2184/klagomål/A 49922-2021 FSC-klagomål.docx", "A 49922-2021")</f>
        <v/>
      </c>
      <c r="W156">
        <f>HYPERLINK("https://klasma.github.io/Logging_2184/klagomålsmail/A 49922-2021 FSC-klagomål mail.docx", "A 49922-2021")</f>
        <v/>
      </c>
      <c r="X156">
        <f>HYPERLINK("https://klasma.github.io/Logging_2184/tillsyn/A 49922-2021 tillsynsbegäran.docx", "A 49922-2021")</f>
        <v/>
      </c>
      <c r="Y156">
        <f>HYPERLINK("https://klasma.github.io/Logging_2184/tillsynsmail/A 49922-2021 tillsynsbegäran mail.docx", "A 49922-2021")</f>
        <v/>
      </c>
    </row>
    <row r="157" ht="15" customHeight="1">
      <c r="A157" t="inlineStr">
        <is>
          <t>A 8446-2022</t>
        </is>
      </c>
      <c r="B157" s="1" t="n">
        <v>44612</v>
      </c>
      <c r="C157" s="1" t="n">
        <v>45359</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10436-2022</t>
        </is>
      </c>
      <c r="B158" s="1" t="n">
        <v>44623</v>
      </c>
      <c r="C158" s="1" t="n">
        <v>45359</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14181-2022</t>
        </is>
      </c>
      <c r="B159" s="1" t="n">
        <v>44651</v>
      </c>
      <c r="C159" s="1" t="n">
        <v>45359</v>
      </c>
      <c r="D159" t="inlineStr">
        <is>
          <t>GÄVLEBORGS LÄN</t>
        </is>
      </c>
      <c r="E159" t="inlineStr">
        <is>
          <t>SÖDERHAMN</t>
        </is>
      </c>
      <c r="F159" t="inlineStr">
        <is>
          <t>Bergvik skog väst AB</t>
        </is>
      </c>
      <c r="G159" t="n">
        <v>4.1</v>
      </c>
      <c r="H159" t="n">
        <v>0</v>
      </c>
      <c r="I159" t="n">
        <v>2</v>
      </c>
      <c r="J159" t="n">
        <v>1</v>
      </c>
      <c r="K159" t="n">
        <v>0</v>
      </c>
      <c r="L159" t="n">
        <v>0</v>
      </c>
      <c r="M159" t="n">
        <v>0</v>
      </c>
      <c r="N159" t="n">
        <v>0</v>
      </c>
      <c r="O159" t="n">
        <v>1</v>
      </c>
      <c r="P159" t="n">
        <v>0</v>
      </c>
      <c r="Q159" t="n">
        <v>3</v>
      </c>
      <c r="R159" s="2" t="inlineStr">
        <is>
          <t>Ullticka
Kattfotslav
Vågbandad barkbock</t>
        </is>
      </c>
      <c r="S159">
        <f>HYPERLINK("https://klasma.github.io/Logging_2182/artfynd/A 14181-2022 artfynd.xlsx", "A 14181-2022")</f>
        <v/>
      </c>
      <c r="T159">
        <f>HYPERLINK("https://klasma.github.io/Logging_2182/kartor/A 14181-2022 karta.png", "A 14181-2022")</f>
        <v/>
      </c>
      <c r="V159">
        <f>HYPERLINK("https://klasma.github.io/Logging_2182/klagomål/A 14181-2022 FSC-klagomål.docx", "A 14181-2022")</f>
        <v/>
      </c>
      <c r="W159">
        <f>HYPERLINK("https://klasma.github.io/Logging_2182/klagomålsmail/A 14181-2022 FSC-klagomål mail.docx", "A 14181-2022")</f>
        <v/>
      </c>
      <c r="X159">
        <f>HYPERLINK("https://klasma.github.io/Logging_2182/tillsyn/A 14181-2022 tillsynsbegäran.docx", "A 14181-2022")</f>
        <v/>
      </c>
      <c r="Y159">
        <f>HYPERLINK("https://klasma.github.io/Logging_2182/tillsynsmail/A 14181-2022 tillsynsbegäran mail.docx", "A 14181-2022")</f>
        <v/>
      </c>
    </row>
    <row r="160" ht="15" customHeight="1">
      <c r="A160" t="inlineStr">
        <is>
          <t>A 21538-2022</t>
        </is>
      </c>
      <c r="B160" s="1" t="n">
        <v>44706</v>
      </c>
      <c r="C160" s="1" t="n">
        <v>45359</v>
      </c>
      <c r="D160" t="inlineStr">
        <is>
          <t>GÄVLEBORGS LÄN</t>
        </is>
      </c>
      <c r="E160" t="inlineStr">
        <is>
          <t>LJUSDAL</t>
        </is>
      </c>
      <c r="F160" t="inlineStr">
        <is>
          <t>Sveaskog</t>
        </is>
      </c>
      <c r="G160" t="n">
        <v>2.3</v>
      </c>
      <c r="H160" t="n">
        <v>0</v>
      </c>
      <c r="I160" t="n">
        <v>1</v>
      </c>
      <c r="J160" t="n">
        <v>2</v>
      </c>
      <c r="K160" t="n">
        <v>0</v>
      </c>
      <c r="L160" t="n">
        <v>0</v>
      </c>
      <c r="M160" t="n">
        <v>0</v>
      </c>
      <c r="N160" t="n">
        <v>0</v>
      </c>
      <c r="O160" t="n">
        <v>2</v>
      </c>
      <c r="P160" t="n">
        <v>0</v>
      </c>
      <c r="Q160" t="n">
        <v>3</v>
      </c>
      <c r="R160" s="2" t="inlineStr">
        <is>
          <t>Kolflarnlav
Mörk kolflarnlav
Dropptaggsvamp</t>
        </is>
      </c>
      <c r="S160">
        <f>HYPERLINK("https://klasma.github.io/Logging_2161/artfynd/A 21538-2022 artfynd.xlsx", "A 21538-2022")</f>
        <v/>
      </c>
      <c r="T160">
        <f>HYPERLINK("https://klasma.github.io/Logging_2161/kartor/A 21538-2022 karta.png", "A 21538-2022")</f>
        <v/>
      </c>
      <c r="V160">
        <f>HYPERLINK("https://klasma.github.io/Logging_2161/klagomål/A 21538-2022 FSC-klagomål.docx", "A 21538-2022")</f>
        <v/>
      </c>
      <c r="W160">
        <f>HYPERLINK("https://klasma.github.io/Logging_2161/klagomålsmail/A 21538-2022 FSC-klagomål mail.docx", "A 21538-2022")</f>
        <v/>
      </c>
      <c r="X160">
        <f>HYPERLINK("https://klasma.github.io/Logging_2161/tillsyn/A 21538-2022 tillsynsbegäran.docx", "A 21538-2022")</f>
        <v/>
      </c>
      <c r="Y160">
        <f>HYPERLINK("https://klasma.github.io/Logging_2161/tillsynsmail/A 21538-2022 tillsynsbegäran mail.docx", "A 21538-2022")</f>
        <v/>
      </c>
    </row>
    <row r="161" ht="15" customHeight="1">
      <c r="A161" t="inlineStr">
        <is>
          <t>A 21797-2022</t>
        </is>
      </c>
      <c r="B161" s="1" t="n">
        <v>44708</v>
      </c>
      <c r="C161" s="1" t="n">
        <v>45359</v>
      </c>
      <c r="D161" t="inlineStr">
        <is>
          <t>GÄVLEBORGS LÄN</t>
        </is>
      </c>
      <c r="E161" t="inlineStr">
        <is>
          <t>LJUSDAL</t>
        </is>
      </c>
      <c r="F161" t="inlineStr">
        <is>
          <t>Holmen skog AB</t>
        </is>
      </c>
      <c r="G161" t="n">
        <v>2.5</v>
      </c>
      <c r="H161" t="n">
        <v>0</v>
      </c>
      <c r="I161" t="n">
        <v>2</v>
      </c>
      <c r="J161" t="n">
        <v>1</v>
      </c>
      <c r="K161" t="n">
        <v>0</v>
      </c>
      <c r="L161" t="n">
        <v>0</v>
      </c>
      <c r="M161" t="n">
        <v>0</v>
      </c>
      <c r="N161" t="n">
        <v>0</v>
      </c>
      <c r="O161" t="n">
        <v>1</v>
      </c>
      <c r="P161" t="n">
        <v>0</v>
      </c>
      <c r="Q161" t="n">
        <v>3</v>
      </c>
      <c r="R161" s="2" t="inlineStr">
        <is>
          <t>Ullticka
Skinnlav
Vedticka</t>
        </is>
      </c>
      <c r="S161">
        <f>HYPERLINK("https://klasma.github.io/Logging_2161/artfynd/A 21797-2022 artfynd.xlsx", "A 21797-2022")</f>
        <v/>
      </c>
      <c r="T161">
        <f>HYPERLINK("https://klasma.github.io/Logging_2161/kartor/A 21797-2022 karta.png", "A 21797-2022")</f>
        <v/>
      </c>
      <c r="V161">
        <f>HYPERLINK("https://klasma.github.io/Logging_2161/klagomål/A 21797-2022 FSC-klagomål.docx", "A 21797-2022")</f>
        <v/>
      </c>
      <c r="W161">
        <f>HYPERLINK("https://klasma.github.io/Logging_2161/klagomålsmail/A 21797-2022 FSC-klagomål mail.docx", "A 21797-2022")</f>
        <v/>
      </c>
      <c r="X161">
        <f>HYPERLINK("https://klasma.github.io/Logging_2161/tillsyn/A 21797-2022 tillsynsbegäran.docx", "A 21797-2022")</f>
        <v/>
      </c>
      <c r="Y161">
        <f>HYPERLINK("https://klasma.github.io/Logging_2161/tillsynsmail/A 21797-2022 tillsynsbegäran mail.docx", "A 21797-2022")</f>
        <v/>
      </c>
    </row>
    <row r="162" ht="15" customHeight="1">
      <c r="A162" t="inlineStr">
        <is>
          <t>A 25129-2022</t>
        </is>
      </c>
      <c r="B162" s="1" t="n">
        <v>44729</v>
      </c>
      <c r="C162" s="1" t="n">
        <v>45359</v>
      </c>
      <c r="D162" t="inlineStr">
        <is>
          <t>GÄVLEBORGS LÄN</t>
        </is>
      </c>
      <c r="E162" t="inlineStr">
        <is>
          <t>BOLLNÄS</t>
        </is>
      </c>
      <c r="F162" t="inlineStr">
        <is>
          <t>Bergvik skog väst AB</t>
        </is>
      </c>
      <c r="G162" t="n">
        <v>27.4</v>
      </c>
      <c r="H162" t="n">
        <v>0</v>
      </c>
      <c r="I162" t="n">
        <v>1</v>
      </c>
      <c r="J162" t="n">
        <v>2</v>
      </c>
      <c r="K162" t="n">
        <v>0</v>
      </c>
      <c r="L162" t="n">
        <v>0</v>
      </c>
      <c r="M162" t="n">
        <v>0</v>
      </c>
      <c r="N162" t="n">
        <v>0</v>
      </c>
      <c r="O162" t="n">
        <v>2</v>
      </c>
      <c r="P162" t="n">
        <v>0</v>
      </c>
      <c r="Q162" t="n">
        <v>3</v>
      </c>
      <c r="R162" s="2" t="inlineStr">
        <is>
          <t>Garnlav
Kortskaftad ärgspik
Nästlav</t>
        </is>
      </c>
      <c r="S162">
        <f>HYPERLINK("https://klasma.github.io/Logging_2183/artfynd/A 25129-2022 artfynd.xlsx", "A 25129-2022")</f>
        <v/>
      </c>
      <c r="T162">
        <f>HYPERLINK("https://klasma.github.io/Logging_2183/kartor/A 25129-2022 karta.png", "A 25129-2022")</f>
        <v/>
      </c>
      <c r="V162">
        <f>HYPERLINK("https://klasma.github.io/Logging_2183/klagomål/A 25129-2022 FSC-klagomål.docx", "A 25129-2022")</f>
        <v/>
      </c>
      <c r="W162">
        <f>HYPERLINK("https://klasma.github.io/Logging_2183/klagomålsmail/A 25129-2022 FSC-klagomål mail.docx", "A 25129-2022")</f>
        <v/>
      </c>
      <c r="X162">
        <f>HYPERLINK("https://klasma.github.io/Logging_2183/tillsyn/A 25129-2022 tillsynsbegäran.docx", "A 25129-2022")</f>
        <v/>
      </c>
      <c r="Y162">
        <f>HYPERLINK("https://klasma.github.io/Logging_2183/tillsynsmail/A 25129-2022 tillsynsbegäran mail.docx", "A 25129-2022")</f>
        <v/>
      </c>
    </row>
    <row r="163" ht="15" customHeight="1">
      <c r="A163" t="inlineStr">
        <is>
          <t>A 26055-2022</t>
        </is>
      </c>
      <c r="B163" s="1" t="n">
        <v>44734</v>
      </c>
      <c r="C163" s="1" t="n">
        <v>45359</v>
      </c>
      <c r="D163" t="inlineStr">
        <is>
          <t>GÄVLEBORGS LÄN</t>
        </is>
      </c>
      <c r="E163" t="inlineStr">
        <is>
          <t>LJUSDAL</t>
        </is>
      </c>
      <c r="F163" t="inlineStr">
        <is>
          <t>Bergvik skog väst AB</t>
        </is>
      </c>
      <c r="G163" t="n">
        <v>23.3</v>
      </c>
      <c r="H163" t="n">
        <v>0</v>
      </c>
      <c r="I163" t="n">
        <v>0</v>
      </c>
      <c r="J163" t="n">
        <v>2</v>
      </c>
      <c r="K163" t="n">
        <v>1</v>
      </c>
      <c r="L163" t="n">
        <v>0</v>
      </c>
      <c r="M163" t="n">
        <v>0</v>
      </c>
      <c r="N163" t="n">
        <v>0</v>
      </c>
      <c r="O163" t="n">
        <v>3</v>
      </c>
      <c r="P163" t="n">
        <v>1</v>
      </c>
      <c r="Q163" t="n">
        <v>3</v>
      </c>
      <c r="R163" s="2" t="inlineStr">
        <is>
          <t>Aspfjädermossa
Stiftgelélav
Vedtrappmossa</t>
        </is>
      </c>
      <c r="S163">
        <f>HYPERLINK("https://klasma.github.io/Logging_2161/artfynd/A 26055-2022 artfynd.xlsx", "A 26055-2022")</f>
        <v/>
      </c>
      <c r="T163">
        <f>HYPERLINK("https://klasma.github.io/Logging_2161/kartor/A 26055-2022 karta.png", "A 26055-2022")</f>
        <v/>
      </c>
      <c r="V163">
        <f>HYPERLINK("https://klasma.github.io/Logging_2161/klagomål/A 26055-2022 FSC-klagomål.docx", "A 26055-2022")</f>
        <v/>
      </c>
      <c r="W163">
        <f>HYPERLINK("https://klasma.github.io/Logging_2161/klagomålsmail/A 26055-2022 FSC-klagomål mail.docx", "A 26055-2022")</f>
        <v/>
      </c>
      <c r="X163">
        <f>HYPERLINK("https://klasma.github.io/Logging_2161/tillsyn/A 26055-2022 tillsynsbegäran.docx", "A 26055-2022")</f>
        <v/>
      </c>
      <c r="Y163">
        <f>HYPERLINK("https://klasma.github.io/Logging_2161/tillsynsmail/A 26055-2022 tillsynsbegäran mail.docx", "A 26055-2022")</f>
        <v/>
      </c>
    </row>
    <row r="164" ht="15" customHeight="1">
      <c r="A164" t="inlineStr">
        <is>
          <t>A 40292-2022</t>
        </is>
      </c>
      <c r="B164" s="1" t="n">
        <v>44821</v>
      </c>
      <c r="C164" s="1" t="n">
        <v>45359</v>
      </c>
      <c r="D164" t="inlineStr">
        <is>
          <t>GÄVLEBORGS LÄN</t>
        </is>
      </c>
      <c r="E164" t="inlineStr">
        <is>
          <t>LJUSDAL</t>
        </is>
      </c>
      <c r="F164" t="inlineStr">
        <is>
          <t>Sveaskog</t>
        </is>
      </c>
      <c r="G164" t="n">
        <v>3.1</v>
      </c>
      <c r="H164" t="n">
        <v>0</v>
      </c>
      <c r="I164" t="n">
        <v>1</v>
      </c>
      <c r="J164" t="n">
        <v>2</v>
      </c>
      <c r="K164" t="n">
        <v>0</v>
      </c>
      <c r="L164" t="n">
        <v>0</v>
      </c>
      <c r="M164" t="n">
        <v>0</v>
      </c>
      <c r="N164" t="n">
        <v>0</v>
      </c>
      <c r="O164" t="n">
        <v>2</v>
      </c>
      <c r="P164" t="n">
        <v>0</v>
      </c>
      <c r="Q164" t="n">
        <v>3</v>
      </c>
      <c r="R164" s="2" t="inlineStr">
        <is>
          <t>Kolflarnlav
Mörk kolflarnlav
Dropptaggsvamp</t>
        </is>
      </c>
      <c r="S164">
        <f>HYPERLINK("https://klasma.github.io/Logging_2161/artfynd/A 40292-2022 artfynd.xlsx", "A 40292-2022")</f>
        <v/>
      </c>
      <c r="T164">
        <f>HYPERLINK("https://klasma.github.io/Logging_2161/kartor/A 40292-2022 karta.png", "A 40292-2022")</f>
        <v/>
      </c>
      <c r="V164">
        <f>HYPERLINK("https://klasma.github.io/Logging_2161/klagomål/A 40292-2022 FSC-klagomål.docx", "A 40292-2022")</f>
        <v/>
      </c>
      <c r="W164">
        <f>HYPERLINK("https://klasma.github.io/Logging_2161/klagomålsmail/A 40292-2022 FSC-klagomål mail.docx", "A 40292-2022")</f>
        <v/>
      </c>
      <c r="X164">
        <f>HYPERLINK("https://klasma.github.io/Logging_2161/tillsyn/A 40292-2022 tillsynsbegäran.docx", "A 40292-2022")</f>
        <v/>
      </c>
      <c r="Y164">
        <f>HYPERLINK("https://klasma.github.io/Logging_2161/tillsynsmail/A 40292-2022 tillsynsbegäran mail.docx", "A 40292-2022")</f>
        <v/>
      </c>
    </row>
    <row r="165" ht="15" customHeight="1">
      <c r="A165" t="inlineStr">
        <is>
          <t>A 52399-2022</t>
        </is>
      </c>
      <c r="B165" s="1" t="n">
        <v>44874</v>
      </c>
      <c r="C165" s="1" t="n">
        <v>45359</v>
      </c>
      <c r="D165" t="inlineStr">
        <is>
          <t>GÄVLEBORGS LÄN</t>
        </is>
      </c>
      <c r="E165" t="inlineStr">
        <is>
          <t>HUDIKSVALL</t>
        </is>
      </c>
      <c r="F165" t="inlineStr">
        <is>
          <t>Holmen skog AB</t>
        </is>
      </c>
      <c r="G165" t="n">
        <v>3.9</v>
      </c>
      <c r="H165" t="n">
        <v>0</v>
      </c>
      <c r="I165" t="n">
        <v>0</v>
      </c>
      <c r="J165" t="n">
        <v>3</v>
      </c>
      <c r="K165" t="n">
        <v>0</v>
      </c>
      <c r="L165" t="n">
        <v>0</v>
      </c>
      <c r="M165" t="n">
        <v>0</v>
      </c>
      <c r="N165" t="n">
        <v>0</v>
      </c>
      <c r="O165" t="n">
        <v>3</v>
      </c>
      <c r="P165" t="n">
        <v>0</v>
      </c>
      <c r="Q165" t="n">
        <v>3</v>
      </c>
      <c r="R165" s="2" t="inlineStr">
        <is>
          <t>Blanksvart spiklav
Gammelgransskål
Garnlav</t>
        </is>
      </c>
      <c r="S165">
        <f>HYPERLINK("https://klasma.github.io/Logging_2184/artfynd/A 52399-2022 artfynd.xlsx", "A 52399-2022")</f>
        <v/>
      </c>
      <c r="T165">
        <f>HYPERLINK("https://klasma.github.io/Logging_2184/kartor/A 52399-2022 karta.png", "A 52399-2022")</f>
        <v/>
      </c>
      <c r="V165">
        <f>HYPERLINK("https://klasma.github.io/Logging_2184/klagomål/A 52399-2022 FSC-klagomål.docx", "A 52399-2022")</f>
        <v/>
      </c>
      <c r="W165">
        <f>HYPERLINK("https://klasma.github.io/Logging_2184/klagomålsmail/A 52399-2022 FSC-klagomål mail.docx", "A 52399-2022")</f>
        <v/>
      </c>
      <c r="X165">
        <f>HYPERLINK("https://klasma.github.io/Logging_2184/tillsyn/A 52399-2022 tillsynsbegäran.docx", "A 52399-2022")</f>
        <v/>
      </c>
      <c r="Y165">
        <f>HYPERLINK("https://klasma.github.io/Logging_2184/tillsynsmail/A 52399-2022 tillsynsbegäran mail.docx", "A 52399-2022")</f>
        <v/>
      </c>
    </row>
    <row r="166" ht="15" customHeight="1">
      <c r="A166" t="inlineStr">
        <is>
          <t>A 54472-2022</t>
        </is>
      </c>
      <c r="B166" s="1" t="n">
        <v>44882</v>
      </c>
      <c r="C166" s="1" t="n">
        <v>45359</v>
      </c>
      <c r="D166" t="inlineStr">
        <is>
          <t>GÄVLEBORGS LÄN</t>
        </is>
      </c>
      <c r="E166" t="inlineStr">
        <is>
          <t>LJUSDAL</t>
        </is>
      </c>
      <c r="F166" t="inlineStr">
        <is>
          <t>Bergvik skog väst AB</t>
        </is>
      </c>
      <c r="G166" t="n">
        <v>3.1</v>
      </c>
      <c r="H166" t="n">
        <v>0</v>
      </c>
      <c r="I166" t="n">
        <v>1</v>
      </c>
      <c r="J166" t="n">
        <v>2</v>
      </c>
      <c r="K166" t="n">
        <v>0</v>
      </c>
      <c r="L166" t="n">
        <v>0</v>
      </c>
      <c r="M166" t="n">
        <v>0</v>
      </c>
      <c r="N166" t="n">
        <v>0</v>
      </c>
      <c r="O166" t="n">
        <v>2</v>
      </c>
      <c r="P166" t="n">
        <v>0</v>
      </c>
      <c r="Q166" t="n">
        <v>3</v>
      </c>
      <c r="R166" s="2" t="inlineStr">
        <is>
          <t>Lunglav
Skrovellav
Källmossa</t>
        </is>
      </c>
      <c r="S166">
        <f>HYPERLINK("https://klasma.github.io/Logging_2161/artfynd/A 54472-2022 artfynd.xlsx", "A 54472-2022")</f>
        <v/>
      </c>
      <c r="T166">
        <f>HYPERLINK("https://klasma.github.io/Logging_2161/kartor/A 54472-2022 karta.png", "A 54472-2022")</f>
        <v/>
      </c>
      <c r="U166">
        <f>HYPERLINK("https://klasma.github.io/Logging_2161/knärot/A 54472-2022 karta knärot.png", "A 54472-2022")</f>
        <v/>
      </c>
      <c r="V166">
        <f>HYPERLINK("https://klasma.github.io/Logging_2161/klagomål/A 54472-2022 FSC-klagomål.docx", "A 54472-2022")</f>
        <v/>
      </c>
      <c r="W166">
        <f>HYPERLINK("https://klasma.github.io/Logging_2161/klagomålsmail/A 54472-2022 FSC-klagomål mail.docx", "A 54472-2022")</f>
        <v/>
      </c>
      <c r="X166">
        <f>HYPERLINK("https://klasma.github.io/Logging_2161/tillsyn/A 54472-2022 tillsynsbegäran.docx", "A 54472-2022")</f>
        <v/>
      </c>
      <c r="Y166">
        <f>HYPERLINK("https://klasma.github.io/Logging_2161/tillsynsmail/A 54472-2022 tillsynsbegäran mail.docx", "A 54472-2022")</f>
        <v/>
      </c>
    </row>
    <row r="167" ht="15" customHeight="1">
      <c r="A167" t="inlineStr">
        <is>
          <t>A 12105-2023</t>
        </is>
      </c>
      <c r="B167" s="1" t="n">
        <v>44998</v>
      </c>
      <c r="C167" s="1" t="n">
        <v>45359</v>
      </c>
      <c r="D167" t="inlineStr">
        <is>
          <t>GÄVLEBORGS LÄN</t>
        </is>
      </c>
      <c r="E167" t="inlineStr">
        <is>
          <t>LJUSDAL</t>
        </is>
      </c>
      <c r="G167" t="n">
        <v>11.7</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12105-2023 artfynd.xlsx", "A 12105-2023")</f>
        <v/>
      </c>
      <c r="T167">
        <f>HYPERLINK("https://klasma.github.io/Logging_2161/kartor/A 12105-2023 karta.png", "A 12105-2023")</f>
        <v/>
      </c>
      <c r="U167">
        <f>HYPERLINK("https://klasma.github.io/Logging_2161/knärot/A 12105-2023 karta knärot.png", "A 12105-2023")</f>
        <v/>
      </c>
      <c r="V167">
        <f>HYPERLINK("https://klasma.github.io/Logging_2161/klagomål/A 12105-2023 FSC-klagomål.docx", "A 12105-2023")</f>
        <v/>
      </c>
      <c r="W167">
        <f>HYPERLINK("https://klasma.github.io/Logging_2161/klagomålsmail/A 12105-2023 FSC-klagomål mail.docx", "A 12105-2023")</f>
        <v/>
      </c>
      <c r="X167">
        <f>HYPERLINK("https://klasma.github.io/Logging_2161/tillsyn/A 12105-2023 tillsynsbegäran.docx", "A 12105-2023")</f>
        <v/>
      </c>
      <c r="Y167">
        <f>HYPERLINK("https://klasma.github.io/Logging_2161/tillsynsmail/A 12105-2023 tillsynsbegäran mail.docx", "A 12105-2023")</f>
        <v/>
      </c>
    </row>
    <row r="168" ht="15" customHeight="1">
      <c r="A168" t="inlineStr">
        <is>
          <t>A 23246-2023</t>
        </is>
      </c>
      <c r="B168" s="1" t="n">
        <v>45075</v>
      </c>
      <c r="C168" s="1" t="n">
        <v>45359</v>
      </c>
      <c r="D168" t="inlineStr">
        <is>
          <t>GÄVLEBORGS LÄN</t>
        </is>
      </c>
      <c r="E168" t="inlineStr">
        <is>
          <t>HUDIKSVALL</t>
        </is>
      </c>
      <c r="F168" t="inlineStr">
        <is>
          <t>Sveaskog</t>
        </is>
      </c>
      <c r="G168" t="n">
        <v>7.2</v>
      </c>
      <c r="H168" t="n">
        <v>1</v>
      </c>
      <c r="I168" t="n">
        <v>0</v>
      </c>
      <c r="J168" t="n">
        <v>2</v>
      </c>
      <c r="K168" t="n">
        <v>0</v>
      </c>
      <c r="L168" t="n">
        <v>0</v>
      </c>
      <c r="M168" t="n">
        <v>0</v>
      </c>
      <c r="N168" t="n">
        <v>0</v>
      </c>
      <c r="O168" t="n">
        <v>2</v>
      </c>
      <c r="P168" t="n">
        <v>0</v>
      </c>
      <c r="Q168" t="n">
        <v>3</v>
      </c>
      <c r="R168" s="2" t="inlineStr">
        <is>
          <t>Kolflarnlav
Mörk kolflarnlav
Fläcknycklar</t>
        </is>
      </c>
      <c r="S168">
        <f>HYPERLINK("https://klasma.github.io/Logging_2184/artfynd/A 23246-2023 artfynd.xlsx", "A 23246-2023")</f>
        <v/>
      </c>
      <c r="T168">
        <f>HYPERLINK("https://klasma.github.io/Logging_2184/kartor/A 23246-2023 karta.png", "A 23246-2023")</f>
        <v/>
      </c>
      <c r="V168">
        <f>HYPERLINK("https://klasma.github.io/Logging_2184/klagomål/A 23246-2023 FSC-klagomål.docx", "A 23246-2023")</f>
        <v/>
      </c>
      <c r="W168">
        <f>HYPERLINK("https://klasma.github.io/Logging_2184/klagomålsmail/A 23246-2023 FSC-klagomål mail.docx", "A 23246-2023")</f>
        <v/>
      </c>
      <c r="X168">
        <f>HYPERLINK("https://klasma.github.io/Logging_2184/tillsyn/A 23246-2023 tillsynsbegäran.docx", "A 23246-2023")</f>
        <v/>
      </c>
      <c r="Y168">
        <f>HYPERLINK("https://klasma.github.io/Logging_2184/tillsynsmail/A 23246-2023 tillsynsbegäran mail.docx", "A 23246-2023")</f>
        <v/>
      </c>
    </row>
    <row r="169" ht="15" customHeight="1">
      <c r="A169" t="inlineStr">
        <is>
          <t>A 24519-2023</t>
        </is>
      </c>
      <c r="B169" s="1" t="n">
        <v>45082</v>
      </c>
      <c r="C169" s="1" t="n">
        <v>45359</v>
      </c>
      <c r="D169" t="inlineStr">
        <is>
          <t>GÄVLEBORGS LÄN</t>
        </is>
      </c>
      <c r="E169" t="inlineStr">
        <is>
          <t>LJUSDAL</t>
        </is>
      </c>
      <c r="F169" t="inlineStr">
        <is>
          <t>Sveaskog</t>
        </is>
      </c>
      <c r="G169" t="n">
        <v>8.199999999999999</v>
      </c>
      <c r="H169" t="n">
        <v>0</v>
      </c>
      <c r="I169" t="n">
        <v>0</v>
      </c>
      <c r="J169" t="n">
        <v>3</v>
      </c>
      <c r="K169" t="n">
        <v>0</v>
      </c>
      <c r="L169" t="n">
        <v>0</v>
      </c>
      <c r="M169" t="n">
        <v>0</v>
      </c>
      <c r="N169" t="n">
        <v>0</v>
      </c>
      <c r="O169" t="n">
        <v>3</v>
      </c>
      <c r="P169" t="n">
        <v>0</v>
      </c>
      <c r="Q169" t="n">
        <v>3</v>
      </c>
      <c r="R169" s="2" t="inlineStr">
        <is>
          <t>Dvärgbägarlav
Kolflarnlav
Lunglav</t>
        </is>
      </c>
      <c r="S169">
        <f>HYPERLINK("https://klasma.github.io/Logging_2161/artfynd/A 24519-2023 artfynd.xlsx", "A 24519-2023")</f>
        <v/>
      </c>
      <c r="T169">
        <f>HYPERLINK("https://klasma.github.io/Logging_2161/kartor/A 24519-2023 karta.png", "A 24519-2023")</f>
        <v/>
      </c>
      <c r="V169">
        <f>HYPERLINK("https://klasma.github.io/Logging_2161/klagomål/A 24519-2023 FSC-klagomål.docx", "A 24519-2023")</f>
        <v/>
      </c>
      <c r="W169">
        <f>HYPERLINK("https://klasma.github.io/Logging_2161/klagomålsmail/A 24519-2023 FSC-klagomål mail.docx", "A 24519-2023")</f>
        <v/>
      </c>
      <c r="X169">
        <f>HYPERLINK("https://klasma.github.io/Logging_2161/tillsyn/A 24519-2023 tillsynsbegäran.docx", "A 24519-2023")</f>
        <v/>
      </c>
      <c r="Y169">
        <f>HYPERLINK("https://klasma.github.io/Logging_2161/tillsynsmail/A 24519-2023 tillsynsbegäran mail.docx", "A 24519-2023")</f>
        <v/>
      </c>
    </row>
    <row r="170" ht="15" customHeight="1">
      <c r="A170" t="inlineStr">
        <is>
          <t>A 25182-2023</t>
        </is>
      </c>
      <c r="B170" s="1" t="n">
        <v>45086</v>
      </c>
      <c r="C170" s="1" t="n">
        <v>45359</v>
      </c>
      <c r="D170" t="inlineStr">
        <is>
          <t>GÄVLEBORGS LÄN</t>
        </is>
      </c>
      <c r="E170" t="inlineStr">
        <is>
          <t>LJUSDAL</t>
        </is>
      </c>
      <c r="F170" t="inlineStr">
        <is>
          <t>Holmen skog AB</t>
        </is>
      </c>
      <c r="G170" t="n">
        <v>16.6</v>
      </c>
      <c r="H170" t="n">
        <v>3</v>
      </c>
      <c r="I170" t="n">
        <v>0</v>
      </c>
      <c r="J170" t="n">
        <v>0</v>
      </c>
      <c r="K170" t="n">
        <v>0</v>
      </c>
      <c r="L170" t="n">
        <v>0</v>
      </c>
      <c r="M170" t="n">
        <v>0</v>
      </c>
      <c r="N170" t="n">
        <v>0</v>
      </c>
      <c r="O170" t="n">
        <v>0</v>
      </c>
      <c r="P170" t="n">
        <v>0</v>
      </c>
      <c r="Q170" t="n">
        <v>3</v>
      </c>
      <c r="R170" s="2" t="inlineStr">
        <is>
          <t>Fläcknycklar
Myggblomster
Revlummer</t>
        </is>
      </c>
      <c r="S170">
        <f>HYPERLINK("https://klasma.github.io/Logging_2161/artfynd/A 25182-2023 artfynd.xlsx", "A 25182-2023")</f>
        <v/>
      </c>
      <c r="T170">
        <f>HYPERLINK("https://klasma.github.io/Logging_2161/kartor/A 25182-2023 karta.png", "A 25182-2023")</f>
        <v/>
      </c>
      <c r="V170">
        <f>HYPERLINK("https://klasma.github.io/Logging_2161/klagomål/A 25182-2023 FSC-klagomål.docx", "A 25182-2023")</f>
        <v/>
      </c>
      <c r="W170">
        <f>HYPERLINK("https://klasma.github.io/Logging_2161/klagomålsmail/A 25182-2023 FSC-klagomål mail.docx", "A 25182-2023")</f>
        <v/>
      </c>
      <c r="X170">
        <f>HYPERLINK("https://klasma.github.io/Logging_2161/tillsyn/A 25182-2023 tillsynsbegäran.docx", "A 25182-2023")</f>
        <v/>
      </c>
      <c r="Y170">
        <f>HYPERLINK("https://klasma.github.io/Logging_2161/tillsynsmail/A 25182-2023 tillsynsbegäran mail.docx", "A 25182-2023")</f>
        <v/>
      </c>
    </row>
    <row r="171" ht="15" customHeight="1">
      <c r="A171" t="inlineStr">
        <is>
          <t>A 25643-2023</t>
        </is>
      </c>
      <c r="B171" s="1" t="n">
        <v>45089</v>
      </c>
      <c r="C171" s="1" t="n">
        <v>45359</v>
      </c>
      <c r="D171" t="inlineStr">
        <is>
          <t>GÄVLEBORGS LÄN</t>
        </is>
      </c>
      <c r="E171" t="inlineStr">
        <is>
          <t>NORDANSTIG</t>
        </is>
      </c>
      <c r="F171" t="inlineStr">
        <is>
          <t>Holmen skog AB</t>
        </is>
      </c>
      <c r="G171" t="n">
        <v>5.9</v>
      </c>
      <c r="H171" t="n">
        <v>1</v>
      </c>
      <c r="I171" t="n">
        <v>0</v>
      </c>
      <c r="J171" t="n">
        <v>2</v>
      </c>
      <c r="K171" t="n">
        <v>0</v>
      </c>
      <c r="L171" t="n">
        <v>0</v>
      </c>
      <c r="M171" t="n">
        <v>0</v>
      </c>
      <c r="N171" t="n">
        <v>0</v>
      </c>
      <c r="O171" t="n">
        <v>2</v>
      </c>
      <c r="P171" t="n">
        <v>0</v>
      </c>
      <c r="Q171" t="n">
        <v>3</v>
      </c>
      <c r="R171" s="2" t="inlineStr">
        <is>
          <t>Gammelgransskål
Garnlav
Fläcknycklar</t>
        </is>
      </c>
      <c r="S171">
        <f>HYPERLINK("https://klasma.github.io/Logging_2132/artfynd/A 25643-2023 artfynd.xlsx", "A 25643-2023")</f>
        <v/>
      </c>
      <c r="T171">
        <f>HYPERLINK("https://klasma.github.io/Logging_2132/kartor/A 25643-2023 karta.png", "A 25643-2023")</f>
        <v/>
      </c>
      <c r="V171">
        <f>HYPERLINK("https://klasma.github.io/Logging_2132/klagomål/A 25643-2023 FSC-klagomål.docx", "A 25643-2023")</f>
        <v/>
      </c>
      <c r="W171">
        <f>HYPERLINK("https://klasma.github.io/Logging_2132/klagomålsmail/A 25643-2023 FSC-klagomål mail.docx", "A 25643-2023")</f>
        <v/>
      </c>
      <c r="X171">
        <f>HYPERLINK("https://klasma.github.io/Logging_2132/tillsyn/A 25643-2023 tillsynsbegäran.docx", "A 25643-2023")</f>
        <v/>
      </c>
      <c r="Y171">
        <f>HYPERLINK("https://klasma.github.io/Logging_2132/tillsynsmail/A 25643-2023 tillsynsbegäran mail.docx", "A 25643-2023")</f>
        <v/>
      </c>
    </row>
    <row r="172" ht="15" customHeight="1">
      <c r="A172" t="inlineStr">
        <is>
          <t>A 31473-2023</t>
        </is>
      </c>
      <c r="B172" s="1" t="n">
        <v>45114</v>
      </c>
      <c r="C172" s="1" t="n">
        <v>45359</v>
      </c>
      <c r="D172" t="inlineStr">
        <is>
          <t>GÄVLEBORGS LÄN</t>
        </is>
      </c>
      <c r="E172" t="inlineStr">
        <is>
          <t>LJUSDAL</t>
        </is>
      </c>
      <c r="F172" t="inlineStr">
        <is>
          <t>Sveaskog</t>
        </is>
      </c>
      <c r="G172" t="n">
        <v>15.5</v>
      </c>
      <c r="H172" t="n">
        <v>1</v>
      </c>
      <c r="I172" t="n">
        <v>1</v>
      </c>
      <c r="J172" t="n">
        <v>2</v>
      </c>
      <c r="K172" t="n">
        <v>0</v>
      </c>
      <c r="L172" t="n">
        <v>0</v>
      </c>
      <c r="M172" t="n">
        <v>0</v>
      </c>
      <c r="N172" t="n">
        <v>0</v>
      </c>
      <c r="O172" t="n">
        <v>2</v>
      </c>
      <c r="P172" t="n">
        <v>0</v>
      </c>
      <c r="Q172" t="n">
        <v>3</v>
      </c>
      <c r="R172" s="2" t="inlineStr">
        <is>
          <t>Kolflarnlav
Lunglav
Plattlummer</t>
        </is>
      </c>
      <c r="S172">
        <f>HYPERLINK("https://klasma.github.io/Logging_2161/artfynd/A 31473-2023 artfynd.xlsx", "A 31473-2023")</f>
        <v/>
      </c>
      <c r="T172">
        <f>HYPERLINK("https://klasma.github.io/Logging_2161/kartor/A 31473-2023 karta.png", "A 31473-2023")</f>
        <v/>
      </c>
      <c r="V172">
        <f>HYPERLINK("https://klasma.github.io/Logging_2161/klagomål/A 31473-2023 FSC-klagomål.docx", "A 31473-2023")</f>
        <v/>
      </c>
      <c r="W172">
        <f>HYPERLINK("https://klasma.github.io/Logging_2161/klagomålsmail/A 31473-2023 FSC-klagomål mail.docx", "A 31473-2023")</f>
        <v/>
      </c>
      <c r="X172">
        <f>HYPERLINK("https://klasma.github.io/Logging_2161/tillsyn/A 31473-2023 tillsynsbegäran.docx", "A 31473-2023")</f>
        <v/>
      </c>
      <c r="Y172">
        <f>HYPERLINK("https://klasma.github.io/Logging_2161/tillsynsmail/A 31473-2023 tillsynsbegäran mail.docx", "A 31473-2023")</f>
        <v/>
      </c>
    </row>
    <row r="173" ht="15" customHeight="1">
      <c r="A173" t="inlineStr">
        <is>
          <t>A 32677-2023</t>
        </is>
      </c>
      <c r="B173" s="1" t="n">
        <v>45121</v>
      </c>
      <c r="C173" s="1" t="n">
        <v>45359</v>
      </c>
      <c r="D173" t="inlineStr">
        <is>
          <t>GÄVLEBORGS LÄN</t>
        </is>
      </c>
      <c r="E173" t="inlineStr">
        <is>
          <t>GÄVLE</t>
        </is>
      </c>
      <c r="G173" t="n">
        <v>20.7</v>
      </c>
      <c r="H173" t="n">
        <v>1</v>
      </c>
      <c r="I173" t="n">
        <v>1</v>
      </c>
      <c r="J173" t="n">
        <v>0</v>
      </c>
      <c r="K173" t="n">
        <v>1</v>
      </c>
      <c r="L173" t="n">
        <v>0</v>
      </c>
      <c r="M173" t="n">
        <v>0</v>
      </c>
      <c r="N173" t="n">
        <v>0</v>
      </c>
      <c r="O173" t="n">
        <v>1</v>
      </c>
      <c r="P173" t="n">
        <v>1</v>
      </c>
      <c r="Q173" t="n">
        <v>3</v>
      </c>
      <c r="R173" s="2" t="inlineStr">
        <is>
          <t>Glesgröe
Spädstarr
Blåsippa</t>
        </is>
      </c>
      <c r="S173">
        <f>HYPERLINK("https://klasma.github.io/Logging_2180/artfynd/A 32677-2023 artfynd.xlsx", "A 32677-2023")</f>
        <v/>
      </c>
      <c r="T173">
        <f>HYPERLINK("https://klasma.github.io/Logging_2180/kartor/A 32677-2023 karta.png", "A 32677-2023")</f>
        <v/>
      </c>
      <c r="V173">
        <f>HYPERLINK("https://klasma.github.io/Logging_2180/klagomål/A 32677-2023 FSC-klagomål.docx", "A 32677-2023")</f>
        <v/>
      </c>
      <c r="W173">
        <f>HYPERLINK("https://klasma.github.io/Logging_2180/klagomålsmail/A 32677-2023 FSC-klagomål mail.docx", "A 32677-2023")</f>
        <v/>
      </c>
      <c r="X173">
        <f>HYPERLINK("https://klasma.github.io/Logging_2180/tillsyn/A 32677-2023 tillsynsbegäran.docx", "A 32677-2023")</f>
        <v/>
      </c>
      <c r="Y173">
        <f>HYPERLINK("https://klasma.github.io/Logging_2180/tillsynsmail/A 32677-2023 tillsynsbegäran mail.docx", "A 32677-2023")</f>
        <v/>
      </c>
    </row>
    <row r="174" ht="15" customHeight="1">
      <c r="A174" t="inlineStr">
        <is>
          <t>A 33691-2023</t>
        </is>
      </c>
      <c r="B174" s="1" t="n">
        <v>45132</v>
      </c>
      <c r="C174" s="1" t="n">
        <v>45359</v>
      </c>
      <c r="D174" t="inlineStr">
        <is>
          <t>GÄVLEBORGS LÄN</t>
        </is>
      </c>
      <c r="E174" t="inlineStr">
        <is>
          <t>NORDANSTIG</t>
        </is>
      </c>
      <c r="F174" t="inlineStr">
        <is>
          <t>Holmen skog AB</t>
        </is>
      </c>
      <c r="G174" t="n">
        <v>2.7</v>
      </c>
      <c r="H174" t="n">
        <v>0</v>
      </c>
      <c r="I174" t="n">
        <v>2</v>
      </c>
      <c r="J174" t="n">
        <v>1</v>
      </c>
      <c r="K174" t="n">
        <v>0</v>
      </c>
      <c r="L174" t="n">
        <v>0</v>
      </c>
      <c r="M174" t="n">
        <v>0</v>
      </c>
      <c r="N174" t="n">
        <v>0</v>
      </c>
      <c r="O174" t="n">
        <v>1</v>
      </c>
      <c r="P174" t="n">
        <v>0</v>
      </c>
      <c r="Q174" t="n">
        <v>3</v>
      </c>
      <c r="R174" s="2" t="inlineStr">
        <is>
          <t>Ullticka
Skogshakmossa
Vågbandad barkbock</t>
        </is>
      </c>
      <c r="S174">
        <f>HYPERLINK("https://klasma.github.io/Logging_2132/artfynd/A 33691-2023 artfynd.xlsx", "A 33691-2023")</f>
        <v/>
      </c>
      <c r="T174">
        <f>HYPERLINK("https://klasma.github.io/Logging_2132/kartor/A 33691-2023 karta.png", "A 33691-2023")</f>
        <v/>
      </c>
      <c r="V174">
        <f>HYPERLINK("https://klasma.github.io/Logging_2132/klagomål/A 33691-2023 FSC-klagomål.docx", "A 33691-2023")</f>
        <v/>
      </c>
      <c r="W174">
        <f>HYPERLINK("https://klasma.github.io/Logging_2132/klagomålsmail/A 33691-2023 FSC-klagomål mail.docx", "A 33691-2023")</f>
        <v/>
      </c>
      <c r="X174">
        <f>HYPERLINK("https://klasma.github.io/Logging_2132/tillsyn/A 33691-2023 tillsynsbegäran.docx", "A 33691-2023")</f>
        <v/>
      </c>
      <c r="Y174">
        <f>HYPERLINK("https://klasma.github.io/Logging_2132/tillsynsmail/A 33691-2023 tillsynsbegäran mail.docx", "A 33691-2023")</f>
        <v/>
      </c>
    </row>
    <row r="175" ht="15" customHeight="1">
      <c r="A175" t="inlineStr">
        <is>
          <t>A 33783-2023</t>
        </is>
      </c>
      <c r="B175" s="1" t="n">
        <v>45133</v>
      </c>
      <c r="C175" s="1" t="n">
        <v>45359</v>
      </c>
      <c r="D175" t="inlineStr">
        <is>
          <t>GÄVLEBORGS LÄN</t>
        </is>
      </c>
      <c r="E175" t="inlineStr">
        <is>
          <t>HUDIKSVALL</t>
        </is>
      </c>
      <c r="F175" t="inlineStr">
        <is>
          <t>Holmen skog AB</t>
        </is>
      </c>
      <c r="G175" t="n">
        <v>2.6</v>
      </c>
      <c r="H175" t="n">
        <v>0</v>
      </c>
      <c r="I175" t="n">
        <v>1</v>
      </c>
      <c r="J175" t="n">
        <v>2</v>
      </c>
      <c r="K175" t="n">
        <v>0</v>
      </c>
      <c r="L175" t="n">
        <v>0</v>
      </c>
      <c r="M175" t="n">
        <v>0</v>
      </c>
      <c r="N175" t="n">
        <v>0</v>
      </c>
      <c r="O175" t="n">
        <v>2</v>
      </c>
      <c r="P175" t="n">
        <v>0</v>
      </c>
      <c r="Q175" t="n">
        <v>3</v>
      </c>
      <c r="R175" s="2" t="inlineStr">
        <is>
          <t>Garnlav
Lunglav
Stuplav</t>
        </is>
      </c>
      <c r="S175">
        <f>HYPERLINK("https://klasma.github.io/Logging_2184/artfynd/A 33783-2023 artfynd.xlsx", "A 33783-2023")</f>
        <v/>
      </c>
      <c r="T175">
        <f>HYPERLINK("https://klasma.github.io/Logging_2184/kartor/A 33783-2023 karta.png", "A 33783-2023")</f>
        <v/>
      </c>
      <c r="V175">
        <f>HYPERLINK("https://klasma.github.io/Logging_2184/klagomål/A 33783-2023 FSC-klagomål.docx", "A 33783-2023")</f>
        <v/>
      </c>
      <c r="W175">
        <f>HYPERLINK("https://klasma.github.io/Logging_2184/klagomålsmail/A 33783-2023 FSC-klagomål mail.docx", "A 33783-2023")</f>
        <v/>
      </c>
      <c r="X175">
        <f>HYPERLINK("https://klasma.github.io/Logging_2184/tillsyn/A 33783-2023 tillsynsbegäran.docx", "A 33783-2023")</f>
        <v/>
      </c>
      <c r="Y175">
        <f>HYPERLINK("https://klasma.github.io/Logging_2184/tillsynsmail/A 33783-2023 tillsynsbegäran mail.docx", "A 33783-2023")</f>
        <v/>
      </c>
    </row>
    <row r="176" ht="15" customHeight="1">
      <c r="A176" t="inlineStr">
        <is>
          <t>A 36196-2023</t>
        </is>
      </c>
      <c r="B176" s="1" t="n">
        <v>45149</v>
      </c>
      <c r="C176" s="1" t="n">
        <v>45359</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39885-2023</t>
        </is>
      </c>
      <c r="B177" s="1" t="n">
        <v>45168</v>
      </c>
      <c r="C177" s="1" t="n">
        <v>45359</v>
      </c>
      <c r="D177" t="inlineStr">
        <is>
          <t>GÄVLEBORGS LÄN</t>
        </is>
      </c>
      <c r="E177" t="inlineStr">
        <is>
          <t>SÖDERHAMN</t>
        </is>
      </c>
      <c r="G177" t="n">
        <v>2.9</v>
      </c>
      <c r="H177" t="n">
        <v>0</v>
      </c>
      <c r="I177" t="n">
        <v>2</v>
      </c>
      <c r="J177" t="n">
        <v>1</v>
      </c>
      <c r="K177" t="n">
        <v>0</v>
      </c>
      <c r="L177" t="n">
        <v>0</v>
      </c>
      <c r="M177" t="n">
        <v>0</v>
      </c>
      <c r="N177" t="n">
        <v>0</v>
      </c>
      <c r="O177" t="n">
        <v>1</v>
      </c>
      <c r="P177" t="n">
        <v>0</v>
      </c>
      <c r="Q177" t="n">
        <v>3</v>
      </c>
      <c r="R177" s="2" t="inlineStr">
        <is>
          <t>Hapalopilus aurantiacus
Blodticka
Sotriska</t>
        </is>
      </c>
      <c r="S177">
        <f>HYPERLINK("https://klasma.github.io/Logging_2182/artfynd/A 39885-2023 artfynd.xlsx", "A 39885-2023")</f>
        <v/>
      </c>
      <c r="T177">
        <f>HYPERLINK("https://klasma.github.io/Logging_2182/kartor/A 39885-2023 karta.png", "A 39885-2023")</f>
        <v/>
      </c>
      <c r="V177">
        <f>HYPERLINK("https://klasma.github.io/Logging_2182/klagomål/A 39885-2023 FSC-klagomål.docx", "A 39885-2023")</f>
        <v/>
      </c>
      <c r="W177">
        <f>HYPERLINK("https://klasma.github.io/Logging_2182/klagomålsmail/A 39885-2023 FSC-klagomål mail.docx", "A 39885-2023")</f>
        <v/>
      </c>
      <c r="X177">
        <f>HYPERLINK("https://klasma.github.io/Logging_2182/tillsyn/A 39885-2023 tillsynsbegäran.docx", "A 39885-2023")</f>
        <v/>
      </c>
      <c r="Y177">
        <f>HYPERLINK("https://klasma.github.io/Logging_2182/tillsynsmail/A 39885-2023 tillsynsbegäran mail.docx", "A 39885-2023")</f>
        <v/>
      </c>
    </row>
    <row r="178" ht="15" customHeight="1">
      <c r="A178" t="inlineStr">
        <is>
          <t>A 45306-2023</t>
        </is>
      </c>
      <c r="B178" s="1" t="n">
        <v>45191</v>
      </c>
      <c r="C178" s="1" t="n">
        <v>45359</v>
      </c>
      <c r="D178" t="inlineStr">
        <is>
          <t>GÄVLEBORGS LÄN</t>
        </is>
      </c>
      <c r="E178" t="inlineStr">
        <is>
          <t>HOFORS</t>
        </is>
      </c>
      <c r="F178" t="inlineStr">
        <is>
          <t>Sveaskog</t>
        </is>
      </c>
      <c r="G178" t="n">
        <v>2.9</v>
      </c>
      <c r="H178" t="n">
        <v>1</v>
      </c>
      <c r="I178" t="n">
        <v>1</v>
      </c>
      <c r="J178" t="n">
        <v>2</v>
      </c>
      <c r="K178" t="n">
        <v>0</v>
      </c>
      <c r="L178" t="n">
        <v>0</v>
      </c>
      <c r="M178" t="n">
        <v>0</v>
      </c>
      <c r="N178" t="n">
        <v>0</v>
      </c>
      <c r="O178" t="n">
        <v>2</v>
      </c>
      <c r="P178" t="n">
        <v>0</v>
      </c>
      <c r="Q178" t="n">
        <v>3</v>
      </c>
      <c r="R178" s="2" t="inlineStr">
        <is>
          <t>Motaggsvamp
Talltita
Mindre märgborre</t>
        </is>
      </c>
      <c r="S178">
        <f>HYPERLINK("https://klasma.github.io/Logging_2104/artfynd/A 45306-2023 artfynd.xlsx", "A 45306-2023")</f>
        <v/>
      </c>
      <c r="T178">
        <f>HYPERLINK("https://klasma.github.io/Logging_2104/kartor/A 45306-2023 karta.png", "A 45306-2023")</f>
        <v/>
      </c>
      <c r="V178">
        <f>HYPERLINK("https://klasma.github.io/Logging_2104/klagomål/A 45306-2023 FSC-klagomål.docx", "A 45306-2023")</f>
        <v/>
      </c>
      <c r="W178">
        <f>HYPERLINK("https://klasma.github.io/Logging_2104/klagomålsmail/A 45306-2023 FSC-klagomål mail.docx", "A 45306-2023")</f>
        <v/>
      </c>
      <c r="X178">
        <f>HYPERLINK("https://klasma.github.io/Logging_2104/tillsyn/A 45306-2023 tillsynsbegäran.docx", "A 45306-2023")</f>
        <v/>
      </c>
      <c r="Y178">
        <f>HYPERLINK("https://klasma.github.io/Logging_2104/tillsynsmail/A 45306-2023 tillsynsbegäran mail.docx", "A 45306-2023")</f>
        <v/>
      </c>
      <c r="Z178">
        <f>HYPERLINK("https://klasma.github.io/Logging_2104/fåglar/A 45306-2023 prioriterade fågelarter.docx", "A 45306-2023")</f>
        <v/>
      </c>
    </row>
    <row r="179" ht="15" customHeight="1">
      <c r="A179" t="inlineStr">
        <is>
          <t>A 50217-2023</t>
        </is>
      </c>
      <c r="B179" s="1" t="n">
        <v>45215</v>
      </c>
      <c r="C179" s="1" t="n">
        <v>45359</v>
      </c>
      <c r="D179" t="inlineStr">
        <is>
          <t>GÄVLEBORGS LÄN</t>
        </is>
      </c>
      <c r="E179" t="inlineStr">
        <is>
          <t>SÖDERHAMN</t>
        </is>
      </c>
      <c r="G179" t="n">
        <v>13.6</v>
      </c>
      <c r="H179" t="n">
        <v>0</v>
      </c>
      <c r="I179" t="n">
        <v>1</v>
      </c>
      <c r="J179" t="n">
        <v>2</v>
      </c>
      <c r="K179" t="n">
        <v>0</v>
      </c>
      <c r="L179" t="n">
        <v>0</v>
      </c>
      <c r="M179" t="n">
        <v>0</v>
      </c>
      <c r="N179" t="n">
        <v>0</v>
      </c>
      <c r="O179" t="n">
        <v>2</v>
      </c>
      <c r="P179" t="n">
        <v>0</v>
      </c>
      <c r="Q179" t="n">
        <v>3</v>
      </c>
      <c r="R179" s="2" t="inlineStr">
        <is>
          <t>Dofttaggsvamp
Gropticka
Dropptaggsvamp</t>
        </is>
      </c>
      <c r="S179">
        <f>HYPERLINK("https://klasma.github.io/Logging_2182/artfynd/A 50217-2023 artfynd.xlsx", "A 50217-2023")</f>
        <v/>
      </c>
      <c r="T179">
        <f>HYPERLINK("https://klasma.github.io/Logging_2182/kartor/A 50217-2023 karta.png", "A 50217-2023")</f>
        <v/>
      </c>
      <c r="V179">
        <f>HYPERLINK("https://klasma.github.io/Logging_2182/klagomål/A 50217-2023 FSC-klagomål.docx", "A 50217-2023")</f>
        <v/>
      </c>
      <c r="W179">
        <f>HYPERLINK("https://klasma.github.io/Logging_2182/klagomålsmail/A 50217-2023 FSC-klagomål mail.docx", "A 50217-2023")</f>
        <v/>
      </c>
      <c r="X179">
        <f>HYPERLINK("https://klasma.github.io/Logging_2182/tillsyn/A 50217-2023 tillsynsbegäran.docx", "A 50217-2023")</f>
        <v/>
      </c>
      <c r="Y179">
        <f>HYPERLINK("https://klasma.github.io/Logging_2182/tillsynsmail/A 50217-2023 tillsynsbegäran mail.docx", "A 50217-2023")</f>
        <v/>
      </c>
    </row>
    <row r="180" ht="15" customHeight="1">
      <c r="A180" t="inlineStr">
        <is>
          <t>A 64533-2023</t>
        </is>
      </c>
      <c r="B180" s="1" t="n">
        <v>45281</v>
      </c>
      <c r="C180" s="1" t="n">
        <v>45359</v>
      </c>
      <c r="D180" t="inlineStr">
        <is>
          <t>GÄVLEBORGS LÄN</t>
        </is>
      </c>
      <c r="E180" t="inlineStr">
        <is>
          <t>GÄVLE</t>
        </is>
      </c>
      <c r="G180" t="n">
        <v>1.1</v>
      </c>
      <c r="H180" t="n">
        <v>0</v>
      </c>
      <c r="I180" t="n">
        <v>2</v>
      </c>
      <c r="J180" t="n">
        <v>1</v>
      </c>
      <c r="K180" t="n">
        <v>0</v>
      </c>
      <c r="L180" t="n">
        <v>0</v>
      </c>
      <c r="M180" t="n">
        <v>0</v>
      </c>
      <c r="N180" t="n">
        <v>0</v>
      </c>
      <c r="O180" t="n">
        <v>1</v>
      </c>
      <c r="P180" t="n">
        <v>0</v>
      </c>
      <c r="Q180" t="n">
        <v>3</v>
      </c>
      <c r="R180" s="2" t="inlineStr">
        <is>
          <t>Asppraktbagge
Aspvedgnagare
Jättesvampmal</t>
        </is>
      </c>
      <c r="S180">
        <f>HYPERLINK("https://klasma.github.io/Logging_2180/artfynd/A 64533-2023 artfynd.xlsx", "A 64533-2023")</f>
        <v/>
      </c>
      <c r="T180">
        <f>HYPERLINK("https://klasma.github.io/Logging_2180/kartor/A 64533-2023 karta.png", "A 64533-2023")</f>
        <v/>
      </c>
      <c r="V180">
        <f>HYPERLINK("https://klasma.github.io/Logging_2180/klagomål/A 64533-2023 FSC-klagomål.docx", "A 64533-2023")</f>
        <v/>
      </c>
      <c r="W180">
        <f>HYPERLINK("https://klasma.github.io/Logging_2180/klagomålsmail/A 64533-2023 FSC-klagomål mail.docx", "A 64533-2023")</f>
        <v/>
      </c>
      <c r="X180">
        <f>HYPERLINK("https://klasma.github.io/Logging_2180/tillsyn/A 64533-2023 tillsynsbegäran.docx", "A 64533-2023")</f>
        <v/>
      </c>
      <c r="Y180">
        <f>HYPERLINK("https://klasma.github.io/Logging_2180/tillsynsmail/A 64533-2023 tillsynsbegäran mail.docx", "A 64533-2023")</f>
        <v/>
      </c>
    </row>
    <row r="181" ht="15" customHeight="1">
      <c r="A181" t="inlineStr">
        <is>
          <t>A 38216-2018</t>
        </is>
      </c>
      <c r="B181" s="1" t="n">
        <v>43338</v>
      </c>
      <c r="C181" s="1" t="n">
        <v>45359</v>
      </c>
      <c r="D181" t="inlineStr">
        <is>
          <t>GÄVLEBORGS LÄN</t>
        </is>
      </c>
      <c r="E181" t="inlineStr">
        <is>
          <t>LJUSDAL</t>
        </is>
      </c>
      <c r="G181" t="n">
        <v>138</v>
      </c>
      <c r="H181" t="n">
        <v>1</v>
      </c>
      <c r="I181" t="n">
        <v>0</v>
      </c>
      <c r="J181" t="n">
        <v>0</v>
      </c>
      <c r="K181" t="n">
        <v>0</v>
      </c>
      <c r="L181" t="n">
        <v>1</v>
      </c>
      <c r="M181" t="n">
        <v>0</v>
      </c>
      <c r="N181" t="n">
        <v>0</v>
      </c>
      <c r="O181" t="n">
        <v>1</v>
      </c>
      <c r="P181" t="n">
        <v>1</v>
      </c>
      <c r="Q181" t="n">
        <v>2</v>
      </c>
      <c r="R181" s="2" t="inlineStr">
        <is>
          <t>Flodpärlmussla
Myggblomster</t>
        </is>
      </c>
      <c r="S181">
        <f>HYPERLINK("https://klasma.github.io/Logging_2161/artfynd/A 38216-2018 artfynd.xlsx", "A 38216-2018")</f>
        <v/>
      </c>
      <c r="T181">
        <f>HYPERLINK("https://klasma.github.io/Logging_2161/kartor/A 38216-2018 karta.png", "A 38216-2018")</f>
        <v/>
      </c>
      <c r="V181">
        <f>HYPERLINK("https://klasma.github.io/Logging_2161/klagomål/A 38216-2018 FSC-klagomål.docx", "A 38216-2018")</f>
        <v/>
      </c>
      <c r="W181">
        <f>HYPERLINK("https://klasma.github.io/Logging_2161/klagomålsmail/A 38216-2018 FSC-klagomål mail.docx", "A 38216-2018")</f>
        <v/>
      </c>
      <c r="X181">
        <f>HYPERLINK("https://klasma.github.io/Logging_2161/tillsyn/A 38216-2018 tillsynsbegäran.docx", "A 38216-2018")</f>
        <v/>
      </c>
      <c r="Y181">
        <f>HYPERLINK("https://klasma.github.io/Logging_2161/tillsynsmail/A 38216-2018 tillsynsbegäran mail.docx", "A 38216-2018")</f>
        <v/>
      </c>
    </row>
    <row r="182" ht="15" customHeight="1">
      <c r="A182" t="inlineStr">
        <is>
          <t>A 42763-2018</t>
        </is>
      </c>
      <c r="B182" s="1" t="n">
        <v>43354</v>
      </c>
      <c r="C182" s="1" t="n">
        <v>45359</v>
      </c>
      <c r="D182" t="inlineStr">
        <is>
          <t>GÄVLEBORGS LÄN</t>
        </is>
      </c>
      <c r="E182" t="inlineStr">
        <is>
          <t>LJUSDAL</t>
        </is>
      </c>
      <c r="F182" t="inlineStr">
        <is>
          <t>Holmen skog AB</t>
        </is>
      </c>
      <c r="G182" t="n">
        <v>165.3</v>
      </c>
      <c r="H182" t="n">
        <v>2</v>
      </c>
      <c r="I182" t="n">
        <v>0</v>
      </c>
      <c r="J182" t="n">
        <v>2</v>
      </c>
      <c r="K182" t="n">
        <v>0</v>
      </c>
      <c r="L182" t="n">
        <v>0</v>
      </c>
      <c r="M182" t="n">
        <v>0</v>
      </c>
      <c r="N182" t="n">
        <v>0</v>
      </c>
      <c r="O182" t="n">
        <v>2</v>
      </c>
      <c r="P182" t="n">
        <v>0</v>
      </c>
      <c r="Q182" t="n">
        <v>2</v>
      </c>
      <c r="R182" s="2" t="inlineStr">
        <is>
          <t>Drillsnäppa
Järpe</t>
        </is>
      </c>
      <c r="S182">
        <f>HYPERLINK("https://klasma.github.io/Logging_2161/artfynd/A 42763-2018 artfynd.xlsx", "A 42763-2018")</f>
        <v/>
      </c>
      <c r="T182">
        <f>HYPERLINK("https://klasma.github.io/Logging_2161/kartor/A 42763-2018 karta.png", "A 42763-2018")</f>
        <v/>
      </c>
      <c r="V182">
        <f>HYPERLINK("https://klasma.github.io/Logging_2161/klagomål/A 42763-2018 FSC-klagomål.docx", "A 42763-2018")</f>
        <v/>
      </c>
      <c r="W182">
        <f>HYPERLINK("https://klasma.github.io/Logging_2161/klagomålsmail/A 42763-2018 FSC-klagomål mail.docx", "A 42763-2018")</f>
        <v/>
      </c>
      <c r="X182">
        <f>HYPERLINK("https://klasma.github.io/Logging_2161/tillsyn/A 42763-2018 tillsynsbegäran.docx", "A 42763-2018")</f>
        <v/>
      </c>
      <c r="Y182">
        <f>HYPERLINK("https://klasma.github.io/Logging_2161/tillsynsmail/A 42763-2018 tillsynsbegäran mail.docx", "A 42763-2018")</f>
        <v/>
      </c>
      <c r="Z182">
        <f>HYPERLINK("https://klasma.github.io/Logging_2161/fåglar/A 42763-2018 prioriterade fågelarter.docx", "A 42763-2018")</f>
        <v/>
      </c>
    </row>
    <row r="183" ht="15" customHeight="1">
      <c r="A183" t="inlineStr">
        <is>
          <t>A 49899-2018</t>
        </is>
      </c>
      <c r="B183" s="1" t="n">
        <v>43377</v>
      </c>
      <c r="C183" s="1" t="n">
        <v>45359</v>
      </c>
      <c r="D183" t="inlineStr">
        <is>
          <t>GÄVLEBORGS LÄN</t>
        </is>
      </c>
      <c r="E183" t="inlineStr">
        <is>
          <t>LJUSDAL</t>
        </is>
      </c>
      <c r="G183" t="n">
        <v>43.6</v>
      </c>
      <c r="H183" t="n">
        <v>2</v>
      </c>
      <c r="I183" t="n">
        <v>0</v>
      </c>
      <c r="J183" t="n">
        <v>0</v>
      </c>
      <c r="K183" t="n">
        <v>0</v>
      </c>
      <c r="L183" t="n">
        <v>1</v>
      </c>
      <c r="M183" t="n">
        <v>0</v>
      </c>
      <c r="N183" t="n">
        <v>0</v>
      </c>
      <c r="O183" t="n">
        <v>1</v>
      </c>
      <c r="P183" t="n">
        <v>1</v>
      </c>
      <c r="Q183" t="n">
        <v>2</v>
      </c>
      <c r="R183" s="2" t="inlineStr">
        <is>
          <t>Mosippa
Mattlummer</t>
        </is>
      </c>
      <c r="S183">
        <f>HYPERLINK("https://klasma.github.io/Logging_2161/artfynd/A 49899-2018 artfynd.xlsx", "A 49899-2018")</f>
        <v/>
      </c>
      <c r="T183">
        <f>HYPERLINK("https://klasma.github.io/Logging_2161/kartor/A 49899-2018 karta.png", "A 49899-2018")</f>
        <v/>
      </c>
      <c r="V183">
        <f>HYPERLINK("https://klasma.github.io/Logging_2161/klagomål/A 49899-2018 FSC-klagomål.docx", "A 49899-2018")</f>
        <v/>
      </c>
      <c r="W183">
        <f>HYPERLINK("https://klasma.github.io/Logging_2161/klagomålsmail/A 49899-2018 FSC-klagomål mail.docx", "A 49899-2018")</f>
        <v/>
      </c>
      <c r="X183">
        <f>HYPERLINK("https://klasma.github.io/Logging_2161/tillsyn/A 49899-2018 tillsynsbegäran.docx", "A 49899-2018")</f>
        <v/>
      </c>
      <c r="Y183">
        <f>HYPERLINK("https://klasma.github.io/Logging_2161/tillsynsmail/A 49899-2018 tillsynsbegäran mail.docx", "A 49899-2018")</f>
        <v/>
      </c>
    </row>
    <row r="184" ht="15" customHeight="1">
      <c r="A184" t="inlineStr">
        <is>
          <t>A 50872-2018</t>
        </is>
      </c>
      <c r="B184" s="1" t="n">
        <v>43381</v>
      </c>
      <c r="C184" s="1" t="n">
        <v>45359</v>
      </c>
      <c r="D184" t="inlineStr">
        <is>
          <t>GÄVLEBORGS LÄN</t>
        </is>
      </c>
      <c r="E184" t="inlineStr">
        <is>
          <t>LJUSDAL</t>
        </is>
      </c>
      <c r="F184" t="inlineStr">
        <is>
          <t>SCA</t>
        </is>
      </c>
      <c r="G184" t="n">
        <v>19.9</v>
      </c>
      <c r="H184" t="n">
        <v>0</v>
      </c>
      <c r="I184" t="n">
        <v>1</v>
      </c>
      <c r="J184" t="n">
        <v>1</v>
      </c>
      <c r="K184" t="n">
        <v>0</v>
      </c>
      <c r="L184" t="n">
        <v>0</v>
      </c>
      <c r="M184" t="n">
        <v>0</v>
      </c>
      <c r="N184" t="n">
        <v>0</v>
      </c>
      <c r="O184" t="n">
        <v>1</v>
      </c>
      <c r="P184" t="n">
        <v>0</v>
      </c>
      <c r="Q184" t="n">
        <v>2</v>
      </c>
      <c r="R184" s="2" t="inlineStr">
        <is>
          <t>Garnlav
Stor aspticka</t>
        </is>
      </c>
      <c r="S184">
        <f>HYPERLINK("https://klasma.github.io/Logging_2161/artfynd/A 50872-2018 artfynd.xlsx", "A 50872-2018")</f>
        <v/>
      </c>
      <c r="T184">
        <f>HYPERLINK("https://klasma.github.io/Logging_2161/kartor/A 50872-2018 karta.png", "A 50872-2018")</f>
        <v/>
      </c>
      <c r="V184">
        <f>HYPERLINK("https://klasma.github.io/Logging_2161/klagomål/A 50872-2018 FSC-klagomål.docx", "A 50872-2018")</f>
        <v/>
      </c>
      <c r="W184">
        <f>HYPERLINK("https://klasma.github.io/Logging_2161/klagomålsmail/A 50872-2018 FSC-klagomål mail.docx", "A 50872-2018")</f>
        <v/>
      </c>
      <c r="X184">
        <f>HYPERLINK("https://klasma.github.io/Logging_2161/tillsyn/A 50872-2018 tillsynsbegäran.docx", "A 50872-2018")</f>
        <v/>
      </c>
      <c r="Y184">
        <f>HYPERLINK("https://klasma.github.io/Logging_2161/tillsynsmail/A 50872-2018 tillsynsbegäran mail.docx", "A 50872-2018")</f>
        <v/>
      </c>
    </row>
    <row r="185" ht="15" customHeight="1">
      <c r="A185" t="inlineStr">
        <is>
          <t>A 2528-2019</t>
        </is>
      </c>
      <c r="B185" s="1" t="n">
        <v>43476</v>
      </c>
      <c r="C185" s="1" t="n">
        <v>45359</v>
      </c>
      <c r="D185" t="inlineStr">
        <is>
          <t>GÄVLEBORGS LÄN</t>
        </is>
      </c>
      <c r="E185" t="inlineStr">
        <is>
          <t>LJUSDAL</t>
        </is>
      </c>
      <c r="G185" t="n">
        <v>130.7</v>
      </c>
      <c r="H185" t="n">
        <v>2</v>
      </c>
      <c r="I185" t="n">
        <v>0</v>
      </c>
      <c r="J185" t="n">
        <v>0</v>
      </c>
      <c r="K185" t="n">
        <v>0</v>
      </c>
      <c r="L185" t="n">
        <v>0</v>
      </c>
      <c r="M185" t="n">
        <v>0</v>
      </c>
      <c r="N185" t="n">
        <v>0</v>
      </c>
      <c r="O185" t="n">
        <v>0</v>
      </c>
      <c r="P185" t="n">
        <v>0</v>
      </c>
      <c r="Q185" t="n">
        <v>2</v>
      </c>
      <c r="R185" s="2" t="inlineStr">
        <is>
          <t>Lopplummer
Revlummer</t>
        </is>
      </c>
      <c r="S185">
        <f>HYPERLINK("https://klasma.github.io/Logging_2161/artfynd/A 2528-2019 artfynd.xlsx", "A 2528-2019")</f>
        <v/>
      </c>
      <c r="T185">
        <f>HYPERLINK("https://klasma.github.io/Logging_2161/kartor/A 2528-2019 karta.png", "A 2528-2019")</f>
        <v/>
      </c>
      <c r="V185">
        <f>HYPERLINK("https://klasma.github.io/Logging_2161/klagomål/A 2528-2019 FSC-klagomål.docx", "A 2528-2019")</f>
        <v/>
      </c>
      <c r="W185">
        <f>HYPERLINK("https://klasma.github.io/Logging_2161/klagomålsmail/A 2528-2019 FSC-klagomål mail.docx", "A 2528-2019")</f>
        <v/>
      </c>
      <c r="X185">
        <f>HYPERLINK("https://klasma.github.io/Logging_2161/tillsyn/A 2528-2019 tillsynsbegäran.docx", "A 2528-2019")</f>
        <v/>
      </c>
      <c r="Y185">
        <f>HYPERLINK("https://klasma.github.io/Logging_2161/tillsynsmail/A 2528-2019 tillsynsbegäran mail.docx", "A 2528-2019")</f>
        <v/>
      </c>
    </row>
    <row r="186" ht="15" customHeight="1">
      <c r="A186" t="inlineStr">
        <is>
          <t>A 17913-2019</t>
        </is>
      </c>
      <c r="B186" s="1" t="n">
        <v>43557</v>
      </c>
      <c r="C186" s="1" t="n">
        <v>45359</v>
      </c>
      <c r="D186" t="inlineStr">
        <is>
          <t>GÄVLEBORGS LÄN</t>
        </is>
      </c>
      <c r="E186" t="inlineStr">
        <is>
          <t>NORDANSTIG</t>
        </is>
      </c>
      <c r="F186" t="inlineStr">
        <is>
          <t>Holmen skog AB</t>
        </is>
      </c>
      <c r="G186" t="n">
        <v>6.6</v>
      </c>
      <c r="H186" t="n">
        <v>1</v>
      </c>
      <c r="I186" t="n">
        <v>1</v>
      </c>
      <c r="J186" t="n">
        <v>0</v>
      </c>
      <c r="K186" t="n">
        <v>0</v>
      </c>
      <c r="L186" t="n">
        <v>0</v>
      </c>
      <c r="M186" t="n">
        <v>0</v>
      </c>
      <c r="N186" t="n">
        <v>0</v>
      </c>
      <c r="O186" t="n">
        <v>0</v>
      </c>
      <c r="P186" t="n">
        <v>0</v>
      </c>
      <c r="Q186" t="n">
        <v>2</v>
      </c>
      <c r="R186" s="2" t="inlineStr">
        <is>
          <t>Skinnlav
Fläcknycklar</t>
        </is>
      </c>
      <c r="S186">
        <f>HYPERLINK("https://klasma.github.io/Logging_2132/artfynd/A 17913-2019 artfynd.xlsx", "A 17913-2019")</f>
        <v/>
      </c>
      <c r="T186">
        <f>HYPERLINK("https://klasma.github.io/Logging_2132/kartor/A 17913-2019 karta.png", "A 17913-2019")</f>
        <v/>
      </c>
      <c r="V186">
        <f>HYPERLINK("https://klasma.github.io/Logging_2132/klagomål/A 17913-2019 FSC-klagomål.docx", "A 17913-2019")</f>
        <v/>
      </c>
      <c r="W186">
        <f>HYPERLINK("https://klasma.github.io/Logging_2132/klagomålsmail/A 17913-2019 FSC-klagomål mail.docx", "A 17913-2019")</f>
        <v/>
      </c>
      <c r="X186">
        <f>HYPERLINK("https://klasma.github.io/Logging_2132/tillsyn/A 17913-2019 tillsynsbegäran.docx", "A 17913-2019")</f>
        <v/>
      </c>
      <c r="Y186">
        <f>HYPERLINK("https://klasma.github.io/Logging_2132/tillsynsmail/A 17913-2019 tillsynsbegäran mail.docx", "A 17913-2019")</f>
        <v/>
      </c>
    </row>
    <row r="187" ht="15" customHeight="1">
      <c r="A187" t="inlineStr">
        <is>
          <t>A 19095-2019</t>
        </is>
      </c>
      <c r="B187" s="1" t="n">
        <v>43564</v>
      </c>
      <c r="C187" s="1" t="n">
        <v>45359</v>
      </c>
      <c r="D187" t="inlineStr">
        <is>
          <t>GÄVLEBORGS LÄN</t>
        </is>
      </c>
      <c r="E187" t="inlineStr">
        <is>
          <t>HOFORS</t>
        </is>
      </c>
      <c r="G187" t="n">
        <v>8</v>
      </c>
      <c r="H187" t="n">
        <v>1</v>
      </c>
      <c r="I187" t="n">
        <v>1</v>
      </c>
      <c r="J187" t="n">
        <v>0</v>
      </c>
      <c r="K187" t="n">
        <v>1</v>
      </c>
      <c r="L187" t="n">
        <v>0</v>
      </c>
      <c r="M187" t="n">
        <v>0</v>
      </c>
      <c r="N187" t="n">
        <v>0</v>
      </c>
      <c r="O187" t="n">
        <v>1</v>
      </c>
      <c r="P187" t="n">
        <v>1</v>
      </c>
      <c r="Q187" t="n">
        <v>2</v>
      </c>
      <c r="R187" s="2" t="inlineStr">
        <is>
          <t>Knärot
Mindre märgborre</t>
        </is>
      </c>
      <c r="S187">
        <f>HYPERLINK("https://klasma.github.io/Logging_2104/artfynd/A 19095-2019 artfynd.xlsx", "A 19095-2019")</f>
        <v/>
      </c>
      <c r="T187">
        <f>HYPERLINK("https://klasma.github.io/Logging_2104/kartor/A 19095-2019 karta.png", "A 19095-2019")</f>
        <v/>
      </c>
      <c r="U187">
        <f>HYPERLINK("https://klasma.github.io/Logging_2104/knärot/A 19095-2019 karta knärot.png", "A 19095-2019")</f>
        <v/>
      </c>
      <c r="V187">
        <f>HYPERLINK("https://klasma.github.io/Logging_2104/klagomål/A 19095-2019 FSC-klagomål.docx", "A 19095-2019")</f>
        <v/>
      </c>
      <c r="W187">
        <f>HYPERLINK("https://klasma.github.io/Logging_2104/klagomålsmail/A 19095-2019 FSC-klagomål mail.docx", "A 19095-2019")</f>
        <v/>
      </c>
      <c r="X187">
        <f>HYPERLINK("https://klasma.github.io/Logging_2104/tillsyn/A 19095-2019 tillsynsbegäran.docx", "A 19095-2019")</f>
        <v/>
      </c>
      <c r="Y187">
        <f>HYPERLINK("https://klasma.github.io/Logging_2104/tillsynsmail/A 19095-2019 tillsynsbegäran mail.docx", "A 19095-2019")</f>
        <v/>
      </c>
    </row>
    <row r="188" ht="15" customHeight="1">
      <c r="A188" t="inlineStr">
        <is>
          <t>A 21731-2019</t>
        </is>
      </c>
      <c r="B188" s="1" t="n">
        <v>43581</v>
      </c>
      <c r="C188" s="1" t="n">
        <v>45359</v>
      </c>
      <c r="D188" t="inlineStr">
        <is>
          <t>GÄVLEBORGS LÄN</t>
        </is>
      </c>
      <c r="E188" t="inlineStr">
        <is>
          <t>HOFORS</t>
        </is>
      </c>
      <c r="F188" t="inlineStr">
        <is>
          <t>Sveaskog</t>
        </is>
      </c>
      <c r="G188" t="n">
        <v>3.8</v>
      </c>
      <c r="H188" t="n">
        <v>2</v>
      </c>
      <c r="I188" t="n">
        <v>1</v>
      </c>
      <c r="J188" t="n">
        <v>0</v>
      </c>
      <c r="K188" t="n">
        <v>0</v>
      </c>
      <c r="L188" t="n">
        <v>0</v>
      </c>
      <c r="M188" t="n">
        <v>0</v>
      </c>
      <c r="N188" t="n">
        <v>0</v>
      </c>
      <c r="O188" t="n">
        <v>0</v>
      </c>
      <c r="P188" t="n">
        <v>0</v>
      </c>
      <c r="Q188" t="n">
        <v>2</v>
      </c>
      <c r="R188" s="2" t="inlineStr">
        <is>
          <t>Tvåblad
Revlummer</t>
        </is>
      </c>
      <c r="S188">
        <f>HYPERLINK("https://klasma.github.io/Logging_2104/artfynd/A 21731-2019 artfynd.xlsx", "A 21731-2019")</f>
        <v/>
      </c>
      <c r="T188">
        <f>HYPERLINK("https://klasma.github.io/Logging_2104/kartor/A 21731-2019 karta.png", "A 21731-2019")</f>
        <v/>
      </c>
      <c r="U188">
        <f>HYPERLINK("https://klasma.github.io/Logging_2104/knärot/A 21731-2019 karta knärot.png", "A 21731-2019")</f>
        <v/>
      </c>
      <c r="V188">
        <f>HYPERLINK("https://klasma.github.io/Logging_2104/klagomål/A 21731-2019 FSC-klagomål.docx", "A 21731-2019")</f>
        <v/>
      </c>
      <c r="W188">
        <f>HYPERLINK("https://klasma.github.io/Logging_2104/klagomålsmail/A 21731-2019 FSC-klagomål mail.docx", "A 21731-2019")</f>
        <v/>
      </c>
      <c r="X188">
        <f>HYPERLINK("https://klasma.github.io/Logging_2104/tillsyn/A 21731-2019 tillsynsbegäran.docx", "A 21731-2019")</f>
        <v/>
      </c>
      <c r="Y188">
        <f>HYPERLINK("https://klasma.github.io/Logging_2104/tillsynsmail/A 21731-2019 tillsynsbegäran mail.docx", "A 21731-2019")</f>
        <v/>
      </c>
    </row>
    <row r="189" ht="15" customHeight="1">
      <c r="A189" t="inlineStr">
        <is>
          <t>A 29812-2019</t>
        </is>
      </c>
      <c r="B189" s="1" t="n">
        <v>43629</v>
      </c>
      <c r="C189" s="1" t="n">
        <v>45359</v>
      </c>
      <c r="D189" t="inlineStr">
        <is>
          <t>GÄVLEBORGS LÄN</t>
        </is>
      </c>
      <c r="E189" t="inlineStr">
        <is>
          <t>LJUSDAL</t>
        </is>
      </c>
      <c r="F189" t="inlineStr">
        <is>
          <t>Holmen skog AB</t>
        </is>
      </c>
      <c r="G189" t="n">
        <v>2.4</v>
      </c>
      <c r="H189" t="n">
        <v>1</v>
      </c>
      <c r="I189" t="n">
        <v>1</v>
      </c>
      <c r="J189" t="n">
        <v>0</v>
      </c>
      <c r="K189" t="n">
        <v>1</v>
      </c>
      <c r="L189" t="n">
        <v>0</v>
      </c>
      <c r="M189" t="n">
        <v>0</v>
      </c>
      <c r="N189" t="n">
        <v>0</v>
      </c>
      <c r="O189" t="n">
        <v>1</v>
      </c>
      <c r="P189" t="n">
        <v>1</v>
      </c>
      <c r="Q189" t="n">
        <v>2</v>
      </c>
      <c r="R189" s="2" t="inlineStr">
        <is>
          <t>Knärot
Skinnlav</t>
        </is>
      </c>
      <c r="S189">
        <f>HYPERLINK("https://klasma.github.io/Logging_2161/artfynd/A 29812-2019 artfynd.xlsx", "A 29812-2019")</f>
        <v/>
      </c>
      <c r="T189">
        <f>HYPERLINK("https://klasma.github.io/Logging_2161/kartor/A 29812-2019 karta.png", "A 29812-2019")</f>
        <v/>
      </c>
      <c r="U189">
        <f>HYPERLINK("https://klasma.github.io/Logging_2161/knärot/A 29812-2019 karta knärot.png", "A 29812-2019")</f>
        <v/>
      </c>
      <c r="V189">
        <f>HYPERLINK("https://klasma.github.io/Logging_2161/klagomål/A 29812-2019 FSC-klagomål.docx", "A 29812-2019")</f>
        <v/>
      </c>
      <c r="W189">
        <f>HYPERLINK("https://klasma.github.io/Logging_2161/klagomålsmail/A 29812-2019 FSC-klagomål mail.docx", "A 29812-2019")</f>
        <v/>
      </c>
      <c r="X189">
        <f>HYPERLINK("https://klasma.github.io/Logging_2161/tillsyn/A 29812-2019 tillsynsbegäran.docx", "A 29812-2019")</f>
        <v/>
      </c>
      <c r="Y189">
        <f>HYPERLINK("https://klasma.github.io/Logging_2161/tillsynsmail/A 29812-2019 tillsynsbegäran mail.docx", "A 29812-2019")</f>
        <v/>
      </c>
    </row>
    <row r="190" ht="15" customHeight="1">
      <c r="A190" t="inlineStr">
        <is>
          <t>A 45004-2019</t>
        </is>
      </c>
      <c r="B190" s="1" t="n">
        <v>43713</v>
      </c>
      <c r="C190" s="1" t="n">
        <v>45359</v>
      </c>
      <c r="D190" t="inlineStr">
        <is>
          <t>GÄVLEBORGS LÄN</t>
        </is>
      </c>
      <c r="E190" t="inlineStr">
        <is>
          <t>OVANÅKER</t>
        </is>
      </c>
      <c r="F190" t="inlineStr">
        <is>
          <t>Sveaskog</t>
        </is>
      </c>
      <c r="G190" t="n">
        <v>7.5</v>
      </c>
      <c r="H190" t="n">
        <v>0</v>
      </c>
      <c r="I190" t="n">
        <v>0</v>
      </c>
      <c r="J190" t="n">
        <v>2</v>
      </c>
      <c r="K190" t="n">
        <v>0</v>
      </c>
      <c r="L190" t="n">
        <v>0</v>
      </c>
      <c r="M190" t="n">
        <v>0</v>
      </c>
      <c r="N190" t="n">
        <v>0</v>
      </c>
      <c r="O190" t="n">
        <v>2</v>
      </c>
      <c r="P190" t="n">
        <v>0</v>
      </c>
      <c r="Q190" t="n">
        <v>2</v>
      </c>
      <c r="R190" s="2" t="inlineStr">
        <is>
          <t>Kolflarnlav
Lunglav</t>
        </is>
      </c>
      <c r="S190">
        <f>HYPERLINK("https://klasma.github.io/Logging_2121/artfynd/A 45004-2019 artfynd.xlsx", "A 45004-2019")</f>
        <v/>
      </c>
      <c r="T190">
        <f>HYPERLINK("https://klasma.github.io/Logging_2121/kartor/A 45004-2019 karta.png", "A 45004-2019")</f>
        <v/>
      </c>
      <c r="V190">
        <f>HYPERLINK("https://klasma.github.io/Logging_2121/klagomål/A 45004-2019 FSC-klagomål.docx", "A 45004-2019")</f>
        <v/>
      </c>
      <c r="W190">
        <f>HYPERLINK("https://klasma.github.io/Logging_2121/klagomålsmail/A 45004-2019 FSC-klagomål mail.docx", "A 45004-2019")</f>
        <v/>
      </c>
      <c r="X190">
        <f>HYPERLINK("https://klasma.github.io/Logging_2121/tillsyn/A 45004-2019 tillsynsbegäran.docx", "A 45004-2019")</f>
        <v/>
      </c>
      <c r="Y190">
        <f>HYPERLINK("https://klasma.github.io/Logging_2121/tillsynsmail/A 45004-2019 tillsynsbegäran mail.docx", "A 45004-2019")</f>
        <v/>
      </c>
    </row>
    <row r="191" ht="15" customHeight="1">
      <c r="A191" t="inlineStr">
        <is>
          <t>A 52965-2019</t>
        </is>
      </c>
      <c r="B191" s="1" t="n">
        <v>43747</v>
      </c>
      <c r="C191" s="1" t="n">
        <v>45359</v>
      </c>
      <c r="D191" t="inlineStr">
        <is>
          <t>GÄVLEBORGS LÄN</t>
        </is>
      </c>
      <c r="E191" t="inlineStr">
        <is>
          <t>OCKELBO</t>
        </is>
      </c>
      <c r="G191" t="n">
        <v>1.6</v>
      </c>
      <c r="H191" t="n">
        <v>1</v>
      </c>
      <c r="I191" t="n">
        <v>1</v>
      </c>
      <c r="J191" t="n">
        <v>0</v>
      </c>
      <c r="K191" t="n">
        <v>0</v>
      </c>
      <c r="L191" t="n">
        <v>0</v>
      </c>
      <c r="M191" t="n">
        <v>0</v>
      </c>
      <c r="N191" t="n">
        <v>0</v>
      </c>
      <c r="O191" t="n">
        <v>0</v>
      </c>
      <c r="P191" t="n">
        <v>0</v>
      </c>
      <c r="Q191" t="n">
        <v>2</v>
      </c>
      <c r="R191" s="2" t="inlineStr">
        <is>
          <t>Större träfjäril
Skogsödla</t>
        </is>
      </c>
      <c r="S191">
        <f>HYPERLINK("https://klasma.github.io/Logging_2101/artfynd/A 52965-2019 artfynd.xlsx", "A 52965-2019")</f>
        <v/>
      </c>
      <c r="T191">
        <f>HYPERLINK("https://klasma.github.io/Logging_2101/kartor/A 52965-2019 karta.png", "A 52965-2019")</f>
        <v/>
      </c>
      <c r="V191">
        <f>HYPERLINK("https://klasma.github.io/Logging_2101/klagomål/A 52965-2019 FSC-klagomål.docx", "A 52965-2019")</f>
        <v/>
      </c>
      <c r="W191">
        <f>HYPERLINK("https://klasma.github.io/Logging_2101/klagomålsmail/A 52965-2019 FSC-klagomål mail.docx", "A 52965-2019")</f>
        <v/>
      </c>
      <c r="X191">
        <f>HYPERLINK("https://klasma.github.io/Logging_2101/tillsyn/A 52965-2019 tillsynsbegäran.docx", "A 52965-2019")</f>
        <v/>
      </c>
      <c r="Y191">
        <f>HYPERLINK("https://klasma.github.io/Logging_2101/tillsynsmail/A 52965-2019 tillsynsbegäran mail.docx", "A 52965-2019")</f>
        <v/>
      </c>
    </row>
    <row r="192" ht="15" customHeight="1">
      <c r="A192" t="inlineStr">
        <is>
          <t>A 59286-2019</t>
        </is>
      </c>
      <c r="B192" s="1" t="n">
        <v>43775</v>
      </c>
      <c r="C192" s="1" t="n">
        <v>45359</v>
      </c>
      <c r="D192" t="inlineStr">
        <is>
          <t>GÄVLEBORGS LÄN</t>
        </is>
      </c>
      <c r="E192" t="inlineStr">
        <is>
          <t>OCKELBO</t>
        </is>
      </c>
      <c r="G192" t="n">
        <v>2.2</v>
      </c>
      <c r="H192" t="n">
        <v>0</v>
      </c>
      <c r="I192" t="n">
        <v>0</v>
      </c>
      <c r="J192" t="n">
        <v>2</v>
      </c>
      <c r="K192" t="n">
        <v>0</v>
      </c>
      <c r="L192" t="n">
        <v>0</v>
      </c>
      <c r="M192" t="n">
        <v>0</v>
      </c>
      <c r="N192" t="n">
        <v>0</v>
      </c>
      <c r="O192" t="n">
        <v>2</v>
      </c>
      <c r="P192" t="n">
        <v>0</v>
      </c>
      <c r="Q192" t="n">
        <v>2</v>
      </c>
      <c r="R192" s="2" t="inlineStr">
        <is>
          <t>Garnlav
Koralltaggsvamp</t>
        </is>
      </c>
      <c r="S192">
        <f>HYPERLINK("https://klasma.github.io/Logging_2101/artfynd/A 59286-2019 artfynd.xlsx", "A 59286-2019")</f>
        <v/>
      </c>
      <c r="T192">
        <f>HYPERLINK("https://klasma.github.io/Logging_2101/kartor/A 59286-2019 karta.png", "A 59286-2019")</f>
        <v/>
      </c>
      <c r="V192">
        <f>HYPERLINK("https://klasma.github.io/Logging_2101/klagomål/A 59286-2019 FSC-klagomål.docx", "A 59286-2019")</f>
        <v/>
      </c>
      <c r="W192">
        <f>HYPERLINK("https://klasma.github.io/Logging_2101/klagomålsmail/A 59286-2019 FSC-klagomål mail.docx", "A 59286-2019")</f>
        <v/>
      </c>
      <c r="X192">
        <f>HYPERLINK("https://klasma.github.io/Logging_2101/tillsyn/A 59286-2019 tillsynsbegäran.docx", "A 59286-2019")</f>
        <v/>
      </c>
      <c r="Y192">
        <f>HYPERLINK("https://klasma.github.io/Logging_2101/tillsynsmail/A 59286-2019 tillsynsbegäran mail.docx", "A 59286-2019")</f>
        <v/>
      </c>
    </row>
    <row r="193" ht="15" customHeight="1">
      <c r="A193" t="inlineStr">
        <is>
          <t>A 61384-2019</t>
        </is>
      </c>
      <c r="B193" s="1" t="n">
        <v>43783</v>
      </c>
      <c r="C193" s="1" t="n">
        <v>45359</v>
      </c>
      <c r="D193" t="inlineStr">
        <is>
          <t>GÄVLEBORGS LÄN</t>
        </is>
      </c>
      <c r="E193" t="inlineStr">
        <is>
          <t>BOLLNÄS</t>
        </is>
      </c>
      <c r="F193" t="inlineStr">
        <is>
          <t>Sveaskog</t>
        </is>
      </c>
      <c r="G193" t="n">
        <v>4.1</v>
      </c>
      <c r="H193" t="n">
        <v>2</v>
      </c>
      <c r="I193" t="n">
        <v>1</v>
      </c>
      <c r="J193" t="n">
        <v>0</v>
      </c>
      <c r="K193" t="n">
        <v>1</v>
      </c>
      <c r="L193" t="n">
        <v>0</v>
      </c>
      <c r="M193" t="n">
        <v>0</v>
      </c>
      <c r="N193" t="n">
        <v>0</v>
      </c>
      <c r="O193" t="n">
        <v>1</v>
      </c>
      <c r="P193" t="n">
        <v>1</v>
      </c>
      <c r="Q193" t="n">
        <v>2</v>
      </c>
      <c r="R193" s="2" t="inlineStr">
        <is>
          <t>Knärot
Korallrot</t>
        </is>
      </c>
      <c r="S193">
        <f>HYPERLINK("https://klasma.github.io/Logging_2183/artfynd/A 61384-2019 artfynd.xlsx", "A 61384-2019")</f>
        <v/>
      </c>
      <c r="T193">
        <f>HYPERLINK("https://klasma.github.io/Logging_2183/kartor/A 61384-2019 karta.png", "A 61384-2019")</f>
        <v/>
      </c>
      <c r="U193">
        <f>HYPERLINK("https://klasma.github.io/Logging_2183/knärot/A 61384-2019 karta knärot.png", "A 61384-2019")</f>
        <v/>
      </c>
      <c r="V193">
        <f>HYPERLINK("https://klasma.github.io/Logging_2183/klagomål/A 61384-2019 FSC-klagomål.docx", "A 61384-2019")</f>
        <v/>
      </c>
      <c r="W193">
        <f>HYPERLINK("https://klasma.github.io/Logging_2183/klagomålsmail/A 61384-2019 FSC-klagomål mail.docx", "A 61384-2019")</f>
        <v/>
      </c>
      <c r="X193">
        <f>HYPERLINK("https://klasma.github.io/Logging_2183/tillsyn/A 61384-2019 tillsynsbegäran.docx", "A 61384-2019")</f>
        <v/>
      </c>
      <c r="Y193">
        <f>HYPERLINK("https://klasma.github.io/Logging_2183/tillsynsmail/A 61384-2019 tillsynsbegäran mail.docx", "A 61384-2019")</f>
        <v/>
      </c>
    </row>
    <row r="194" ht="15" customHeight="1">
      <c r="A194" t="inlineStr">
        <is>
          <t>A 61372-2019</t>
        </is>
      </c>
      <c r="B194" s="1" t="n">
        <v>43783</v>
      </c>
      <c r="C194" s="1" t="n">
        <v>45359</v>
      </c>
      <c r="D194" t="inlineStr">
        <is>
          <t>GÄVLEBORGS LÄN</t>
        </is>
      </c>
      <c r="E194" t="inlineStr">
        <is>
          <t>BOLLNÄS</t>
        </is>
      </c>
      <c r="F194" t="inlineStr">
        <is>
          <t>Sveaskog</t>
        </is>
      </c>
      <c r="G194" t="n">
        <v>3.2</v>
      </c>
      <c r="H194" t="n">
        <v>1</v>
      </c>
      <c r="I194" t="n">
        <v>0</v>
      </c>
      <c r="J194" t="n">
        <v>1</v>
      </c>
      <c r="K194" t="n">
        <v>1</v>
      </c>
      <c r="L194" t="n">
        <v>0</v>
      </c>
      <c r="M194" t="n">
        <v>0</v>
      </c>
      <c r="N194" t="n">
        <v>0</v>
      </c>
      <c r="O194" t="n">
        <v>2</v>
      </c>
      <c r="P194" t="n">
        <v>1</v>
      </c>
      <c r="Q194" t="n">
        <v>2</v>
      </c>
      <c r="R194" s="2" t="inlineStr">
        <is>
          <t>Knärot
Garnlav</t>
        </is>
      </c>
      <c r="S194">
        <f>HYPERLINK("https://klasma.github.io/Logging_2183/artfynd/A 61372-2019 artfynd.xlsx", "A 61372-2019")</f>
        <v/>
      </c>
      <c r="T194">
        <f>HYPERLINK("https://klasma.github.io/Logging_2183/kartor/A 61372-2019 karta.png", "A 61372-2019")</f>
        <v/>
      </c>
      <c r="U194">
        <f>HYPERLINK("https://klasma.github.io/Logging_2183/knärot/A 61372-2019 karta knärot.png", "A 61372-2019")</f>
        <v/>
      </c>
      <c r="V194">
        <f>HYPERLINK("https://klasma.github.io/Logging_2183/klagomål/A 61372-2019 FSC-klagomål.docx", "A 61372-2019")</f>
        <v/>
      </c>
      <c r="W194">
        <f>HYPERLINK("https://klasma.github.io/Logging_2183/klagomålsmail/A 61372-2019 FSC-klagomål mail.docx", "A 61372-2019")</f>
        <v/>
      </c>
      <c r="X194">
        <f>HYPERLINK("https://klasma.github.io/Logging_2183/tillsyn/A 61372-2019 tillsynsbegäran.docx", "A 61372-2019")</f>
        <v/>
      </c>
      <c r="Y194">
        <f>HYPERLINK("https://klasma.github.io/Logging_2183/tillsynsmail/A 61372-2019 tillsynsbegäran mail.docx", "A 61372-2019")</f>
        <v/>
      </c>
    </row>
    <row r="195" ht="15" customHeight="1">
      <c r="A195" t="inlineStr">
        <is>
          <t>A 61380-2019</t>
        </is>
      </c>
      <c r="B195" s="1" t="n">
        <v>43783</v>
      </c>
      <c r="C195" s="1" t="n">
        <v>45359</v>
      </c>
      <c r="D195" t="inlineStr">
        <is>
          <t>GÄVLEBORGS LÄN</t>
        </is>
      </c>
      <c r="E195" t="inlineStr">
        <is>
          <t>BOLLNÄS</t>
        </is>
      </c>
      <c r="F195" t="inlineStr">
        <is>
          <t>Sveaskog</t>
        </is>
      </c>
      <c r="G195" t="n">
        <v>6</v>
      </c>
      <c r="H195" t="n">
        <v>1</v>
      </c>
      <c r="I195" t="n">
        <v>1</v>
      </c>
      <c r="J195" t="n">
        <v>0</v>
      </c>
      <c r="K195" t="n">
        <v>1</v>
      </c>
      <c r="L195" t="n">
        <v>0</v>
      </c>
      <c r="M195" t="n">
        <v>0</v>
      </c>
      <c r="N195" t="n">
        <v>0</v>
      </c>
      <c r="O195" t="n">
        <v>1</v>
      </c>
      <c r="P195" t="n">
        <v>1</v>
      </c>
      <c r="Q195" t="n">
        <v>2</v>
      </c>
      <c r="R195" s="2" t="inlineStr">
        <is>
          <t>Knärot
Tibast</t>
        </is>
      </c>
      <c r="S195">
        <f>HYPERLINK("https://klasma.github.io/Logging_2183/artfynd/A 61380-2019 artfynd.xlsx", "A 61380-2019")</f>
        <v/>
      </c>
      <c r="T195">
        <f>HYPERLINK("https://klasma.github.io/Logging_2183/kartor/A 61380-2019 karta.png", "A 61380-2019")</f>
        <v/>
      </c>
      <c r="U195">
        <f>HYPERLINK("https://klasma.github.io/Logging_2183/knärot/A 61380-2019 karta knärot.png", "A 61380-2019")</f>
        <v/>
      </c>
      <c r="V195">
        <f>HYPERLINK("https://klasma.github.io/Logging_2183/klagomål/A 61380-2019 FSC-klagomål.docx", "A 61380-2019")</f>
        <v/>
      </c>
      <c r="W195">
        <f>HYPERLINK("https://klasma.github.io/Logging_2183/klagomålsmail/A 61380-2019 FSC-klagomål mail.docx", "A 61380-2019")</f>
        <v/>
      </c>
      <c r="X195">
        <f>HYPERLINK("https://klasma.github.io/Logging_2183/tillsyn/A 61380-2019 tillsynsbegäran.docx", "A 61380-2019")</f>
        <v/>
      </c>
      <c r="Y195">
        <f>HYPERLINK("https://klasma.github.io/Logging_2183/tillsynsmail/A 61380-2019 tillsynsbegäran mail.docx", "A 61380-2019")</f>
        <v/>
      </c>
    </row>
    <row r="196" ht="15" customHeight="1">
      <c r="A196" t="inlineStr">
        <is>
          <t>A 64630-2019</t>
        </is>
      </c>
      <c r="B196" s="1" t="n">
        <v>43798</v>
      </c>
      <c r="C196" s="1" t="n">
        <v>45359</v>
      </c>
      <c r="D196" t="inlineStr">
        <is>
          <t>GÄVLEBORGS LÄN</t>
        </is>
      </c>
      <c r="E196" t="inlineStr">
        <is>
          <t>SÖDERHAMN</t>
        </is>
      </c>
      <c r="G196" t="n">
        <v>8.300000000000001</v>
      </c>
      <c r="H196" t="n">
        <v>0</v>
      </c>
      <c r="I196" t="n">
        <v>1</v>
      </c>
      <c r="J196" t="n">
        <v>0</v>
      </c>
      <c r="K196" t="n">
        <v>1</v>
      </c>
      <c r="L196" t="n">
        <v>0</v>
      </c>
      <c r="M196" t="n">
        <v>0</v>
      </c>
      <c r="N196" t="n">
        <v>0</v>
      </c>
      <c r="O196" t="n">
        <v>1</v>
      </c>
      <c r="P196" t="n">
        <v>1</v>
      </c>
      <c r="Q196" t="n">
        <v>2</v>
      </c>
      <c r="R196" s="2" t="inlineStr">
        <is>
          <t>Violgubbe
Skarp dropptaggsvamp</t>
        </is>
      </c>
      <c r="S196">
        <f>HYPERLINK("https://klasma.github.io/Logging_2182/artfynd/A 64630-2019 artfynd.xlsx", "A 64630-2019")</f>
        <v/>
      </c>
      <c r="T196">
        <f>HYPERLINK("https://klasma.github.io/Logging_2182/kartor/A 64630-2019 karta.png", "A 64630-2019")</f>
        <v/>
      </c>
      <c r="V196">
        <f>HYPERLINK("https://klasma.github.io/Logging_2182/klagomål/A 64630-2019 FSC-klagomål.docx", "A 64630-2019")</f>
        <v/>
      </c>
      <c r="W196">
        <f>HYPERLINK("https://klasma.github.io/Logging_2182/klagomålsmail/A 64630-2019 FSC-klagomål mail.docx", "A 64630-2019")</f>
        <v/>
      </c>
      <c r="X196">
        <f>HYPERLINK("https://klasma.github.io/Logging_2182/tillsyn/A 64630-2019 tillsynsbegäran.docx", "A 64630-2019")</f>
        <v/>
      </c>
      <c r="Y196">
        <f>HYPERLINK("https://klasma.github.io/Logging_2182/tillsynsmail/A 64630-2019 tillsynsbegäran mail.docx", "A 64630-2019")</f>
        <v/>
      </c>
    </row>
    <row r="197" ht="15" customHeight="1">
      <c r="A197" t="inlineStr">
        <is>
          <t>A 116-2020</t>
        </is>
      </c>
      <c r="B197" s="1" t="n">
        <v>43832</v>
      </c>
      <c r="C197" s="1" t="n">
        <v>45359</v>
      </c>
      <c r="D197" t="inlineStr">
        <is>
          <t>GÄVLEBORGS LÄN</t>
        </is>
      </c>
      <c r="E197" t="inlineStr">
        <is>
          <t>HUDIKSVALL</t>
        </is>
      </c>
      <c r="G197" t="n">
        <v>7.1</v>
      </c>
      <c r="H197" t="n">
        <v>2</v>
      </c>
      <c r="I197" t="n">
        <v>0</v>
      </c>
      <c r="J197" t="n">
        <v>1</v>
      </c>
      <c r="K197" t="n">
        <v>0</v>
      </c>
      <c r="L197" t="n">
        <v>1</v>
      </c>
      <c r="M197" t="n">
        <v>0</v>
      </c>
      <c r="N197" t="n">
        <v>0</v>
      </c>
      <c r="O197" t="n">
        <v>2</v>
      </c>
      <c r="P197" t="n">
        <v>1</v>
      </c>
      <c r="Q197" t="n">
        <v>2</v>
      </c>
      <c r="R197" s="2" t="inlineStr">
        <is>
          <t>Tornseglare
Kråka</t>
        </is>
      </c>
      <c r="S197">
        <f>HYPERLINK("https://klasma.github.io/Logging_2184/artfynd/A 116-2020 artfynd.xlsx", "A 116-2020")</f>
        <v/>
      </c>
      <c r="T197">
        <f>HYPERLINK("https://klasma.github.io/Logging_2184/kartor/A 116-2020 karta.png", "A 116-2020")</f>
        <v/>
      </c>
      <c r="V197">
        <f>HYPERLINK("https://klasma.github.io/Logging_2184/klagomål/A 116-2020 FSC-klagomål.docx", "A 116-2020")</f>
        <v/>
      </c>
      <c r="W197">
        <f>HYPERLINK("https://klasma.github.io/Logging_2184/klagomålsmail/A 116-2020 FSC-klagomål mail.docx", "A 116-2020")</f>
        <v/>
      </c>
      <c r="X197">
        <f>HYPERLINK("https://klasma.github.io/Logging_2184/tillsyn/A 116-2020 tillsynsbegäran.docx", "A 116-2020")</f>
        <v/>
      </c>
      <c r="Y197">
        <f>HYPERLINK("https://klasma.github.io/Logging_2184/tillsynsmail/A 116-2020 tillsynsbegäran mail.docx", "A 116-2020")</f>
        <v/>
      </c>
      <c r="Z197">
        <f>HYPERLINK("https://klasma.github.io/Logging_2184/fåglar/A 116-2020 prioriterade fågelarter.docx", "A 116-2020")</f>
        <v/>
      </c>
    </row>
    <row r="198" ht="15" customHeight="1">
      <c r="A198" t="inlineStr">
        <is>
          <t>A 14255-2020</t>
        </is>
      </c>
      <c r="B198" s="1" t="n">
        <v>43907</v>
      </c>
      <c r="C198" s="1" t="n">
        <v>45359</v>
      </c>
      <c r="D198" t="inlineStr">
        <is>
          <t>GÄVLEBORGS LÄN</t>
        </is>
      </c>
      <c r="E198" t="inlineStr">
        <is>
          <t>HUDIKSVALL</t>
        </is>
      </c>
      <c r="F198" t="inlineStr">
        <is>
          <t>Holmen skog AB</t>
        </is>
      </c>
      <c r="G198" t="n">
        <v>14.2</v>
      </c>
      <c r="H198" t="n">
        <v>2</v>
      </c>
      <c r="I198" t="n">
        <v>0</v>
      </c>
      <c r="J198" t="n">
        <v>0</v>
      </c>
      <c r="K198" t="n">
        <v>0</v>
      </c>
      <c r="L198" t="n">
        <v>0</v>
      </c>
      <c r="M198" t="n">
        <v>0</v>
      </c>
      <c r="N198" t="n">
        <v>0</v>
      </c>
      <c r="O198" t="n">
        <v>0</v>
      </c>
      <c r="P198" t="n">
        <v>0</v>
      </c>
      <c r="Q198" t="n">
        <v>2</v>
      </c>
      <c r="R198" s="2" t="inlineStr">
        <is>
          <t>Fläcknycklar
Myggblomster</t>
        </is>
      </c>
      <c r="S198">
        <f>HYPERLINK("https://klasma.github.io/Logging_2184/artfynd/A 14255-2020 artfynd.xlsx", "A 14255-2020")</f>
        <v/>
      </c>
      <c r="T198">
        <f>HYPERLINK("https://klasma.github.io/Logging_2184/kartor/A 14255-2020 karta.png", "A 14255-2020")</f>
        <v/>
      </c>
      <c r="V198">
        <f>HYPERLINK("https://klasma.github.io/Logging_2184/klagomål/A 14255-2020 FSC-klagomål.docx", "A 14255-2020")</f>
        <v/>
      </c>
      <c r="W198">
        <f>HYPERLINK("https://klasma.github.io/Logging_2184/klagomålsmail/A 14255-2020 FSC-klagomål mail.docx", "A 14255-2020")</f>
        <v/>
      </c>
      <c r="X198">
        <f>HYPERLINK("https://klasma.github.io/Logging_2184/tillsyn/A 14255-2020 tillsynsbegäran.docx", "A 14255-2020")</f>
        <v/>
      </c>
      <c r="Y198">
        <f>HYPERLINK("https://klasma.github.io/Logging_2184/tillsynsmail/A 14255-2020 tillsynsbegäran mail.docx", "A 14255-2020")</f>
        <v/>
      </c>
    </row>
    <row r="199" ht="15" customHeight="1">
      <c r="A199" t="inlineStr">
        <is>
          <t>A 24617-2020</t>
        </is>
      </c>
      <c r="B199" s="1" t="n">
        <v>43977</v>
      </c>
      <c r="C199" s="1" t="n">
        <v>45359</v>
      </c>
      <c r="D199" t="inlineStr">
        <is>
          <t>GÄVLEBORGS LÄN</t>
        </is>
      </c>
      <c r="E199" t="inlineStr">
        <is>
          <t>LJUSDAL</t>
        </is>
      </c>
      <c r="F199" t="inlineStr">
        <is>
          <t>Sveaskog</t>
        </is>
      </c>
      <c r="G199" t="n">
        <v>9.300000000000001</v>
      </c>
      <c r="H199" t="n">
        <v>0</v>
      </c>
      <c r="I199" t="n">
        <v>1</v>
      </c>
      <c r="J199" t="n">
        <v>1</v>
      </c>
      <c r="K199" t="n">
        <v>0</v>
      </c>
      <c r="L199" t="n">
        <v>0</v>
      </c>
      <c r="M199" t="n">
        <v>0</v>
      </c>
      <c r="N199" t="n">
        <v>0</v>
      </c>
      <c r="O199" t="n">
        <v>1</v>
      </c>
      <c r="P199" t="n">
        <v>0</v>
      </c>
      <c r="Q199" t="n">
        <v>2</v>
      </c>
      <c r="R199" s="2" t="inlineStr">
        <is>
          <t>Kolflarnlav
Dropptaggsvamp</t>
        </is>
      </c>
      <c r="S199">
        <f>HYPERLINK("https://klasma.github.io/Logging_2161/artfynd/A 24617-2020 artfynd.xlsx", "A 24617-2020")</f>
        <v/>
      </c>
      <c r="T199">
        <f>HYPERLINK("https://klasma.github.io/Logging_2161/kartor/A 24617-2020 karta.png", "A 24617-2020")</f>
        <v/>
      </c>
      <c r="V199">
        <f>HYPERLINK("https://klasma.github.io/Logging_2161/klagomål/A 24617-2020 FSC-klagomål.docx", "A 24617-2020")</f>
        <v/>
      </c>
      <c r="W199">
        <f>HYPERLINK("https://klasma.github.io/Logging_2161/klagomålsmail/A 24617-2020 FSC-klagomål mail.docx", "A 24617-2020")</f>
        <v/>
      </c>
      <c r="X199">
        <f>HYPERLINK("https://klasma.github.io/Logging_2161/tillsyn/A 24617-2020 tillsynsbegäran.docx", "A 24617-2020")</f>
        <v/>
      </c>
      <c r="Y199">
        <f>HYPERLINK("https://klasma.github.io/Logging_2161/tillsynsmail/A 24617-2020 tillsynsbegäran mail.docx", "A 24617-2020")</f>
        <v/>
      </c>
    </row>
    <row r="200" ht="15" customHeight="1">
      <c r="A200" t="inlineStr">
        <is>
          <t>A 28704-2020</t>
        </is>
      </c>
      <c r="B200" s="1" t="n">
        <v>43999</v>
      </c>
      <c r="C200" s="1" t="n">
        <v>45359</v>
      </c>
      <c r="D200" t="inlineStr">
        <is>
          <t>GÄVLEBORGS LÄN</t>
        </is>
      </c>
      <c r="E200" t="inlineStr">
        <is>
          <t>BOLLNÄS</t>
        </is>
      </c>
      <c r="F200" t="inlineStr">
        <is>
          <t>Sveaskog</t>
        </is>
      </c>
      <c r="G200" t="n">
        <v>2.2</v>
      </c>
      <c r="H200" t="n">
        <v>0</v>
      </c>
      <c r="I200" t="n">
        <v>0</v>
      </c>
      <c r="J200" t="n">
        <v>2</v>
      </c>
      <c r="K200" t="n">
        <v>0</v>
      </c>
      <c r="L200" t="n">
        <v>0</v>
      </c>
      <c r="M200" t="n">
        <v>0</v>
      </c>
      <c r="N200" t="n">
        <v>0</v>
      </c>
      <c r="O200" t="n">
        <v>2</v>
      </c>
      <c r="P200" t="n">
        <v>0</v>
      </c>
      <c r="Q200" t="n">
        <v>2</v>
      </c>
      <c r="R200" s="2" t="inlineStr">
        <is>
          <t>Gammelgransskål
Tallticka</t>
        </is>
      </c>
      <c r="S200">
        <f>HYPERLINK("https://klasma.github.io/Logging_2183/artfynd/A 28704-2020 artfynd.xlsx", "A 28704-2020")</f>
        <v/>
      </c>
      <c r="T200">
        <f>HYPERLINK("https://klasma.github.io/Logging_2183/kartor/A 28704-2020 karta.png", "A 28704-2020")</f>
        <v/>
      </c>
      <c r="V200">
        <f>HYPERLINK("https://klasma.github.io/Logging_2183/klagomål/A 28704-2020 FSC-klagomål.docx", "A 28704-2020")</f>
        <v/>
      </c>
      <c r="W200">
        <f>HYPERLINK("https://klasma.github.io/Logging_2183/klagomålsmail/A 28704-2020 FSC-klagomål mail.docx", "A 28704-2020")</f>
        <v/>
      </c>
      <c r="X200">
        <f>HYPERLINK("https://klasma.github.io/Logging_2183/tillsyn/A 28704-2020 tillsynsbegäran.docx", "A 28704-2020")</f>
        <v/>
      </c>
      <c r="Y200">
        <f>HYPERLINK("https://klasma.github.io/Logging_2183/tillsynsmail/A 28704-2020 tillsynsbegäran mail.docx", "A 28704-2020")</f>
        <v/>
      </c>
    </row>
    <row r="201" ht="15" customHeight="1">
      <c r="A201" t="inlineStr">
        <is>
          <t>A 30147-2020</t>
        </is>
      </c>
      <c r="B201" s="1" t="n">
        <v>44007</v>
      </c>
      <c r="C201" s="1" t="n">
        <v>45359</v>
      </c>
      <c r="D201" t="inlineStr">
        <is>
          <t>GÄVLEBORGS LÄN</t>
        </is>
      </c>
      <c r="E201" t="inlineStr">
        <is>
          <t>SANDVIKEN</t>
        </is>
      </c>
      <c r="G201" t="n">
        <v>3.7</v>
      </c>
      <c r="H201" t="n">
        <v>1</v>
      </c>
      <c r="I201" t="n">
        <v>1</v>
      </c>
      <c r="J201" t="n">
        <v>0</v>
      </c>
      <c r="K201" t="n">
        <v>0</v>
      </c>
      <c r="L201" t="n">
        <v>0</v>
      </c>
      <c r="M201" t="n">
        <v>0</v>
      </c>
      <c r="N201" t="n">
        <v>0</v>
      </c>
      <c r="O201" t="n">
        <v>0</v>
      </c>
      <c r="P201" t="n">
        <v>0</v>
      </c>
      <c r="Q201" t="n">
        <v>2</v>
      </c>
      <c r="R201" s="2" t="inlineStr">
        <is>
          <t>Strutbräken
Revlummer</t>
        </is>
      </c>
      <c r="S201">
        <f>HYPERLINK("https://klasma.github.io/Logging_2181/artfynd/A 30147-2020 artfynd.xlsx", "A 30147-2020")</f>
        <v/>
      </c>
      <c r="T201">
        <f>HYPERLINK("https://klasma.github.io/Logging_2181/kartor/A 30147-2020 karta.png", "A 30147-2020")</f>
        <v/>
      </c>
      <c r="V201">
        <f>HYPERLINK("https://klasma.github.io/Logging_2181/klagomål/A 30147-2020 FSC-klagomål.docx", "A 30147-2020")</f>
        <v/>
      </c>
      <c r="W201">
        <f>HYPERLINK("https://klasma.github.io/Logging_2181/klagomålsmail/A 30147-2020 FSC-klagomål mail.docx", "A 30147-2020")</f>
        <v/>
      </c>
      <c r="X201">
        <f>HYPERLINK("https://klasma.github.io/Logging_2181/tillsyn/A 30147-2020 tillsynsbegäran.docx", "A 30147-2020")</f>
        <v/>
      </c>
      <c r="Y201">
        <f>HYPERLINK("https://klasma.github.io/Logging_2181/tillsynsmail/A 30147-2020 tillsynsbegäran mail.docx", "A 30147-2020")</f>
        <v/>
      </c>
    </row>
    <row r="202" ht="15" customHeight="1">
      <c r="A202" t="inlineStr">
        <is>
          <t>A 30620-2020</t>
        </is>
      </c>
      <c r="B202" s="1" t="n">
        <v>44008</v>
      </c>
      <c r="C202" s="1" t="n">
        <v>45359</v>
      </c>
      <c r="D202" t="inlineStr">
        <is>
          <t>GÄVLEBORGS LÄN</t>
        </is>
      </c>
      <c r="E202" t="inlineStr">
        <is>
          <t>NORDANSTIG</t>
        </is>
      </c>
      <c r="G202" t="n">
        <v>19.5</v>
      </c>
      <c r="H202" t="n">
        <v>2</v>
      </c>
      <c r="I202" t="n">
        <v>0</v>
      </c>
      <c r="J202" t="n">
        <v>2</v>
      </c>
      <c r="K202" t="n">
        <v>0</v>
      </c>
      <c r="L202" t="n">
        <v>0</v>
      </c>
      <c r="M202" t="n">
        <v>0</v>
      </c>
      <c r="N202" t="n">
        <v>0</v>
      </c>
      <c r="O202" t="n">
        <v>2</v>
      </c>
      <c r="P202" t="n">
        <v>0</v>
      </c>
      <c r="Q202" t="n">
        <v>2</v>
      </c>
      <c r="R202" s="2" t="inlineStr">
        <is>
          <t>Duvhök
Havsörn</t>
        </is>
      </c>
      <c r="S202">
        <f>HYPERLINK("https://klasma.github.io/Logging_2132/artfynd/A 30620-2020 artfynd.xlsx", "A 30620-2020")</f>
        <v/>
      </c>
      <c r="T202">
        <f>HYPERLINK("https://klasma.github.io/Logging_2132/kartor/A 30620-2020 karta.png", "A 30620-2020")</f>
        <v/>
      </c>
      <c r="V202">
        <f>HYPERLINK("https://klasma.github.io/Logging_2132/klagomål/A 30620-2020 FSC-klagomål.docx", "A 30620-2020")</f>
        <v/>
      </c>
      <c r="W202">
        <f>HYPERLINK("https://klasma.github.io/Logging_2132/klagomålsmail/A 30620-2020 FSC-klagomål mail.docx", "A 30620-2020")</f>
        <v/>
      </c>
      <c r="X202">
        <f>HYPERLINK("https://klasma.github.io/Logging_2132/tillsyn/A 30620-2020 tillsynsbegäran.docx", "A 30620-2020")</f>
        <v/>
      </c>
      <c r="Y202">
        <f>HYPERLINK("https://klasma.github.io/Logging_2132/tillsynsmail/A 30620-2020 tillsynsbegäran mail.docx", "A 30620-2020")</f>
        <v/>
      </c>
      <c r="Z202">
        <f>HYPERLINK("https://klasma.github.io/Logging_2132/fåglar/A 30620-2020 prioriterade fågelarter.docx", "A 30620-2020")</f>
        <v/>
      </c>
    </row>
    <row r="203" ht="15" customHeight="1">
      <c r="A203" t="inlineStr">
        <is>
          <t>A 33136-2020</t>
        </is>
      </c>
      <c r="B203" s="1" t="n">
        <v>44021</v>
      </c>
      <c r="C203" s="1" t="n">
        <v>45359</v>
      </c>
      <c r="D203" t="inlineStr">
        <is>
          <t>GÄVLEBORGS LÄN</t>
        </is>
      </c>
      <c r="E203" t="inlineStr">
        <is>
          <t>NORDANSTIG</t>
        </is>
      </c>
      <c r="F203" t="inlineStr">
        <is>
          <t>Holmen skog AB</t>
        </is>
      </c>
      <c r="G203" t="n">
        <v>6</v>
      </c>
      <c r="H203" t="n">
        <v>0</v>
      </c>
      <c r="I203" t="n">
        <v>0</v>
      </c>
      <c r="J203" t="n">
        <v>2</v>
      </c>
      <c r="K203" t="n">
        <v>0</v>
      </c>
      <c r="L203" t="n">
        <v>0</v>
      </c>
      <c r="M203" t="n">
        <v>0</v>
      </c>
      <c r="N203" t="n">
        <v>0</v>
      </c>
      <c r="O203" t="n">
        <v>2</v>
      </c>
      <c r="P203" t="n">
        <v>0</v>
      </c>
      <c r="Q203" t="n">
        <v>2</v>
      </c>
      <c r="R203" s="2" t="inlineStr">
        <is>
          <t>Motaggsvamp
Reliktbock</t>
        </is>
      </c>
      <c r="S203">
        <f>HYPERLINK("https://klasma.github.io/Logging_2132/artfynd/A 33136-2020 artfynd.xlsx", "A 33136-2020")</f>
        <v/>
      </c>
      <c r="T203">
        <f>HYPERLINK("https://klasma.github.io/Logging_2132/kartor/A 33136-2020 karta.png", "A 33136-2020")</f>
        <v/>
      </c>
      <c r="V203">
        <f>HYPERLINK("https://klasma.github.io/Logging_2132/klagomål/A 33136-2020 FSC-klagomål.docx", "A 33136-2020")</f>
        <v/>
      </c>
      <c r="W203">
        <f>HYPERLINK("https://klasma.github.io/Logging_2132/klagomålsmail/A 33136-2020 FSC-klagomål mail.docx", "A 33136-2020")</f>
        <v/>
      </c>
      <c r="X203">
        <f>HYPERLINK("https://klasma.github.io/Logging_2132/tillsyn/A 33136-2020 tillsynsbegäran.docx", "A 33136-2020")</f>
        <v/>
      </c>
      <c r="Y203">
        <f>HYPERLINK("https://klasma.github.io/Logging_2132/tillsynsmail/A 33136-2020 tillsynsbegäran mail.docx", "A 33136-2020")</f>
        <v/>
      </c>
    </row>
    <row r="204" ht="15" customHeight="1">
      <c r="A204" t="inlineStr">
        <is>
          <t>A 35427-2020</t>
        </is>
      </c>
      <c r="B204" s="1" t="n">
        <v>44042</v>
      </c>
      <c r="C204" s="1" t="n">
        <v>45359</v>
      </c>
      <c r="D204" t="inlineStr">
        <is>
          <t>GÄVLEBORGS LÄN</t>
        </is>
      </c>
      <c r="E204" t="inlineStr">
        <is>
          <t>HUDIKSVALL</t>
        </is>
      </c>
      <c r="F204" t="inlineStr">
        <is>
          <t>Holmen skog AB</t>
        </is>
      </c>
      <c r="G204" t="n">
        <v>1.4</v>
      </c>
      <c r="H204" t="n">
        <v>1</v>
      </c>
      <c r="I204" t="n">
        <v>0</v>
      </c>
      <c r="J204" t="n">
        <v>1</v>
      </c>
      <c r="K204" t="n">
        <v>0</v>
      </c>
      <c r="L204" t="n">
        <v>0</v>
      </c>
      <c r="M204" t="n">
        <v>0</v>
      </c>
      <c r="N204" t="n">
        <v>0</v>
      </c>
      <c r="O204" t="n">
        <v>1</v>
      </c>
      <c r="P204" t="n">
        <v>0</v>
      </c>
      <c r="Q204" t="n">
        <v>2</v>
      </c>
      <c r="R204" s="2" t="inlineStr">
        <is>
          <t>Garnlav
Revlummer</t>
        </is>
      </c>
      <c r="S204">
        <f>HYPERLINK("https://klasma.github.io/Logging_2184/artfynd/A 35427-2020 artfynd.xlsx", "A 35427-2020")</f>
        <v/>
      </c>
      <c r="T204">
        <f>HYPERLINK("https://klasma.github.io/Logging_2184/kartor/A 35427-2020 karta.png", "A 35427-2020")</f>
        <v/>
      </c>
      <c r="V204">
        <f>HYPERLINK("https://klasma.github.io/Logging_2184/klagomål/A 35427-2020 FSC-klagomål.docx", "A 35427-2020")</f>
        <v/>
      </c>
      <c r="W204">
        <f>HYPERLINK("https://klasma.github.io/Logging_2184/klagomålsmail/A 35427-2020 FSC-klagomål mail.docx", "A 35427-2020")</f>
        <v/>
      </c>
      <c r="X204">
        <f>HYPERLINK("https://klasma.github.io/Logging_2184/tillsyn/A 35427-2020 tillsynsbegäran.docx", "A 35427-2020")</f>
        <v/>
      </c>
      <c r="Y204">
        <f>HYPERLINK("https://klasma.github.io/Logging_2184/tillsynsmail/A 35427-2020 tillsynsbegäran mail.docx", "A 35427-2020")</f>
        <v/>
      </c>
    </row>
    <row r="205" ht="15" customHeight="1">
      <c r="A205" t="inlineStr">
        <is>
          <t>A 43503-2020</t>
        </is>
      </c>
      <c r="B205" s="1" t="n">
        <v>44077</v>
      </c>
      <c r="C205" s="1" t="n">
        <v>45359</v>
      </c>
      <c r="D205" t="inlineStr">
        <is>
          <t>GÄVLEBORGS LÄN</t>
        </is>
      </c>
      <c r="E205" t="inlineStr">
        <is>
          <t>HUDIKSVALL</t>
        </is>
      </c>
      <c r="G205" t="n">
        <v>3.3</v>
      </c>
      <c r="H205" t="n">
        <v>1</v>
      </c>
      <c r="I205" t="n">
        <v>0</v>
      </c>
      <c r="J205" t="n">
        <v>1</v>
      </c>
      <c r="K205" t="n">
        <v>1</v>
      </c>
      <c r="L205" t="n">
        <v>0</v>
      </c>
      <c r="M205" t="n">
        <v>0</v>
      </c>
      <c r="N205" t="n">
        <v>0</v>
      </c>
      <c r="O205" t="n">
        <v>2</v>
      </c>
      <c r="P205" t="n">
        <v>1</v>
      </c>
      <c r="Q205" t="n">
        <v>2</v>
      </c>
      <c r="R205" s="2" t="inlineStr">
        <is>
          <t>Knärot
Garnlav</t>
        </is>
      </c>
      <c r="S205">
        <f>HYPERLINK("https://klasma.github.io/Logging_2184/artfynd/A 43503-2020 artfynd.xlsx", "A 43503-2020")</f>
        <v/>
      </c>
      <c r="T205">
        <f>HYPERLINK("https://klasma.github.io/Logging_2184/kartor/A 43503-2020 karta.png", "A 43503-2020")</f>
        <v/>
      </c>
      <c r="U205">
        <f>HYPERLINK("https://klasma.github.io/Logging_2184/knärot/A 43503-2020 karta knärot.png", "A 43503-2020")</f>
        <v/>
      </c>
      <c r="V205">
        <f>HYPERLINK("https://klasma.github.io/Logging_2184/klagomål/A 43503-2020 FSC-klagomål.docx", "A 43503-2020")</f>
        <v/>
      </c>
      <c r="W205">
        <f>HYPERLINK("https://klasma.github.io/Logging_2184/klagomålsmail/A 43503-2020 FSC-klagomål mail.docx", "A 43503-2020")</f>
        <v/>
      </c>
      <c r="X205">
        <f>HYPERLINK("https://klasma.github.io/Logging_2184/tillsyn/A 43503-2020 tillsynsbegäran.docx", "A 43503-2020")</f>
        <v/>
      </c>
      <c r="Y205">
        <f>HYPERLINK("https://klasma.github.io/Logging_2184/tillsynsmail/A 43503-2020 tillsynsbegäran mail.docx", "A 43503-2020")</f>
        <v/>
      </c>
    </row>
    <row r="206" ht="15" customHeight="1">
      <c r="A206" t="inlineStr">
        <is>
          <t>A 13261-2021</t>
        </is>
      </c>
      <c r="B206" s="1" t="n">
        <v>44272</v>
      </c>
      <c r="C206" s="1" t="n">
        <v>45359</v>
      </c>
      <c r="D206" t="inlineStr">
        <is>
          <t>GÄVLEBORGS LÄN</t>
        </is>
      </c>
      <c r="E206" t="inlineStr">
        <is>
          <t>GÄVLE</t>
        </is>
      </c>
      <c r="G206" t="n">
        <v>4.7</v>
      </c>
      <c r="H206" t="n">
        <v>1</v>
      </c>
      <c r="I206" t="n">
        <v>0</v>
      </c>
      <c r="J206" t="n">
        <v>1</v>
      </c>
      <c r="K206" t="n">
        <v>0</v>
      </c>
      <c r="L206" t="n">
        <v>0</v>
      </c>
      <c r="M206" t="n">
        <v>0</v>
      </c>
      <c r="N206" t="n">
        <v>0</v>
      </c>
      <c r="O206" t="n">
        <v>1</v>
      </c>
      <c r="P206" t="n">
        <v>0</v>
      </c>
      <c r="Q206" t="n">
        <v>2</v>
      </c>
      <c r="R206" s="2" t="inlineStr">
        <is>
          <t>Motaggsvamp
Blåsippa</t>
        </is>
      </c>
      <c r="S206">
        <f>HYPERLINK("https://klasma.github.io/Logging_2180/artfynd/A 13261-2021 artfynd.xlsx", "A 13261-2021")</f>
        <v/>
      </c>
      <c r="T206">
        <f>HYPERLINK("https://klasma.github.io/Logging_2180/kartor/A 13261-2021 karta.png", "A 13261-2021")</f>
        <v/>
      </c>
      <c r="V206">
        <f>HYPERLINK("https://klasma.github.io/Logging_2180/klagomål/A 13261-2021 FSC-klagomål.docx", "A 13261-2021")</f>
        <v/>
      </c>
      <c r="W206">
        <f>HYPERLINK("https://klasma.github.io/Logging_2180/klagomålsmail/A 13261-2021 FSC-klagomål mail.docx", "A 13261-2021")</f>
        <v/>
      </c>
      <c r="X206">
        <f>HYPERLINK("https://klasma.github.io/Logging_2180/tillsyn/A 13261-2021 tillsynsbegäran.docx", "A 13261-2021")</f>
        <v/>
      </c>
      <c r="Y206">
        <f>HYPERLINK("https://klasma.github.io/Logging_2180/tillsynsmail/A 13261-2021 tillsynsbegäran mail.docx", "A 13261-2021")</f>
        <v/>
      </c>
    </row>
    <row r="207" ht="15" customHeight="1">
      <c r="A207" t="inlineStr">
        <is>
          <t>A 20198-2021</t>
        </is>
      </c>
      <c r="B207" s="1" t="n">
        <v>44314</v>
      </c>
      <c r="C207" s="1" t="n">
        <v>45359</v>
      </c>
      <c r="D207" t="inlineStr">
        <is>
          <t>GÄVLEBORGS LÄN</t>
        </is>
      </c>
      <c r="E207" t="inlineStr">
        <is>
          <t>GÄVLE</t>
        </is>
      </c>
      <c r="F207" t="inlineStr">
        <is>
          <t>Bergvik skog öst AB</t>
        </is>
      </c>
      <c r="G207" t="n">
        <v>4.5</v>
      </c>
      <c r="H207" t="n">
        <v>1</v>
      </c>
      <c r="I207" t="n">
        <v>2</v>
      </c>
      <c r="J207" t="n">
        <v>0</v>
      </c>
      <c r="K207" t="n">
        <v>0</v>
      </c>
      <c r="L207" t="n">
        <v>0</v>
      </c>
      <c r="M207" t="n">
        <v>0</v>
      </c>
      <c r="N207" t="n">
        <v>0</v>
      </c>
      <c r="O207" t="n">
        <v>0</v>
      </c>
      <c r="P207" t="n">
        <v>0</v>
      </c>
      <c r="Q207" t="n">
        <v>2</v>
      </c>
      <c r="R207" s="2" t="inlineStr">
        <is>
          <t>Anisspindling
Skogsknipprot</t>
        </is>
      </c>
      <c r="S207">
        <f>HYPERLINK("https://klasma.github.io/Logging_2180/artfynd/A 20198-2021 artfynd.xlsx", "A 20198-2021")</f>
        <v/>
      </c>
      <c r="T207">
        <f>HYPERLINK("https://klasma.github.io/Logging_2180/kartor/A 20198-2021 karta.png", "A 20198-2021")</f>
        <v/>
      </c>
      <c r="V207">
        <f>HYPERLINK("https://klasma.github.io/Logging_2180/klagomål/A 20198-2021 FSC-klagomål.docx", "A 20198-2021")</f>
        <v/>
      </c>
      <c r="W207">
        <f>HYPERLINK("https://klasma.github.io/Logging_2180/klagomålsmail/A 20198-2021 FSC-klagomål mail.docx", "A 20198-2021")</f>
        <v/>
      </c>
      <c r="X207">
        <f>HYPERLINK("https://klasma.github.io/Logging_2180/tillsyn/A 20198-2021 tillsynsbegäran.docx", "A 20198-2021")</f>
        <v/>
      </c>
      <c r="Y207">
        <f>HYPERLINK("https://klasma.github.io/Logging_2180/tillsynsmail/A 20198-2021 tillsynsbegäran mail.docx", "A 20198-2021")</f>
        <v/>
      </c>
    </row>
    <row r="208" ht="15" customHeight="1">
      <c r="A208" t="inlineStr">
        <is>
          <t>A 21765-2021</t>
        </is>
      </c>
      <c r="B208" s="1" t="n">
        <v>44322</v>
      </c>
      <c r="C208" s="1" t="n">
        <v>45359</v>
      </c>
      <c r="D208" t="inlineStr">
        <is>
          <t>GÄVLEBORGS LÄN</t>
        </is>
      </c>
      <c r="E208" t="inlineStr">
        <is>
          <t>LJUSDAL</t>
        </is>
      </c>
      <c r="F208" t="inlineStr">
        <is>
          <t>Sveaskog</t>
        </is>
      </c>
      <c r="G208" t="n">
        <v>1</v>
      </c>
      <c r="H208" t="n">
        <v>2</v>
      </c>
      <c r="I208" t="n">
        <v>0</v>
      </c>
      <c r="J208" t="n">
        <v>2</v>
      </c>
      <c r="K208" t="n">
        <v>0</v>
      </c>
      <c r="L208" t="n">
        <v>0</v>
      </c>
      <c r="M208" t="n">
        <v>0</v>
      </c>
      <c r="N208" t="n">
        <v>0</v>
      </c>
      <c r="O208" t="n">
        <v>2</v>
      </c>
      <c r="P208" t="n">
        <v>0</v>
      </c>
      <c r="Q208" t="n">
        <v>2</v>
      </c>
      <c r="R208" s="2" t="inlineStr">
        <is>
          <t>Stenfalk
Ärtsångare</t>
        </is>
      </c>
      <c r="S208">
        <f>HYPERLINK("https://klasma.github.io/Logging_2161/artfynd/A 21765-2021 artfynd.xlsx", "A 21765-2021")</f>
        <v/>
      </c>
      <c r="T208">
        <f>HYPERLINK("https://klasma.github.io/Logging_2161/kartor/A 21765-2021 karta.png", "A 21765-2021")</f>
        <v/>
      </c>
      <c r="V208">
        <f>HYPERLINK("https://klasma.github.io/Logging_2161/klagomål/A 21765-2021 FSC-klagomål.docx", "A 21765-2021")</f>
        <v/>
      </c>
      <c r="W208">
        <f>HYPERLINK("https://klasma.github.io/Logging_2161/klagomålsmail/A 21765-2021 FSC-klagomål mail.docx", "A 21765-2021")</f>
        <v/>
      </c>
      <c r="X208">
        <f>HYPERLINK("https://klasma.github.io/Logging_2161/tillsyn/A 21765-2021 tillsynsbegäran.docx", "A 21765-2021")</f>
        <v/>
      </c>
      <c r="Y208">
        <f>HYPERLINK("https://klasma.github.io/Logging_2161/tillsynsmail/A 21765-2021 tillsynsbegäran mail.docx", "A 21765-2021")</f>
        <v/>
      </c>
      <c r="Z208">
        <f>HYPERLINK("https://klasma.github.io/Logging_2161/fåglar/A 21765-2021 prioriterade fågelarter.docx", "A 21765-2021")</f>
        <v/>
      </c>
    </row>
    <row r="209" ht="15" customHeight="1">
      <c r="A209" t="inlineStr">
        <is>
          <t>A 22073-2021</t>
        </is>
      </c>
      <c r="B209" s="1" t="n">
        <v>44323</v>
      </c>
      <c r="C209" s="1" t="n">
        <v>45359</v>
      </c>
      <c r="D209" t="inlineStr">
        <is>
          <t>GÄVLEBORGS LÄN</t>
        </is>
      </c>
      <c r="E209" t="inlineStr">
        <is>
          <t>GÄVLE</t>
        </is>
      </c>
      <c r="F209" t="inlineStr">
        <is>
          <t>Bergvik skog öst AB</t>
        </is>
      </c>
      <c r="G209" t="n">
        <v>0.5</v>
      </c>
      <c r="H209" t="n">
        <v>2</v>
      </c>
      <c r="I209" t="n">
        <v>0</v>
      </c>
      <c r="J209" t="n">
        <v>2</v>
      </c>
      <c r="K209" t="n">
        <v>0</v>
      </c>
      <c r="L209" t="n">
        <v>0</v>
      </c>
      <c r="M209" t="n">
        <v>0</v>
      </c>
      <c r="N209" t="n">
        <v>0</v>
      </c>
      <c r="O209" t="n">
        <v>2</v>
      </c>
      <c r="P209" t="n">
        <v>0</v>
      </c>
      <c r="Q209" t="n">
        <v>2</v>
      </c>
      <c r="R209" s="2" t="inlineStr">
        <is>
          <t>Blå kärrhök
Havsörn</t>
        </is>
      </c>
      <c r="S209">
        <f>HYPERLINK("https://klasma.github.io/Logging_2180/artfynd/A 22073-2021 artfynd.xlsx", "A 22073-2021")</f>
        <v/>
      </c>
      <c r="T209">
        <f>HYPERLINK("https://klasma.github.io/Logging_2180/kartor/A 22073-2021 karta.png", "A 22073-2021")</f>
        <v/>
      </c>
      <c r="V209">
        <f>HYPERLINK("https://klasma.github.io/Logging_2180/klagomål/A 22073-2021 FSC-klagomål.docx", "A 22073-2021")</f>
        <v/>
      </c>
      <c r="W209">
        <f>HYPERLINK("https://klasma.github.io/Logging_2180/klagomålsmail/A 22073-2021 FSC-klagomål mail.docx", "A 22073-2021")</f>
        <v/>
      </c>
      <c r="X209">
        <f>HYPERLINK("https://klasma.github.io/Logging_2180/tillsyn/A 22073-2021 tillsynsbegäran.docx", "A 22073-2021")</f>
        <v/>
      </c>
      <c r="Y209">
        <f>HYPERLINK("https://klasma.github.io/Logging_2180/tillsynsmail/A 22073-2021 tillsynsbegäran mail.docx", "A 22073-2021")</f>
        <v/>
      </c>
      <c r="Z209">
        <f>HYPERLINK("https://klasma.github.io/Logging_2180/fåglar/A 22073-2021 prioriterade fågelarter.docx", "A 22073-2021")</f>
        <v/>
      </c>
    </row>
    <row r="210" ht="15" customHeight="1">
      <c r="A210" t="inlineStr">
        <is>
          <t>A 28727-2021</t>
        </is>
      </c>
      <c r="B210" s="1" t="n">
        <v>44357</v>
      </c>
      <c r="C210" s="1" t="n">
        <v>45359</v>
      </c>
      <c r="D210" t="inlineStr">
        <is>
          <t>GÄVLEBORGS LÄN</t>
        </is>
      </c>
      <c r="E210" t="inlineStr">
        <is>
          <t>LJUSDAL</t>
        </is>
      </c>
      <c r="F210" t="inlineStr">
        <is>
          <t>Sveaskog</t>
        </is>
      </c>
      <c r="G210" t="n">
        <v>45.9</v>
      </c>
      <c r="H210" t="n">
        <v>2</v>
      </c>
      <c r="I210" t="n">
        <v>1</v>
      </c>
      <c r="J210" t="n">
        <v>0</v>
      </c>
      <c r="K210" t="n">
        <v>0</v>
      </c>
      <c r="L210" t="n">
        <v>0</v>
      </c>
      <c r="M210" t="n">
        <v>0</v>
      </c>
      <c r="N210" t="n">
        <v>0</v>
      </c>
      <c r="O210" t="n">
        <v>0</v>
      </c>
      <c r="P210" t="n">
        <v>0</v>
      </c>
      <c r="Q210" t="n">
        <v>2</v>
      </c>
      <c r="R210" s="2" t="inlineStr">
        <is>
          <t>Plattlummer
Nattviol</t>
        </is>
      </c>
      <c r="S210">
        <f>HYPERLINK("https://klasma.github.io/Logging_2161/artfynd/A 28727-2021 artfynd.xlsx", "A 28727-2021")</f>
        <v/>
      </c>
      <c r="T210">
        <f>HYPERLINK("https://klasma.github.io/Logging_2161/kartor/A 28727-2021 karta.png", "A 28727-2021")</f>
        <v/>
      </c>
      <c r="V210">
        <f>HYPERLINK("https://klasma.github.io/Logging_2161/klagomål/A 28727-2021 FSC-klagomål.docx", "A 28727-2021")</f>
        <v/>
      </c>
      <c r="W210">
        <f>HYPERLINK("https://klasma.github.io/Logging_2161/klagomålsmail/A 28727-2021 FSC-klagomål mail.docx", "A 28727-2021")</f>
        <v/>
      </c>
      <c r="X210">
        <f>HYPERLINK("https://klasma.github.io/Logging_2161/tillsyn/A 28727-2021 tillsynsbegäran.docx", "A 28727-2021")</f>
        <v/>
      </c>
      <c r="Y210">
        <f>HYPERLINK("https://klasma.github.io/Logging_2161/tillsynsmail/A 28727-2021 tillsynsbegäran mail.docx", "A 28727-2021")</f>
        <v/>
      </c>
    </row>
    <row r="211" ht="15" customHeight="1">
      <c r="A211" t="inlineStr">
        <is>
          <t>A 39528-2021</t>
        </is>
      </c>
      <c r="B211" s="1" t="n">
        <v>44415</v>
      </c>
      <c r="C211" s="1" t="n">
        <v>45359</v>
      </c>
      <c r="D211" t="inlineStr">
        <is>
          <t>GÄVLEBORGS LÄN</t>
        </is>
      </c>
      <c r="E211" t="inlineStr">
        <is>
          <t>HUDIKSVALL</t>
        </is>
      </c>
      <c r="G211" t="n">
        <v>5.2</v>
      </c>
      <c r="H211" t="n">
        <v>1</v>
      </c>
      <c r="I211" t="n">
        <v>1</v>
      </c>
      <c r="J211" t="n">
        <v>0</v>
      </c>
      <c r="K211" t="n">
        <v>1</v>
      </c>
      <c r="L211" t="n">
        <v>0</v>
      </c>
      <c r="M211" t="n">
        <v>0</v>
      </c>
      <c r="N211" t="n">
        <v>0</v>
      </c>
      <c r="O211" t="n">
        <v>1</v>
      </c>
      <c r="P211" t="n">
        <v>1</v>
      </c>
      <c r="Q211" t="n">
        <v>2</v>
      </c>
      <c r="R211" s="2" t="inlineStr">
        <is>
          <t>Knärot
Stuplav</t>
        </is>
      </c>
      <c r="S211">
        <f>HYPERLINK("https://klasma.github.io/Logging_2184/artfynd/A 39528-2021 artfynd.xlsx", "A 39528-2021")</f>
        <v/>
      </c>
      <c r="T211">
        <f>HYPERLINK("https://klasma.github.io/Logging_2184/kartor/A 39528-2021 karta.png", "A 39528-2021")</f>
        <v/>
      </c>
      <c r="U211">
        <f>HYPERLINK("https://klasma.github.io/Logging_2184/knärot/A 39528-2021 karta knärot.png", "A 39528-2021")</f>
        <v/>
      </c>
      <c r="V211">
        <f>HYPERLINK("https://klasma.github.io/Logging_2184/klagomål/A 39528-2021 FSC-klagomål.docx", "A 39528-2021")</f>
        <v/>
      </c>
      <c r="W211">
        <f>HYPERLINK("https://klasma.github.io/Logging_2184/klagomålsmail/A 39528-2021 FSC-klagomål mail.docx", "A 39528-2021")</f>
        <v/>
      </c>
      <c r="X211">
        <f>HYPERLINK("https://klasma.github.io/Logging_2184/tillsyn/A 39528-2021 tillsynsbegäran.docx", "A 39528-2021")</f>
        <v/>
      </c>
      <c r="Y211">
        <f>HYPERLINK("https://klasma.github.io/Logging_2184/tillsynsmail/A 39528-2021 tillsynsbegäran mail.docx", "A 39528-2021")</f>
        <v/>
      </c>
    </row>
    <row r="212" ht="15" customHeight="1">
      <c r="A212" t="inlineStr">
        <is>
          <t>A 43259-2021</t>
        </is>
      </c>
      <c r="B212" s="1" t="n">
        <v>44432</v>
      </c>
      <c r="C212" s="1" t="n">
        <v>45359</v>
      </c>
      <c r="D212" t="inlineStr">
        <is>
          <t>GÄVLEBORGS LÄN</t>
        </is>
      </c>
      <c r="E212" t="inlineStr">
        <is>
          <t>BOLLNÄS</t>
        </is>
      </c>
      <c r="G212" t="n">
        <v>3.8</v>
      </c>
      <c r="H212" t="n">
        <v>1</v>
      </c>
      <c r="I212" t="n">
        <v>1</v>
      </c>
      <c r="J212" t="n">
        <v>0</v>
      </c>
      <c r="K212" t="n">
        <v>1</v>
      </c>
      <c r="L212" t="n">
        <v>0</v>
      </c>
      <c r="M212" t="n">
        <v>0</v>
      </c>
      <c r="N212" t="n">
        <v>0</v>
      </c>
      <c r="O212" t="n">
        <v>1</v>
      </c>
      <c r="P212" t="n">
        <v>1</v>
      </c>
      <c r="Q212" t="n">
        <v>2</v>
      </c>
      <c r="R212" s="2" t="inlineStr">
        <is>
          <t>Knärot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44692-2021</t>
        </is>
      </c>
      <c r="B213" s="1" t="n">
        <v>44438</v>
      </c>
      <c r="C213" s="1" t="n">
        <v>45359</v>
      </c>
      <c r="D213" t="inlineStr">
        <is>
          <t>GÄVLEBORGS LÄN</t>
        </is>
      </c>
      <c r="E213" t="inlineStr">
        <is>
          <t>LJUSDAL</t>
        </is>
      </c>
      <c r="F213" t="inlineStr">
        <is>
          <t>Sveaskog</t>
        </is>
      </c>
      <c r="G213" t="n">
        <v>2.5</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44692-2021 artfynd.xlsx", "A 44692-2021")</f>
        <v/>
      </c>
      <c r="T213">
        <f>HYPERLINK("https://klasma.github.io/Logging_2161/kartor/A 44692-2021 karta.png", "A 44692-2021")</f>
        <v/>
      </c>
      <c r="V213">
        <f>HYPERLINK("https://klasma.github.io/Logging_2161/klagomål/A 44692-2021 FSC-klagomål.docx", "A 44692-2021")</f>
        <v/>
      </c>
      <c r="W213">
        <f>HYPERLINK("https://klasma.github.io/Logging_2161/klagomålsmail/A 44692-2021 FSC-klagomål mail.docx", "A 44692-2021")</f>
        <v/>
      </c>
      <c r="X213">
        <f>HYPERLINK("https://klasma.github.io/Logging_2161/tillsyn/A 44692-2021 tillsynsbegäran.docx", "A 44692-2021")</f>
        <v/>
      </c>
      <c r="Y213">
        <f>HYPERLINK("https://klasma.github.io/Logging_2161/tillsynsmail/A 44692-2021 tillsynsbegäran mail.docx", "A 44692-2021")</f>
        <v/>
      </c>
    </row>
    <row r="214" ht="15" customHeight="1">
      <c r="A214" t="inlineStr">
        <is>
          <t>A 47483-2021</t>
        </is>
      </c>
      <c r="B214" s="1" t="n">
        <v>44447</v>
      </c>
      <c r="C214" s="1" t="n">
        <v>45359</v>
      </c>
      <c r="D214" t="inlineStr">
        <is>
          <t>GÄVLEBORGS LÄN</t>
        </is>
      </c>
      <c r="E214" t="inlineStr">
        <is>
          <t>HOFORS</t>
        </is>
      </c>
      <c r="G214" t="n">
        <v>6.9</v>
      </c>
      <c r="H214" t="n">
        <v>1</v>
      </c>
      <c r="I214" t="n">
        <v>1</v>
      </c>
      <c r="J214" t="n">
        <v>0</v>
      </c>
      <c r="K214" t="n">
        <v>1</v>
      </c>
      <c r="L214" t="n">
        <v>0</v>
      </c>
      <c r="M214" t="n">
        <v>0</v>
      </c>
      <c r="N214" t="n">
        <v>0</v>
      </c>
      <c r="O214" t="n">
        <v>1</v>
      </c>
      <c r="P214" t="n">
        <v>1</v>
      </c>
      <c r="Q214" t="n">
        <v>2</v>
      </c>
      <c r="R214" s="2" t="inlineStr">
        <is>
          <t>Knärot
Mindre märgborre</t>
        </is>
      </c>
      <c r="S214">
        <f>HYPERLINK("https://klasma.github.io/Logging_2104/artfynd/A 47483-2021 artfynd.xlsx", "A 47483-2021")</f>
        <v/>
      </c>
      <c r="T214">
        <f>HYPERLINK("https://klasma.github.io/Logging_2104/kartor/A 47483-2021 karta.png", "A 47483-2021")</f>
        <v/>
      </c>
      <c r="U214">
        <f>HYPERLINK("https://klasma.github.io/Logging_2104/knärot/A 47483-2021 karta knärot.png", "A 47483-2021")</f>
        <v/>
      </c>
      <c r="V214">
        <f>HYPERLINK("https://klasma.github.io/Logging_2104/klagomål/A 47483-2021 FSC-klagomål.docx", "A 47483-2021")</f>
        <v/>
      </c>
      <c r="W214">
        <f>HYPERLINK("https://klasma.github.io/Logging_2104/klagomålsmail/A 47483-2021 FSC-klagomål mail.docx", "A 47483-2021")</f>
        <v/>
      </c>
      <c r="X214">
        <f>HYPERLINK("https://klasma.github.io/Logging_2104/tillsyn/A 47483-2021 tillsynsbegäran.docx", "A 47483-2021")</f>
        <v/>
      </c>
      <c r="Y214">
        <f>HYPERLINK("https://klasma.github.io/Logging_2104/tillsynsmail/A 47483-2021 tillsynsbegäran mail.docx", "A 47483-2021")</f>
        <v/>
      </c>
    </row>
    <row r="215" ht="15" customHeight="1">
      <c r="A215" t="inlineStr">
        <is>
          <t>A 13026-2022</t>
        </is>
      </c>
      <c r="B215" s="1" t="n">
        <v>44643</v>
      </c>
      <c r="C215" s="1" t="n">
        <v>45359</v>
      </c>
      <c r="D215" t="inlineStr">
        <is>
          <t>GÄVLEBORGS LÄN</t>
        </is>
      </c>
      <c r="E215" t="inlineStr">
        <is>
          <t>NORDANSTIG</t>
        </is>
      </c>
      <c r="G215" t="n">
        <v>17.3</v>
      </c>
      <c r="H215" t="n">
        <v>1</v>
      </c>
      <c r="I215" t="n">
        <v>0</v>
      </c>
      <c r="J215" t="n">
        <v>2</v>
      </c>
      <c r="K215" t="n">
        <v>0</v>
      </c>
      <c r="L215" t="n">
        <v>0</v>
      </c>
      <c r="M215" t="n">
        <v>0</v>
      </c>
      <c r="N215" t="n">
        <v>0</v>
      </c>
      <c r="O215" t="n">
        <v>2</v>
      </c>
      <c r="P215" t="n">
        <v>0</v>
      </c>
      <c r="Q215" t="n">
        <v>2</v>
      </c>
      <c r="R215" s="2" t="inlineStr">
        <is>
          <t>Garnlav
Talltita</t>
        </is>
      </c>
      <c r="S215">
        <f>HYPERLINK("https://klasma.github.io/Logging_2132/artfynd/A 13026-2022 artfynd.xlsx", "A 13026-2022")</f>
        <v/>
      </c>
      <c r="T215">
        <f>HYPERLINK("https://klasma.github.io/Logging_2132/kartor/A 13026-2022 karta.png", "A 13026-2022")</f>
        <v/>
      </c>
      <c r="V215">
        <f>HYPERLINK("https://klasma.github.io/Logging_2132/klagomål/A 13026-2022 FSC-klagomål.docx", "A 13026-2022")</f>
        <v/>
      </c>
      <c r="W215">
        <f>HYPERLINK("https://klasma.github.io/Logging_2132/klagomålsmail/A 13026-2022 FSC-klagomål mail.docx", "A 13026-2022")</f>
        <v/>
      </c>
      <c r="X215">
        <f>HYPERLINK("https://klasma.github.io/Logging_2132/tillsyn/A 13026-2022 tillsynsbegäran.docx", "A 13026-2022")</f>
        <v/>
      </c>
      <c r="Y215">
        <f>HYPERLINK("https://klasma.github.io/Logging_2132/tillsynsmail/A 13026-2022 tillsynsbegäran mail.docx", "A 13026-2022")</f>
        <v/>
      </c>
      <c r="Z215">
        <f>HYPERLINK("https://klasma.github.io/Logging_2132/fåglar/A 13026-2022 prioriterade fågelarter.docx", "A 13026-2022")</f>
        <v/>
      </c>
    </row>
    <row r="216" ht="15" customHeight="1">
      <c r="A216" t="inlineStr">
        <is>
          <t>A 21488-2022</t>
        </is>
      </c>
      <c r="B216" s="1" t="n">
        <v>44706</v>
      </c>
      <c r="C216" s="1" t="n">
        <v>45359</v>
      </c>
      <c r="D216" t="inlineStr">
        <is>
          <t>GÄVLEBORGS LÄN</t>
        </is>
      </c>
      <c r="E216" t="inlineStr">
        <is>
          <t>SÖDERHAMN</t>
        </is>
      </c>
      <c r="F216" t="inlineStr">
        <is>
          <t>Bergvik skog väst AB</t>
        </is>
      </c>
      <c r="G216" t="n">
        <v>6</v>
      </c>
      <c r="H216" t="n">
        <v>2</v>
      </c>
      <c r="I216" t="n">
        <v>0</v>
      </c>
      <c r="J216" t="n">
        <v>1</v>
      </c>
      <c r="K216" t="n">
        <v>0</v>
      </c>
      <c r="L216" t="n">
        <v>0</v>
      </c>
      <c r="M216" t="n">
        <v>0</v>
      </c>
      <c r="N216" t="n">
        <v>0</v>
      </c>
      <c r="O216" t="n">
        <v>1</v>
      </c>
      <c r="P216" t="n">
        <v>0</v>
      </c>
      <c r="Q216" t="n">
        <v>2</v>
      </c>
      <c r="R216" s="2" t="inlineStr">
        <is>
          <t>Talltita
Fläcknycklar</t>
        </is>
      </c>
      <c r="S216">
        <f>HYPERLINK("https://klasma.github.io/Logging_2182/artfynd/A 21488-2022 artfynd.xlsx", "A 21488-2022")</f>
        <v/>
      </c>
      <c r="T216">
        <f>HYPERLINK("https://klasma.github.io/Logging_2182/kartor/A 21488-2022 karta.png", "A 21488-2022")</f>
        <v/>
      </c>
      <c r="V216">
        <f>HYPERLINK("https://klasma.github.io/Logging_2182/klagomål/A 21488-2022 FSC-klagomål.docx", "A 21488-2022")</f>
        <v/>
      </c>
      <c r="W216">
        <f>HYPERLINK("https://klasma.github.io/Logging_2182/klagomålsmail/A 21488-2022 FSC-klagomål mail.docx", "A 21488-2022")</f>
        <v/>
      </c>
      <c r="X216">
        <f>HYPERLINK("https://klasma.github.io/Logging_2182/tillsyn/A 21488-2022 tillsynsbegäran.docx", "A 21488-2022")</f>
        <v/>
      </c>
      <c r="Y216">
        <f>HYPERLINK("https://klasma.github.io/Logging_2182/tillsynsmail/A 21488-2022 tillsynsbegäran mail.docx", "A 21488-2022")</f>
        <v/>
      </c>
      <c r="Z216">
        <f>HYPERLINK("https://klasma.github.io/Logging_2182/fåglar/A 21488-2022 prioriterade fågelarter.docx", "A 21488-2022")</f>
        <v/>
      </c>
    </row>
    <row r="217" ht="15" customHeight="1">
      <c r="A217" t="inlineStr">
        <is>
          <t>A 23866-2022</t>
        </is>
      </c>
      <c r="B217" s="1" t="n">
        <v>44722</v>
      </c>
      <c r="C217" s="1" t="n">
        <v>45359</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45359</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45359</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45359</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45359</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45359</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45359</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45359</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45359</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45359</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45359</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45359</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45359</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45359</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45359</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45359</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45359</v>
      </c>
      <c r="D233" t="inlineStr">
        <is>
          <t>GÄVLEBORGS LÄN</t>
        </is>
      </c>
      <c r="E233" t="inlineStr">
        <is>
          <t>GÄVLE</t>
        </is>
      </c>
      <c r="F233" t="inlineStr">
        <is>
          <t>Bergvik skog öst AB</t>
        </is>
      </c>
      <c r="G233" t="n">
        <v>41.8</v>
      </c>
      <c r="H233" t="n">
        <v>0</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45359</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45359</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45359</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45359</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45359</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45359</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45359</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45359</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45359</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45359</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45359</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45359</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45359</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45359</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45359</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45359</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45359</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45359</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45359</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45359</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45359</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45359</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45359</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45359</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45359</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45359</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45359</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45359</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45359</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45359</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45359</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45359</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45359</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45359</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45359</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45359</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45359</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45359</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45359</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45359</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45359</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45359</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45359</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45359</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45359</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45359</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45359</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45359</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45359</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45359</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45359</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45359</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45359</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45359</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45359</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45359</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45359</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45359</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45359</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45359</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45359</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45359</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45359</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45359</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45359</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45359</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45359</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45359</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45359</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45359</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45359</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45359</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45359</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45359</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45359</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45359</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45359</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45359</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45359</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45359</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45359</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45359</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45359</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45359</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45359</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45359</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45359</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45359</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45359</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45359</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45359</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45359</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45359</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45359</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45359</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45359</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45359</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45359</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45359</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45359</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45359</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45359</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row>
    <row r="336" ht="15" customHeight="1">
      <c r="A336" t="inlineStr">
        <is>
          <t>A 34192-2021</t>
        </is>
      </c>
      <c r="B336" s="1" t="n">
        <v>44379</v>
      </c>
      <c r="C336" s="1" t="n">
        <v>45359</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45359</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45359</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45359</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45359</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45359</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45359</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45359</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45359</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45359</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45359</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45359</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45359</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45359</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45359</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45359</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45359</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45359</v>
      </c>
      <c r="D353" t="inlineStr">
        <is>
          <t>GÄVLEBORGS LÄN</t>
        </is>
      </c>
      <c r="E353" t="inlineStr">
        <is>
          <t>BOLLNÄS</t>
        </is>
      </c>
      <c r="F353" t="inlineStr">
        <is>
          <t>Bergvik skog väst AB</t>
        </is>
      </c>
      <c r="G353" t="n">
        <v>14.4</v>
      </c>
      <c r="H353" t="n">
        <v>0</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45359</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45359</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45359</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45359</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45359</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45359</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45359</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45359</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45359</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45359</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45359</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45359</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45359</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45359</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45359</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45359</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45359</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45359</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45359</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45359</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45359</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45359</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45359</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45359</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45359</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45359</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45359</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45359</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45359</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45359</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45359</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45359</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45359</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45359</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45359</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45359</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45359</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45359</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45359</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45359</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45359</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45359</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45359</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45359</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45359</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45359</v>
      </c>
      <c r="D399" t="inlineStr">
        <is>
          <t>GÄVLEBORGS LÄN</t>
        </is>
      </c>
      <c r="E399" t="inlineStr">
        <is>
          <t>NORDANSTIG</t>
        </is>
      </c>
      <c r="G399" t="n">
        <v>8.199999999999999</v>
      </c>
      <c r="H399" t="n">
        <v>0</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45359</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45359</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row>
    <row r="402" ht="15" customHeight="1">
      <c r="A402" t="inlineStr">
        <is>
          <t>A 8078-2023</t>
        </is>
      </c>
      <c r="B402" s="1" t="n">
        <v>44974</v>
      </c>
      <c r="C402" s="1" t="n">
        <v>45359</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45359</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45359</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45359</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45359</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45359</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45359</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45359</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45359</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45359</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45359</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45359</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45359</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45359</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45359</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45359</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45359</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45359</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45359</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45359</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45359</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45359</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45359</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45359</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45359</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45359</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45359</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45359</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45359</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45359</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45359</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45359</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45359</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45359</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45359</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45359</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45359</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45359</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45359</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45359</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45359</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45359</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45359</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45359</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45359</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45359</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45359</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45359</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45359</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45359</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45359</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45359</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45359</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45359</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45359</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45359</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45359</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45359</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45359</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45359</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45359</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45359</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45359</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45359</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45359</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45359</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45359</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45359</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45359</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45359</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45359</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45359</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45359</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45359</v>
      </c>
      <c r="D475" t="inlineStr">
        <is>
          <t>GÄVLEBORGS LÄN</t>
        </is>
      </c>
      <c r="E475" t="inlineStr">
        <is>
          <t>NORDANSTIG</t>
        </is>
      </c>
      <c r="G475" t="n">
        <v>3.9</v>
      </c>
      <c r="H475" t="n">
        <v>0</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45359</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45359</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45359</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45359</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row>
    <row r="480" ht="15" customHeight="1">
      <c r="A480" t="inlineStr">
        <is>
          <t>A 684-2024</t>
        </is>
      </c>
      <c r="B480" s="1" t="n">
        <v>45300</v>
      </c>
      <c r="C480" s="1" t="n">
        <v>45359</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45359</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45359</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45359</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45359</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45359</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45359</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45359</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45359</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45359</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45359</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45359</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45359</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45359</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45359</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45359</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45359</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45359</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45359</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45359</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45359</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45359</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45359</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45359</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45359</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45359</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45359</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45359</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45359</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45359</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45359</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45359</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45359</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45359</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45359</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45359</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45359</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45359</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45359</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45359</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45359</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45359</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45359</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45359</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45359</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45359</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45359</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45359</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45359</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45359</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45359</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45359</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45359</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45359</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45359</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45359</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45359</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45359</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45359</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45359</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45359</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45359</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45359</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45359</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45359</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45359</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45359</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45359</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45359</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45359</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45359</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45359</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45359</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45359</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45359</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45359</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45359</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45359</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45359</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45359</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45359</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45359</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45359</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45359</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45359</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45359</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45359</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45359</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45359</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45359</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45359</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45359</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45359</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45359</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45359</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45359</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45359</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45359</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45359</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45359</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45359</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45359</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45359</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45359</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45359</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45359</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45359</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45359</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45359</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45359</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45359</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45359</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45359</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45359</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45359</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45359</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45359</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45359</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45359</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45359</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45359</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45359</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45359</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45359</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45359</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45359</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45359</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45359</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45359</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45359</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45359</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45359</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45359</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45359</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45359</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45359</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45359</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45359</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45359</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45359</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45359</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45359</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45359</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45359</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45359</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45359</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45359</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45359</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45359</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45359</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45359</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45359</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45359</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45359</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45359</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45359</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45359</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45359</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45359</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45359</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45359</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45359</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45359</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45359</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45359</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45359</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45359</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45359</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45359</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45359</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45359</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45359</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45359</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45359</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45359</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45359</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45359</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45359</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45359</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45359</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45359</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45359</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45359</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45359</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45359</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45359</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45359</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45359</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45359</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45359</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45359</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45359</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45359</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45359</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45359</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45359</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45359</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45359</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45359</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45359</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45359</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45359</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45359</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45359</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45359</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45359</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45359</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45359</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45359</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45359</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45359</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45359</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45359</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45359</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45359</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45359</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45359</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45359</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45359</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45359</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45359</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45359</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45359</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45359</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45359</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45359</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45359</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45359</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45359</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45359</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45359</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45359</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45359</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45359</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45359</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45359</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45359</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45359</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45359</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45359</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45359</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45359</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45359</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45359</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45359</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45359</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45359</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45359</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45359</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45359</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45359</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45359</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45359</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45359</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45359</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45359</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45359</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45359</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45359</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45359</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45359</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45359</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45359</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45359</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45359</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45359</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45359</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45359</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45359</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45359</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45359</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45359</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45359</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45359</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45359</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45359</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45359</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45359</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45359</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45359</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45359</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45359</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45359</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45359</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45359</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45359</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45359</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45359</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45359</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45359</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45359</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45359</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45359</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45359</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45359</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45359</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45359</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45359</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45359</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45359</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45359</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45359</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45359</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45359</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45359</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45359</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45359</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45359</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45359</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45359</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45359</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45359</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45359</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45359</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45359</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45359</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45359</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45359</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45359</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45359</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45359</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45359</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45359</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45359</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45359</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45359</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45359</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45359</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45359</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45359</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45359</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45359</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45359</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45359</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45359</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45359</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45359</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45359</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45359</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45359</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45359</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45359</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45359</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45359</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45359</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45359</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45359</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45359</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45359</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45359</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45359</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45359</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45359</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45359</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45359</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45359</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45359</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45359</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45359</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45359</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45359</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45359</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45359</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45359</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45359</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45359</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45359</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45359</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45359</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45359</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45359</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45359</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45359</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45359</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45359</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45359</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45359</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45359</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45359</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45359</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45359</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45359</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45359</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45359</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45359</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45359</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45359</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45359</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45359</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45359</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45359</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45359</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45359</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45359</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45359</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45359</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45359</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45359</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45359</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45359</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45359</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45359</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45359</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45359</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45359</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45359</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45359</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45359</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45359</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45359</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45359</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45359</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45359</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45359</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45359</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45359</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45359</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45359</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45359</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45359</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45359</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45359</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45359</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45359</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45359</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45359</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45359</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45359</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45359</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45359</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45359</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45359</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45359</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45359</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45359</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45359</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45359</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45359</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45359</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45359</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45359</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45359</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45359</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45359</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45359</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45359</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45359</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45359</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45359</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45359</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45359</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45359</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45359</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45359</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45359</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45359</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45359</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45359</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45359</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45359</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45359</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45359</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45359</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45359</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45359</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45359</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45359</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45359</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45359</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45359</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45359</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45359</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45359</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45359</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45359</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45359</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45359</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45359</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45359</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45359</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45359</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45359</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45359</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45359</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45359</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45359</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45359</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45359</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45359</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45359</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45359</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45359</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45359</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45359</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45359</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45359</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45359</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45359</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45359</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45359</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45359</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45359</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45359</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45359</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45359</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45359</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45359</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45359</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45359</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45359</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45359</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45359</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45359</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45359</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45359</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45359</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45359</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45359</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45359</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45359</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45359</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45359</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45359</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45359</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45359</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45359</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45359</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45359</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45359</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45359</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45359</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45359</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45359</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45359</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45359</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45359</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45359</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45359</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45359</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45359</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45359</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45359</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45359</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45359</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45359</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45359</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45359</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45359</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45359</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45359</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45359</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45359</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45359</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45359</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45359</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45359</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45359</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45359</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45359</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45359</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45359</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45359</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45359</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45359</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45359</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45359</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45359</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45359</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45359</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45359</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45359</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45359</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45359</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45359</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45359</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45359</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45359</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45359</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45359</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45359</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45359</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45359</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45359</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45359</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45359</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45359</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45359</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45359</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45359</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45359</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45359</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45359</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45359</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45359</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45359</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45359</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45359</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45359</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45359</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45359</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45359</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45359</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45359</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45359</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45359</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45359</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45359</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45359</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45359</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45359</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45359</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45359</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45359</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45359</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45359</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45359</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45359</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45359</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45359</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45359</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45359</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45359</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45359</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45359</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45359</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45359</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45359</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45359</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45359</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45359</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45359</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45359</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45359</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45359</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45359</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45359</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45359</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45359</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45359</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45359</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45359</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45359</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45359</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45359</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45359</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45359</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45359</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45359</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45359</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45359</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45359</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45359</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45359</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45359</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45359</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45359</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45359</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45359</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45359</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45359</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45359</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45359</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45359</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45359</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45359</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45359</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45359</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45359</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45359</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45359</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45359</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45359</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45359</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45359</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45359</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45359</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45359</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45359</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45359</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45359</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45359</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45359</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45359</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45359</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45359</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45359</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45359</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45359</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45359</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45359</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45359</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45359</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45359</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45359</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45359</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45359</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45359</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45359</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45359</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45359</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45359</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45359</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45359</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45359</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45359</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45359</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45359</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45359</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45359</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45359</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45359</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45359</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45359</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45359</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45359</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45359</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45359</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45359</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45359</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45359</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45359</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45359</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45359</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45359</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45359</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45359</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45359</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45359</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45359</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45359</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45359</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45359</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45359</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45359</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45359</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45359</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45359</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45359</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45359</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45359</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45359</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45359</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45359</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45359</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45359</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45359</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45359</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45359</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45359</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45359</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45359</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45359</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45359</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45359</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45359</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45359</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45359</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45359</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45359</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45359</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45359</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45359</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45359</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45359</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45359</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45359</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45359</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45359</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45359</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45359</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45359</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45359</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45359</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45359</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45359</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45359</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45359</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45359</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45359</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45359</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45359</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45359</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45359</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45359</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45359</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45359</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45359</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45359</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45359</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45359</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45359</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45359</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45359</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45359</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45359</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45359</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45359</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45359</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45359</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45359</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45359</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45359</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45359</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45359</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45359</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45359</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45359</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45359</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45359</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45359</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45359</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45359</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45359</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45359</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45359</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45359</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45359</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45359</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45359</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45359</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45359</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45359</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45359</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45359</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45359</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45359</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45359</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45359</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45359</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45359</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45359</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45359</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45359</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45359</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45359</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45359</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45359</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45359</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45359</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45359</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45359</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45359</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45359</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45359</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45359</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45359</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45359</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45359</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45359</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45359</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45359</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45359</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45359</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45359</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45359</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45359</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45359</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45359</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45359</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45359</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45359</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45359</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45359</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45359</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45359</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45359</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45359</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45359</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45359</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45359</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45359</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45359</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45359</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45359</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45359</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45359</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45359</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45359</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45359</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45359</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45359</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45359</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45359</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45359</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45359</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45359</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45359</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45359</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45359</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45359</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45359</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45359</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45359</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45359</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45359</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45359</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45359</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45359</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45359</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45359</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45359</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45359</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45359</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45359</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45359</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45359</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45359</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45359</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45359</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45359</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45359</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45359</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45359</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45359</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45359</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45359</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45359</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45359</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45359</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45359</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45359</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45359</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45359</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45359</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45359</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45359</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45359</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45359</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45359</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45359</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45359</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45359</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45359</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45359</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45359</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45359</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45359</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45359</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45359</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45359</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45359</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45359</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45359</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45359</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45359</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45359</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45359</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45359</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45359</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45359</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45359</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45359</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45359</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45359</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45359</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45359</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45359</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45359</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45359</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45359</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45359</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45359</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45359</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45359</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45359</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45359</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45359</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45359</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45359</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45359</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45359</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45359</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45359</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45359</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45359</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45359</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45359</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45359</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45359</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45359</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45359</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45359</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45359</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45359</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45359</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45359</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45359</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45359</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45359</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45359</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45359</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45359</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45359</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45359</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45359</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45359</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45359</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45359</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45359</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45359</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45359</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45359</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45359</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45359</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45359</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45359</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45359</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45359</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45359</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45359</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45359</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45359</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45359</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45359</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45359</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45359</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45359</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45359</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45359</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45359</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45359</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45359</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45359</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45359</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45359</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45359</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45359</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45359</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45359</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45359</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45359</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45359</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45359</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45359</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45359</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45359</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45359</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45359</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45359</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45359</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45359</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45359</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45359</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45359</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45359</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45359</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45359</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45359</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45359</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45359</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45359</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45359</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45359</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45359</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45359</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45359</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45359</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45359</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45359</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45359</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45359</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45359</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45359</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45359</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45359</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45359</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45359</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45359</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45359</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45359</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45359</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45359</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45359</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45359</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45359</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45359</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45359</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45359</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45359</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45359</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45359</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45359</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45359</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45359</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45359</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45359</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45359</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45359</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45359</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45359</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45359</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45359</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45359</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45359</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45359</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45359</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45359</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45359</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45359</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45359</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45359</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45359</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45359</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45359</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45359</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45359</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45359</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45359</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45359</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45359</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45359</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45359</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45359</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45359</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45359</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45359</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45359</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45359</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45359</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45359</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45359</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45359</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45359</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45359</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45359</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45359</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45359</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45359</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45359</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45359</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45359</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45359</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45359</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45359</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45359</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45359</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45359</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45359</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45359</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45359</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45359</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45359</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45359</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45359</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45359</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45359</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45359</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45359</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45359</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45359</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45359</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45359</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45359</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45359</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45359</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45359</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45359</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45359</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45359</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45359</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45359</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45359</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45359</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45359</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45359</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45359</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45359</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45359</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45359</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45359</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45359</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45359</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45359</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45359</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45359</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45359</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45359</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45359</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45359</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45359</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45359</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45359</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45359</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45359</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45359</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45359</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45359</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45359</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45359</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45359</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45359</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45359</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45359</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45359</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45359</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45359</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45359</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45359</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45359</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45359</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45359</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45359</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45359</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45359</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45359</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45359</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45359</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45359</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45359</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45359</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45359</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45359</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45359</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45359</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45359</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45359</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45359</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45359</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45359</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45359</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45359</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45359</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45359</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45359</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45359</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45359</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45359</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45359</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45359</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45359</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45359</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45359</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45359</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45359</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45359</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45359</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45359</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45359</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45359</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45359</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45359</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45359</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45359</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45359</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45359</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45359</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45359</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45359</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45359</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45359</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45359</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45359</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45359</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45359</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45359</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45359</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45359</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45359</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45359</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45359</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45359</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45359</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45359</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45359</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45359</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45359</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45359</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45359</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45359</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45359</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45359</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45359</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45359</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45359</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45359</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45359</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45359</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45359</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45359</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45359</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45359</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45359</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45359</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45359</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45359</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45359</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45359</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45359</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45359</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45359</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45359</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45359</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45359</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45359</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45359</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45359</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45359</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45359</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45359</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45359</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45359</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45359</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45359</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45359</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45359</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45359</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45359</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45359</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45359</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45359</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45359</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45359</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45359</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45359</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45359</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45359</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45359</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45359</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45359</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45359</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45359</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45359</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45359</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45359</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45359</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45359</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45359</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45359</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45359</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45359</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45359</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45359</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45359</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45359</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45359</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45359</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45359</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45359</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45359</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45359</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45359</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45359</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45359</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45359</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45359</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45359</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45359</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45359</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45359</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45359</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45359</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45359</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45359</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45359</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45359</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45359</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45359</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45359</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45359</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45359</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45359</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45359</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45359</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45359</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45359</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45359</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45359</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45359</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45359</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45359</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45359</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45359</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45359</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45359</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45359</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45359</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45359</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45359</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45359</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45359</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45359</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45359</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45359</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45359</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45359</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45359</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45359</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45359</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45359</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45359</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45359</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45359</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45359</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45359</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45359</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45359</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45359</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45359</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45359</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45359</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45359</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45359</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45359</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45359</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45359</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45359</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45359</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45359</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45359</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45359</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45359</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45359</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45359</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45359</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45359</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45359</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45359</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45359</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45359</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45359</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45359</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45359</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45359</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45359</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45359</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45359</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45359</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45359</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45359</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45359</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45359</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45359</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45359</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45359</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45359</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45359</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45359</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45359</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45359</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45359</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45359</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45359</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45359</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45359</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45359</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45359</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45359</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45359</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45359</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45359</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45359</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45359</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45359</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45359</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45359</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45359</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45359</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45359</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45359</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45359</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45359</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45359</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45359</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45359</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45359</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45359</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45359</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45359</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45359</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45359</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45359</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45359</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45359</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45359</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45359</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45359</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45359</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45359</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45359</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45359</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45359</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45359</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45359</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45359</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45359</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45359</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45359</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45359</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45359</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45359</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45359</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45359</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45359</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45359</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45359</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45359</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45359</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45359</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45359</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45359</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45359</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45359</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45359</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45359</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45359</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45359</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45359</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45359</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45359</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45359</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45359</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45359</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45359</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45359</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45359</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45359</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45359</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45359</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45359</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45359</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45359</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45359</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45359</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45359</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45359</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45359</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45359</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45359</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45359</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45359</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45359</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45359</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45359</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45359</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45359</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45359</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45359</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45359</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45359</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45359</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45359</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45359</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45359</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45359</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45359</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45359</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45359</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45359</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45359</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45359</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45359</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45359</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45359</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45359</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45359</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45359</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45359</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45359</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45359</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45359</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45359</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45359</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45359</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45359</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45359</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45359</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45359</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45359</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45359</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45359</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45359</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45359</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45359</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45359</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45359</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45359</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45359</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45359</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45359</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45359</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45359</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45359</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45359</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45359</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45359</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45359</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45359</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45359</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45359</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45359</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45359</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45359</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45359</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45359</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45359</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45359</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45359</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45359</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45359</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45359</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45359</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45359</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45359</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45359</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45359</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45359</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45359</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45359</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45359</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45359</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45359</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45359</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45359</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45359</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45359</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45359</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45359</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45359</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45359</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45359</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45359</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45359</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45359</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45359</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45359</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45359</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45359</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45359</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45359</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45359</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45359</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45359</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45359</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45359</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45359</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45359</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45359</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45359</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45359</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45359</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45359</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45359</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45359</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45359</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45359</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45359</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45359</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45359</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45359</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45359</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45359</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45359</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45359</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45359</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45359</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45359</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45359</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45359</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45359</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45359</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45359</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45359</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45359</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45359</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45359</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45359</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45359</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45359</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45359</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45359</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45359</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45359</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45359</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45359</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45359</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45359</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45359</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45359</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45359</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45359</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45359</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45359</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45359</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45359</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45359</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45359</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45359</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45359</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45359</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45359</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45359</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45359</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45359</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45359</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45359</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45359</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45359</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45359</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45359</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45359</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45359</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45359</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45359</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45359</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45359</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45359</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45359</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45359</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45359</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45359</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45359</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45359</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45359</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45359</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45359</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45359</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45359</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45359</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45359</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45359</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45359</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45359</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45359</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45359</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45359</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45359</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45359</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45359</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45359</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45359</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45359</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45359</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45359</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45359</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45359</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45359</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45359</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45359</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45359</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45359</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45359</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45359</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45359</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45359</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45359</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45359</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45359</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45359</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45359</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45359</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45359</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45359</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45359</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45359</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45359</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45359</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45359</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45359</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45359</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45359</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45359</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45359</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45359</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45359</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45359</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45359</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45359</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45359</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45359</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45359</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45359</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45359</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45359</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45359</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45359</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45359</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45359</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45359</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45359</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45359</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45359</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45359</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45359</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45359</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45359</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45359</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45359</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45359</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45359</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45359</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45359</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45359</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45359</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45359</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45359</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45359</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45359</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45359</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45359</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45359</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45359</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45359</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45359</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45359</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45359</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45359</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45359</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45359</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45359</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45359</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45359</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45359</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45359</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45359</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45359</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45359</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45359</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45359</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45359</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45359</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45359</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45359</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45359</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45359</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45359</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45359</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45359</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45359</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45359</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45359</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45359</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45359</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45359</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45359</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45359</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45359</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45359</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45359</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45359</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45359</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45359</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45359</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45359</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45359</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45359</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45359</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45359</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45359</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45359</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45359</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45359</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45359</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45359</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45359</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45359</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45359</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45359</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45359</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45359</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45359</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45359</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45359</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45359</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45359</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45359</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45359</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45359</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45359</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45359</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45359</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45359</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45359</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45359</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45359</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45359</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45359</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45359</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45359</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45359</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45359</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45359</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45359</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45359</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45359</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45359</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45359</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45359</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45359</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45359</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45359</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45359</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45359</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45359</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45359</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45359</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45359</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45359</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45359</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45359</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45359</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45359</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45359</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45359</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45359</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45359</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45359</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45359</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45359</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45359</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45359</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45359</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45359</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45359</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45359</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45359</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45359</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45359</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45359</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45359</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45359</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45359</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45359</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45359</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45359</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45359</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45359</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45359</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45359</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45359</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45359</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45359</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45359</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45359</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45359</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45359</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45359</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45359</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45359</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45359</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45359</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45359</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45359</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45359</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45359</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45359</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45359</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45359</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45359</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45359</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45359</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45359</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45359</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45359</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45359</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45359</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45359</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45359</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45359</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45359</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45359</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45359</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45359</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45359</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45359</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45359</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45359</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45359</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45359</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45359</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45359</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45359</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45359</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45359</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45359</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45359</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45359</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45359</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45359</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45359</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45359</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45359</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45359</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45359</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45359</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45359</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45359</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45359</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45359</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45359</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45359</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45359</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45359</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45359</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45359</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45359</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45359</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45359</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45359</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45359</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45359</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45359</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45359</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45359</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45359</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45359</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45359</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45359</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45359</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45359</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45359</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45359</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45359</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45359</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45359</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45359</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45359</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45359</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45359</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45359</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45359</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45359</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45359</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45359</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45359</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45359</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45359</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45359</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45359</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45359</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45359</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45359</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45359</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45359</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45359</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45359</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45359</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45359</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45359</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45359</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45359</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45359</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45359</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45359</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45359</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45359</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45359</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45359</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45359</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45359</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45359</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45359</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45359</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45359</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45359</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45359</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45359</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45359</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45359</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45359</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45359</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45359</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45359</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45359</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45359</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45359</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45359</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45359</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45359</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45359</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45359</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45359</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45359</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45359</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45359</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45359</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45359</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45359</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45359</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45359</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45359</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45359</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45359</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45359</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45359</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45359</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45359</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45359</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45359</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45359</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45359</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45359</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45359</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45359</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45359</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45359</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45359</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45359</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45359</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45359</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45359</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45359</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45359</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45359</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45359</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45359</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45359</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45359</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45359</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45359</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45359</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45359</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45359</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45359</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45359</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45359</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45359</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45359</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45359</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45359</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45359</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45359</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45359</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45359</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45359</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45359</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45359</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45359</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45359</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45359</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45359</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45359</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45359</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45359</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45359</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45359</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45359</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45359</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45359</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45359</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45359</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45359</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45359</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45359</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45359</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45359</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45359</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45359</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45359</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45359</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45359</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45359</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45359</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45359</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45359</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45359</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45359</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45359</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45359</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45359</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45359</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45359</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45359</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45359</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45359</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45359</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45359</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45359</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45359</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45359</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45359</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45359</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45359</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45359</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45359</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45359</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45359</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45359</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45359</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45359</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45359</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45359</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45359</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45359</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45359</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45359</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45359</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45359</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45359</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45359</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45359</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45359</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45359</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45359</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45359</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45359</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45359</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45359</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45359</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45359</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45359</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45359</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45359</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45359</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45359</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45359</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45359</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45359</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45359</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45359</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45359</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45359</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45359</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45359</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45359</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45359</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45359</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45359</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45359</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45359</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45359</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45359</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45359</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45359</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45359</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45359</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45359</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45359</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45359</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45359</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45359</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45359</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45359</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45359</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45359</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45359</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45359</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45359</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45359</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45359</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45359</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45359</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45359</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45359</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45359</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45359</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45359</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45359</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45359</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45359</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45359</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45359</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45359</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45359</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45359</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45359</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45359</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45359</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45359</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45359</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45359</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45359</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45359</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45359</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45359</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45359</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45359</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45359</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45359</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45359</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45359</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45359</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45359</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45359</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45359</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45359</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45359</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45359</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45359</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45359</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45359</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45359</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45359</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45359</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45359</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45359</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45359</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45359</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45359</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45359</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45359</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45359</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45359</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45359</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45359</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45359</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45359</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45359</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45359</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45359</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45359</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45359</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45359</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45359</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45359</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45359</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45359</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45359</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45359</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45359</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45359</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45359</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45359</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45359</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45359</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45359</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45359</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45359</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45359</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45359</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45359</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45359</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45359</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45359</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45359</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45359</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45359</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45359</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45359</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45359</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45359</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45359</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45359</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45359</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45359</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45359</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45359</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45359</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45359</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45359</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45359</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45359</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45359</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45359</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45359</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45359</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45359</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45359</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45359</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45359</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45359</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45359</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45359</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45359</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45359</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45359</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45359</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45359</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45359</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45359</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45359</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45359</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45359</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45359</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45359</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45359</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45359</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45359</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45359</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45359</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45359</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45359</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45359</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45359</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45359</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45359</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45359</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45359</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45359</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45359</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45359</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45359</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45359</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45359</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45359</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45359</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45359</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45359</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45359</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45359</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45359</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45359</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45359</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45359</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45359</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45359</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45359</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45359</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45359</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45359</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45359</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45359</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45359</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45359</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45359</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45359</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45359</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45359</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45359</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45359</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45359</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45359</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45359</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45359</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45359</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45359</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45359</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45359</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45359</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45359</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45359</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45359</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45359</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45359</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45359</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45359</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45359</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45359</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45359</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45359</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45359</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45359</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45359</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45359</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45359</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45359</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45359</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45359</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45359</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45359</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45359</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45359</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45359</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45359</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45359</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45359</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45359</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45359</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45359</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45359</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45359</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45359</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45359</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45359</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45359</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45359</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45359</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45359</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45359</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45359</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45359</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45359</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45359</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45359</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45359</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45359</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45359</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45359</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45359</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45359</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45359</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45359</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45359</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45359</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45359</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45359</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45359</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45359</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45359</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45359</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45359</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45359</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45359</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45359</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45359</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45359</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45359</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45359</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45359</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45359</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45359</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45359</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45359</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45359</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45359</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45359</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45359</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45359</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45359</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45359</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45359</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45359</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45359</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45359</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45359</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45359</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45359</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45359</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45359</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45359</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45359</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45359</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45359</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45359</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45359</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45359</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45359</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45359</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45359</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45359</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45359</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45359</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45359</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45359</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45359</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45359</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45359</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45359</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45359</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45359</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45359</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45359</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45359</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45359</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45359</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45359</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45359</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45359</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45359</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45359</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45359</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45359</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45359</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45359</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45359</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45359</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45359</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45359</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45359</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45359</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45359</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45359</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45359</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45359</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45359</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45359</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45359</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45359</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45359</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45359</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45359</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45359</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45359</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45359</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45359</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45359</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45359</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45359</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45359</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45359</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45359</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45359</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45359</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45359</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45359</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45359</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45359</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45359</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45359</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45359</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45359</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45359</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45359</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45359</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45359</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45359</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45359</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45359</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45359</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45359</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45359</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45359</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45359</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45359</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45359</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45359</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45359</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45359</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45359</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45359</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45359</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45359</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45359</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45359</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45359</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45359</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45359</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45359</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45359</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45359</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45359</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45359</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45359</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45359</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45359</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45359</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45359</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45359</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45359</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45359</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45359</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45359</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45359</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45359</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45359</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45359</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45359</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45359</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45359</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45359</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45359</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45359</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45359</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45359</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45359</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45359</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45359</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45359</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45359</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45359</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45359</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45359</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45359</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45359</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45359</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45359</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45359</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45359</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45359</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45359</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45359</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45359</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45359</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45359</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45359</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45359</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45359</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45359</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45359</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45359</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45359</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45359</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45359</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45359</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45359</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45359</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45359</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45359</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45359</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45359</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45359</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45359</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45359</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45359</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45359</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45359</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45359</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45359</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45359</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45359</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45359</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45359</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45359</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45359</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45359</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45359</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45359</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45359</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45359</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45359</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45359</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45359</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45359</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45359</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45359</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45359</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45359</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45359</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45359</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45359</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45359</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45359</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45359</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45359</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45359</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45359</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45359</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45359</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45359</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45359</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45359</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45359</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45359</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45359</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45359</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45359</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45359</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45359</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45359</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45359</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45359</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45359</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45359</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45359</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45359</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45359</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45359</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45359</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45359</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45359</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45359</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45359</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45359</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45359</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45359</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45359</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45359</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45359</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45359</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45359</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45359</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45359</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45359</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45359</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45359</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45359</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45359</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45359</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45359</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45359</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45359</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45359</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45359</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45359</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45359</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45359</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45359</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45359</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45359</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45359</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45359</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45359</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45359</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45359</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45359</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45359</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45359</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45359</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45359</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45359</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45359</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45359</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45359</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45359</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45359</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45359</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45359</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45359</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45359</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45359</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45359</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45359</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45359</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45359</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45359</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45359</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45359</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45359</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45359</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45359</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45359</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45359</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45359</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45359</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45359</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45359</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45359</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45359</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45359</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45359</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45359</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45359</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45359</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45359</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45359</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45359</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45359</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45359</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45359</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45359</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45359</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45359</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45359</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45359</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45359</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45359</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45359</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45359</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45359</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45359</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45359</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45359</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45359</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45359</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45359</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45359</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45359</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45359</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45359</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45359</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45359</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45359</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45359</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45359</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45359</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45359</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45359</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45359</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45359</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45359</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45359</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45359</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45359</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45359</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45359</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45359</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45359</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45359</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45359</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45359</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45359</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45359</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45359</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45359</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45359</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45359</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45359</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45359</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45359</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45359</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45359</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45359</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45359</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45359</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45359</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45359</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45359</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45359</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45359</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45359</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45359</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45359</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45359</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45359</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45359</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45359</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45359</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45359</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45359</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45359</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45359</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45359</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45359</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45359</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45359</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45359</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45359</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45359</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45359</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45359</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45359</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45359</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45359</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45359</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45359</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45359</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45359</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45359</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45359</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45359</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45359</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45359</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45359</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45359</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45359</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45359</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45359</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45359</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45359</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45359</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45359</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45359</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45359</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45359</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45359</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45359</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45359</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45359</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45359</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45359</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45359</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45359</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45359</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45359</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45359</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45359</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45359</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45359</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45359</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45359</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45359</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45359</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45359</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45359</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45359</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45359</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45359</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45359</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45359</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45359</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45359</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45359</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45359</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45359</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45359</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45359</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45359</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45359</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45359</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45359</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45359</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45359</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45359</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45359</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45359</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45359</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45359</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45359</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45359</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45359</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45359</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45359</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45359</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45359</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45359</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45359</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45359</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45359</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45359</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45359</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45359</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45359</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45359</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45359</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45359</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45359</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45359</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45359</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45359</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45359</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45359</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45359</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45359</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45359</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45359</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45359</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45359</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45359</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45359</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45359</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45359</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45359</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45359</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45359</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45359</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45359</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45359</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45359</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45359</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45359</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45359</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45359</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45359</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45359</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45359</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45359</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45359</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45359</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45359</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45359</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45359</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45359</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45359</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45359</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45359</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45359</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45359</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45359</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45359</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45359</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45359</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45359</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45359</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45359</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45359</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45359</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45359</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45359</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45359</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45359</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45359</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45359</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45359</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45359</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45359</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45359</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45359</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45359</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45359</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45359</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45359</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45359</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45359</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45359</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45359</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45359</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45359</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45359</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45359</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45359</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45359</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45359</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45359</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45359</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45359</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45359</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45359</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45359</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45359</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45359</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45359</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45359</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45359</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45359</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45359</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45359</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45359</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45359</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45359</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45359</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45359</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45359</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45359</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45359</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45359</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45359</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45359</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45359</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45359</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45359</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45359</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45359</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45359</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45359</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45359</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45359</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45359</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45359</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45359</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45359</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45359</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45359</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45359</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45359</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45359</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45359</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45359</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45359</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45359</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45359</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45359</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45359</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45359</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45359</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45359</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45359</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45359</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45359</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45359</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45359</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45359</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45359</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45359</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45359</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45359</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45359</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45359</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45359</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45359</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45359</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45359</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45359</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45359</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45359</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45359</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45359</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45359</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45359</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45359</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45359</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45359</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45359</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45359</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45359</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45359</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45359</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45359</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45359</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45359</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45359</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45359</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45359</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45359</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45359</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45359</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45359</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45359</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45359</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45359</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45359</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45359</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45359</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45359</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45359</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45359</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45359</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45359</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45359</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45359</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45359</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45359</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45359</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45359</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45359</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45359</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45359</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45359</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45359</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45359</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45359</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45359</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45359</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45359</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45359</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45359</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45359</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45359</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45359</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45359</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45359</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45359</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45359</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45359</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45359</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45359</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45359</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45359</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45359</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45359</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45359</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45359</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45359</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45359</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45359</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45359</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45359</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45359</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45359</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45359</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45359</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45359</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45359</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45359</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45359</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45359</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45359</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45359</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45359</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45359</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45359</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45359</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45359</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45359</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45359</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45359</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45359</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45359</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45359</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45359</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45359</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45359</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45359</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45359</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45359</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45359</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45359</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45359</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45359</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45359</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45359</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45359</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45359</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45359</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45359</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45359</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45359</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45359</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45359</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45359</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45359</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45359</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45359</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45359</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45359</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45359</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45359</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45359</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45359</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45359</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45359</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45359</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45359</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45359</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45359</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45359</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45359</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45359</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45359</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45359</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45359</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45359</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45359</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45359</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45359</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45359</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45359</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45359</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45359</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45359</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45359</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45359</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45359</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45359</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45359</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45359</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45359</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45359</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45359</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45359</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45359</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45359</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45359</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45359</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45359</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45359</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45359</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45359</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45359</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45359</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45359</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45359</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45359</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45359</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45359</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45359</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45359</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45359</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45359</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45359</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45359</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45359</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45359</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45359</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45359</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45359</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45359</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45359</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45359</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45359</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45359</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45359</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45359</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45359</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45359</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45359</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45359</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45359</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45359</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45359</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45359</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45359</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45359</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45359</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45359</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45359</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45359</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45359</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45359</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45359</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45359</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45359</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45359</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45359</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45359</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45359</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45359</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45359</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45359</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45359</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45359</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45359</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45359</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45359</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45359</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45359</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45359</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45359</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45359</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45359</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45359</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45359</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45359</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45359</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45359</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45359</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45359</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45359</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45359</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45359</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45359</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45359</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45359</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45359</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45359</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45359</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45359</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45359</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45359</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45359</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45359</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45359</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45359</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45359</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45359</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45359</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45359</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45359</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45359</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45359</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45359</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45359</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45359</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45359</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45359</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45359</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45359</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45359</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45359</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45359</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45359</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45359</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45359</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45359</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45359</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45359</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45359</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45359</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45359</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45359</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45359</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45359</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45359</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45359</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45359</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45359</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45359</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45359</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45359</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45359</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45359</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45359</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45359</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45359</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45359</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45359</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45359</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45359</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45359</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45359</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45359</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45359</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45359</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45359</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45359</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45359</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45359</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45359</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45359</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45359</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45359</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45359</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45359</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45359</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45359</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45359</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45359</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45359</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45359</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45359</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45359</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45359</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45359</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45359</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45359</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45359</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45359</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45359</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45359</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45359</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45359</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45359</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45359</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45359</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45359</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45359</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45359</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45359</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45359</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45359</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45359</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45359</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45359</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45359</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45359</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45359</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45359</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45359</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45359</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45359</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45359</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45359</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45359</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45359</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45359</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45359</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45359</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45359</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45359</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45359</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45359</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45359</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45359</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45359</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45359</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45359</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45359</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45359</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45359</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45359</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45359</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45359</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45359</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45359</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45359</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45359</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45359</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45359</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45359</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45359</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45359</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45359</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45359</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45359</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45359</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45359</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45359</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45359</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45359</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45359</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45359</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45359</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45359</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45359</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45359</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45359</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45359</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45359</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45359</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45359</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45359</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45359</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45359</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45359</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45359</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45359</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45359</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45359</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45359</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45359</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45359</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45359</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45359</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45359</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45359</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45359</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45359</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45359</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45359</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45359</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45359</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45359</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45359</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45359</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45359</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45359</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45359</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45359</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45359</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45359</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45359</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45359</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45359</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45359</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45359</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45359</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45359</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45359</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45359</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45359</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45359</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45359</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45359</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45359</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45359</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45359</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45359</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45359</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45359</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45359</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45359</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45359</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45359</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45359</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45359</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45359</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45359</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45359</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45359</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45359</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45359</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45359</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45359</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45359</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45359</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45359</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45359</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45359</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45359</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45359</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45359</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45359</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45359</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45359</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45359</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45359</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45359</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45359</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45359</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45359</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45359</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45359</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45359</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45359</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45359</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45359</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45359</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45359</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45359</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45359</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45359</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45359</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45359</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45359</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45359</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45359</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45359</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45359</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45359</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45359</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45359</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45359</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45359</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45359</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45359</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45359</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45359</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45359</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45359</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45359</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45359</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45359</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45359</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45359</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45359</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45359</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45359</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45359</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45359</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45359</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45359</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45359</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45359</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45359</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45359</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45359</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45359</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45359</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45359</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45359</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45359</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45359</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45359</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45359</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45359</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45359</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45359</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45359</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45359</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45359</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45359</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45359</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45359</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45359</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45359</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45359</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45359</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45359</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45359</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45359</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45359</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45359</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45359</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45359</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45359</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45359</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45359</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45359</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45359</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45359</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45359</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45359</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45359</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45359</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45359</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45359</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45359</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45359</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45359</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45359</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45359</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45359</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45359</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45359</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45359</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45359</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45359</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45359</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45359</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45359</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45359</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45359</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45359</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45359</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45359</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45359</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45359</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45359</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45359</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45359</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45359</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45359</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45359</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45359</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45359</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45359</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45359</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45359</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45359</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45359</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45359</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45359</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45359</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45359</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45359</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45359</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45359</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45359</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45359</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45359</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45359</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45359</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45359</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45359</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45359</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45359</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45359</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45359</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45359</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45359</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45359</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45359</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45359</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45359</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45359</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45359</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45359</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45359</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45359</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45359</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45359</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45359</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45359</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45359</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45359</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45359</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45359</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45359</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45359</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45359</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45359</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45359</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45359</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45359</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45359</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45359</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45359</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45359</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45359</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45359</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45359</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45359</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45359</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45359</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45359</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45359</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45359</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45359</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45359</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45359</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45359</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45359</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45359</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45359</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45359</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45359</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45359</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45359</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45359</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45359</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45359</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45359</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45359</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45359</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45359</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45359</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45359</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45359</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45359</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45359</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45359</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45359</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45359</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45359</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45359</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45359</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45359</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45359</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45359</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45359</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45359</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45359</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45359</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45359</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45359</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45359</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45359</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45359</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45359</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45359</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45359</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45359</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45359</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45359</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45359</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45359</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45359</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45359</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45359</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45359</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45359</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45359</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45359</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45359</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45359</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45359</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45359</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45359</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45359</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45359</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45359</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45359</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45359</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45359</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45359</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45359</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45359</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45359</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45359</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45359</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45359</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45359</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45359</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45359</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45359</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45359</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45359</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45359</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45359</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45359</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45359</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45359</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45359</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45359</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45359</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45359</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45359</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45359</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45359</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45359</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45359</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45359</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45359</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45359</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45359</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45359</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45359</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45359</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45359</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45359</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45359</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45359</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45359</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45359</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45359</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45359</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45359</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45359</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45359</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45359</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45359</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45359</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45359</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45359</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45359</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45359</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45359</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45359</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45359</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45359</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45359</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45359</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45359</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45359</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45359</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45359</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45359</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45359</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45359</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45359</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45359</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45359</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45359</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45359</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45359</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45359</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45359</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45359</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45359</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45359</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45359</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45359</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45359</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45359</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45359</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45359</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45359</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45359</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45359</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45359</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45359</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45359</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45359</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45359</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45359</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45359</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45359</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45359</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45359</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45359</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45359</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45359</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45359</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45359</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45359</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45359</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45359</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45359</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45359</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45359</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45359</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45359</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45359</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45359</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45359</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45359</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45359</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45359</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45359</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45359</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45359</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45359</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45359</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45359</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45359</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45359</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45359</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45359</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45359</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45359</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45359</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45359</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45359</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45359</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45359</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45359</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45359</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45359</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45359</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45359</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45359</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45359</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45359</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45359</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45359</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45359</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45359</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45359</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45359</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45359</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45359</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45359</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45359</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45359</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45359</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45359</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45359</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45359</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45359</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45359</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45359</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45359</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45359</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45359</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45359</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45359</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45359</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45359</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45359</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45359</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45359</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45359</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45359</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45359</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45359</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45359</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45359</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45359</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45359</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45359</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45359</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45359</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45359</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45359</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45359</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45359</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45359</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45359</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45359</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45359</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45359</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45359</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45359</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45359</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45359</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45359</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45359</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45359</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45359</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45359</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45359</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45359</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45359</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45359</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45359</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45359</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45359</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45359</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45359</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45359</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45359</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45359</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45359</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45359</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45359</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45359</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45359</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45359</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45359</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45359</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45359</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45359</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45359</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45359</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45359</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45359</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45359</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45359</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45359</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45359</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45359</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45359</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45359</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45359</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45359</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45359</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45359</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45359</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45359</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45359</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45359</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45359</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45359</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45359</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45359</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45359</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45359</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45359</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45359</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45359</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45359</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45359</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45359</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45359</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45359</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45359</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45359</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45359</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45359</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45359</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45359</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45359</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45359</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45359</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45359</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45359</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45359</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45359</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45359</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45359</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45359</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45359</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45359</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45359</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45359</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45359</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45359</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45359</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45359</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45359</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45359</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45359</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45359</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45359</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45359</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45359</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45359</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45359</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45359</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45359</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45359</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45359</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45359</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45359</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45359</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45359</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45359</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45359</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45359</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45359</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45359</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45359</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45359</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45359</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45359</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45359</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45359</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45359</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45359</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45359</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45359</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45359</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45359</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45359</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45359</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45359</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45359</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45359</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45359</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45359</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45359</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45359</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45359</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45359</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45359</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45359</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45359</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45359</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45359</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45359</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45359</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45359</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45359</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45359</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45359</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45359</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45359</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45359</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45359</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45359</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45359</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45359</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45359</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45359</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45359</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45359</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45359</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45359</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45359</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45359</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45359</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45359</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45359</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45359</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45359</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45359</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45359</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45359</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45359</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45359</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45359</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45359</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45359</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45359</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45359</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45359</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45359</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45359</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45359</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45359</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45359</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45359</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45359</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45359</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45359</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45359</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45359</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45359</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45359</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45359</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45359</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45359</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45359</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45359</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45359</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45359</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45359</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45359</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45359</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45359</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45359</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45359</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45359</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45359</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45359</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45359</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45359</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45359</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45359</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45359</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45359</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45359</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45359</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45359</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45359</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45359</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45359</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45359</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45359</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45359</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45359</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45359</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45359</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45359</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45359</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45359</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45359</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45359</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45359</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45359</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45359</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45359</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45359</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45359</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45359</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45359</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45359</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45359</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45359</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45359</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45359</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45359</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45359</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45359</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45359</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45359</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45359</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45359</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45359</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45359</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45359</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45359</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45359</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45359</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45359</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45359</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45359</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45359</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45359</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45359</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45359</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45359</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45359</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45359</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45359</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45359</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45359</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45359</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45359</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45359</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45359</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45359</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45359</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45359</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45359</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45359</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45359</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45359</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45359</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45359</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45359</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45359</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45359</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45359</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45359</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45359</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45359</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45359</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45359</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45359</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45359</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45359</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45359</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45359</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45359</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45359</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45359</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45359</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45359</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45359</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45359</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45359</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45359</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45359</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45359</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45359</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45359</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45359</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45359</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45359</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45359</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45359</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45359</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45359</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45359</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45359</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45359</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45359</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45359</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45359</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45359</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45359</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45359</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45359</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45359</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45359</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45359</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45359</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45359</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45359</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45359</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45359</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45359</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45359</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45359</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45359</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45359</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45359</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45359</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45359</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45359</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45359</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45359</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45359</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45359</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45359</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45359</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45359</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45359</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45359</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45359</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45359</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45359</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45359</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45359</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45359</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45359</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45359</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45359</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45359</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45359</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45359</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45359</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45359</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45359</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45359</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45359</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45359</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45359</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45359</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45359</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45359</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45359</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45359</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45359</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45359</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45359</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45359</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45359</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45359</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45359</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45359</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45359</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45359</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45359</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45359</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45359</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45359</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45359</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45359</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45359</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45359</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45359</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45359</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45359</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45359</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45359</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45359</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45359</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45359</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45359</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45359</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45359</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45359</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45359</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45359</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45359</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45359</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45359</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45359</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45359</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45359</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45359</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45359</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45359</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45359</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45359</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45359</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45359</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45359</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45359</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45359</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45359</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45359</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45359</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45359</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45359</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45359</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45359</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45359</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45359</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45359</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45359</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45359</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45359</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45359</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45359</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45359</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45359</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45359</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45359</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45359</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45359</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45359</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45359</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45359</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45359</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45359</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45359</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45359</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45359</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45359</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45359</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45359</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45359</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45359</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45359</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45359</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45359</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45359</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45359</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45359</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45359</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45359</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45359</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45359</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45359</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45359</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45359</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45359</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45359</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45359</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45359</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45359</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45359</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45359</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45359</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45359</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45359</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45359</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45359</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45359</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45359</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45359</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45359</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45359</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45359</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45359</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45359</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45359</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45359</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45359</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45359</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45359</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45359</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45359</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45359</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45359</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45359</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45359</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45359</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45359</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45359</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45359</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45359</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45359</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45359</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45359</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45359</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45359</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45359</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45359</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45359</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45359</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45359</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45359</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45359</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45359</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45359</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45359</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45359</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45359</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45359</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45359</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45359</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45359</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45359</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45359</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45359</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45359</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45359</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45359</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45359</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45359</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45359</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45359</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45359</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45359</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45359</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45359</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45359</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45359</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45359</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45359</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45359</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45359</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45359</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45359</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45359</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45359</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45359</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45359</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45359</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45359</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45359</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45359</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45359</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45359</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45359</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45359</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45359</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45359</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45359</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45359</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45359</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45359</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45359</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45359</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45359</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45359</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45359</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45359</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45359</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45359</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45359</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45359</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45359</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45359</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45359</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45359</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45359</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45359</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45359</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45359</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45359</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45359</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45359</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45359</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45359</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45359</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45359</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45359</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45359</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45359</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45359</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45359</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45359</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45359</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45359</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45359</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45359</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45359</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45359</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45359</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45359</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45359</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45359</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45359</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45359</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45359</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45359</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45359</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45359</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45359</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45359</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45359</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45359</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45359</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45359</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45359</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45359</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45359</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45359</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45359</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45359</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45359</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45359</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45359</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45359</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45359</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45359</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45359</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45359</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45359</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45359</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45359</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45359</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45359</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45359</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45359</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45359</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45359</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45359</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45359</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45359</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45359</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45359</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45359</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45359</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45359</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45359</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45359</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45359</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45359</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45359</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45359</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45359</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45359</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45359</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45359</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45359</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45359</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45359</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45359</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45359</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45359</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45359</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45359</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45359</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45359</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45359</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45359</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45359</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45359</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45359</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45359</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45359</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45359</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45359</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45359</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45359</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45359</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45359</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45359</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45359</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45359</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45359</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45359</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45359</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45359</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45359</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45359</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45359</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45359</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45359</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45359</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45359</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45359</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45359</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45359</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45359</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45359</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45359</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45359</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45359</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45359</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45359</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45359</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45359</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45359</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45359</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45359</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45359</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45359</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45359</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45359</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45359</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45359</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45359</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45359</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45359</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45359</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45359</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45359</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45359</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45359</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45359</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45359</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45359</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45359</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45359</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45359</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45359</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45359</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45359</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45359</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45359</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45359</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45359</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45359</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45359</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45359</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45359</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45359</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45359</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45359</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45359</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45359</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45359</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45359</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45359</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45359</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45359</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45359</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45359</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45359</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45359</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45359</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45359</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45359</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45359</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45359</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45359</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45359</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45359</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45359</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45359</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45359</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45359</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45359</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45359</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45359</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45359</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45359</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45359</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45359</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45359</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45359</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45359</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45359</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45359</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45359</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45359</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45359</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45359</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45359</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45359</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45359</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45359</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45359</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45359</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45359</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45359</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45359</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45359</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45359</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45359</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45359</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45359</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45359</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45359</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45359</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45359</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45359</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45359</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45359</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45359</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45359</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45359</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45359</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45359</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45359</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45359</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45359</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45359</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45359</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45359</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45359</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45359</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45359</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45359</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45359</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45359</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45359</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45359</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45359</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45359</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45359</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45359</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45359</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45359</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45359</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45359</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45359</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45359</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45359</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45359</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45359</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45359</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45359</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45359</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45359</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45359</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45359</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45359</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45359</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45359</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45359</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45359</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45359</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45359</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45359</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45359</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45359</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45359</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45359</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45359</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45359</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45359</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45359</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45359</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45359</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45359</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45359</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45359</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45359</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45359</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45359</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45359</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45359</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45359</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45359</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45359</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45359</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45359</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45359</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45359</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45359</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45359</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45359</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45359</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45359</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45359</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45359</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45359</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45359</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45359</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45359</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45359</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45359</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45359</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45359</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45359</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45359</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45359</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45359</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45359</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45359</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45359</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45359</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45359</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45359</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45359</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45359</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45359</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45359</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45359</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45359</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45359</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45359</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45359</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45359</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45359</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45359</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45359</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45359</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45359</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45359</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45359</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45359</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45359</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45359</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45359</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45359</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45359</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45359</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45359</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45359</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45359</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45359</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45359</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45359</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45359</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45359</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45359</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45359</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45359</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45359</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45359</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45359</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45359</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45359</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45359</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45359</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45359</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45359</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45359</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45359</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45359</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45359</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45359</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45359</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45359</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45359</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45359</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45359</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45359</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45359</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45359</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45359</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45359</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45359</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45359</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45359</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45359</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45359</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45359</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45359</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45359</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45359</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45359</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45359</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45359</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45359</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45359</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45359</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45359</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45359</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45359</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45359</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45359</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45359</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45359</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45359</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45359</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45359</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45359</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45359</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45359</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45359</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45359</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45359</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45359</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45359</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45359</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45359</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45359</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45359</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45359</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45359</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45359</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45359</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45359</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45359</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45359</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45359</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45359</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45359</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45359</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45359</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45359</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45359</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45359</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45359</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45359</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45359</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45359</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45359</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45359</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45359</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45359</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45359</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45359</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45359</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45359</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45359</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45359</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45359</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45359</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45359</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45359</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45359</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45359</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45359</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45359</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45359</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45359</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45359</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45359</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45359</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45359</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45359</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45359</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45359</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45359</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45359</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45359</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45359</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45359</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45359</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45359</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45359</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45359</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45359</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45359</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45359</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45359</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45359</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45359</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45359</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45359</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45359</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45359</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45359</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45359</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45359</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45359</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45359</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45359</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45359</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45359</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45359</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45359</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45359</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45359</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45359</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45359</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45359</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45359</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45359</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45359</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45359</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45359</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45359</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45359</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45359</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45359</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45359</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45359</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45359</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45359</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45359</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45359</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45359</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45359</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45359</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45359</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45359</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45359</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45359</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45359</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45359</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45359</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45359</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45359</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45359</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45359</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45359</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45359</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45359</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45359</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45359</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45359</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45359</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45359</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45359</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45359</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45359</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45359</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45359</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45359</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45359</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45359</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45359</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45359</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45359</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45359</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45359</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45359</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45359</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45359</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45359</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45359</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45359</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45359</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45359</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45359</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45359</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45359</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45359</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45359</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45359</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45359</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45359</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45359</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45359</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45359</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45359</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45359</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45359</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45359</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45359</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45359</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45359</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45359</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45359</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45359</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45359</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45359</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45359</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45359</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45359</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45359</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45359</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45359</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45359</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45359</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45359</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45359</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45359</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45359</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45359</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45359</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45359</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45359</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45359</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45359</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45359</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45359</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45359</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45359</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45359</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45359</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45359</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45359</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45359</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45359</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45359</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45359</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45359</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45359</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45359</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45359</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45359</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45359</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45359</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45359</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45359</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45359</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45359</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45359</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45359</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45359</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45359</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45359</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45359</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45359</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45359</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45359</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45359</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45359</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45359</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45359</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45359</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45359</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45359</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45359</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45359</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45359</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45359</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45359</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45359</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45359</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45359</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45359</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45359</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45359</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45359</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45359</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45359</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45359</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45359</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45359</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45359</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45359</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45359</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45359</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45359</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45359</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45359</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45359</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45359</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45359</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45359</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45359</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45359</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45359</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45359</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45359</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45359</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45359</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45359</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45359</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45359</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45359</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45359</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45359</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45359</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45359</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45359</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45359</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45359</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45359</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45359</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45359</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45359</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45359</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45359</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45359</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45359</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45359</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45359</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45359</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45359</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45359</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45359</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45359</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45359</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45359</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45359</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45359</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45359</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45359</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45359</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45359</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45359</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45359</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45359</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45359</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45359</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45359</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45359</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45359</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45359</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45359</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45359</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45359</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45359</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45359</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45359</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45359</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45359</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45359</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45359</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45359</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45359</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45359</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45359</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45359</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45359</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45359</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45359</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45359</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45359</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45359</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45359</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45359</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45359</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45359</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45359</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45359</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45359</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45359</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45359</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45359</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45359</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45359</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45359</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45359</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45359</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45359</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45359</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45359</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45359</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45359</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45359</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45359</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45359</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45359</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45359</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45359</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45359</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45359</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45359</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45359</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45359</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45359</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45359</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45359</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45359</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45359</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45359</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45359</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45359</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45359</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45359</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45359</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45359</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45359</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45359</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45359</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45359</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45359</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45359</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45359</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45359</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45359</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45359</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45359</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45359</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45359</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45359</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45359</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45359</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45359</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45359</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45359</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45359</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45359</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45359</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45359</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45359</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45359</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45359</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45359</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45359</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45359</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45359</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45359</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45359</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45359</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45359</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45359</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45359</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45359</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45359</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45359</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45359</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45359</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45359</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45359</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45359</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45359</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45359</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45359</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45359</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45359</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45359</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45359</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45359</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45359</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45359</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45359</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45359</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45359</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45359</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45359</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45359</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45359</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45359</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45359</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45359</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45359</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45359</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45359</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45359</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45359</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45359</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45359</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45359</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45359</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45359</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45359</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45359</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45359</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45359</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45359</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45359</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45359</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45359</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45359</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45359</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45359</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45359</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45359</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45359</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45359</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45359</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45359</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45359</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45359</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45359</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45359</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45359</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45359</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45359</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45359</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45359</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45359</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45359</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45359</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45359</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45359</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45359</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45359</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45359</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45359</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45359</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45359</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45359</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45359</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45359</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45359</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45359</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45359</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45359</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45359</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45359</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45359</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45359</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45359</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45359</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45359</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45359</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45359</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45359</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45359</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45359</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45359</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45359</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45359</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45359</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45359</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45359</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45359</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45359</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45359</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45359</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45359</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45359</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45359</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45359</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45359</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45359</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45359</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45359</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45359</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45359</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45359</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45359</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45359</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45359</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45359</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45359</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45359</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45359</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45359</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45359</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45359</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45359</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45359</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45359</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45359</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45359</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45359</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45359</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45359</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45359</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45359</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45359</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45359</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45359</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45359</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45359</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45359</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45359</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45359</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45359</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45359</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45359</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45359</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45359</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45359</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45359</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45359</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45359</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45359</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45359</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45359</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45359</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45359</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45359</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45359</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45359</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45359</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45359</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45359</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45359</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45359</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45359</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45359</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45359</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45359</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45359</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45359</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45359</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45359</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45359</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45359</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45359</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45359</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45359</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45359</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45359</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45359</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45359</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45359</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45359</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45359</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45359</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45359</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45359</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45359</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45359</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45359</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45359</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45359</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45359</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45359</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45359</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45359</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45359</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45359</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45359</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45359</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45359</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45359</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45359</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45359</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45359</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45359</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45359</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45359</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45359</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45359</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45359</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45359</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45359</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45359</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45359</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45359</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45359</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45359</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45359</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45359</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45359</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45359</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45359</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45359</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45359</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45359</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45359</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45359</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45359</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45359</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45359</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45359</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45359</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45359</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45359</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45359</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45359</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45359</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45359</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45359</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45359</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45359</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45359</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45359</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45359</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45359</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45359</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45359</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45359</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45359</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45359</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45359</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45359</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45359</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45359</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45359</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45359</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45359</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45359</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45359</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45359</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45359</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45359</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45359</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45359</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45359</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45359</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45359</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45359</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45359</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45359</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45359</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45359</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45359</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45359</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45359</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45359</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45359</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45359</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45359</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45359</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45359</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45359</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45359</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45359</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45359</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45359</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45359</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45359</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45359</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45359</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45359</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45359</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45359</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45359</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45359</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45359</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45359</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45359</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45359</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45359</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45359</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45359</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45359</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45359</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45359</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45359</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45359</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45359</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45359</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45359</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45359</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45359</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45359</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45359</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45359</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45359</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45359</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45359</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45359</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45359</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45359</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45359</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45359</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45359</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45359</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45359</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45359</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45359</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45359</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45359</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45359</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45359</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45359</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45359</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45359</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45359</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45359</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45359</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45359</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45359</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45359</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45359</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45359</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45359</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45359</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45359</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45359</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45359</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45359</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45359</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45359</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45359</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45359</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45359</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45359</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45359</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45359</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45359</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45359</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45359</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45359</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45359</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45359</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45359</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45359</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45359</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45359</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45359</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45359</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45359</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45359</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45359</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45359</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45359</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45359</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45359</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45359</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45359</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45359</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45359</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45359</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45359</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45359</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45359</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45359</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45359</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45359</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45359</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45359</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45359</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45359</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45359</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45359</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45359</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45359</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45359</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45359</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45359</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45359</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45359</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45359</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45359</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45359</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45359</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45359</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45359</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45359</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45359</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45359</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45359</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45359</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45359</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45359</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45359</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45359</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45359</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45359</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45359</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45359</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45359</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45359</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45359</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45359</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45359</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45359</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45359</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45359</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45359</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45359</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45359</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45359</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45359</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45359</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45359</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45359</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45359</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45359</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45359</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45359</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45359</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45359</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45359</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45359</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45359</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45359</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45359</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45359</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45359</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45359</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45359</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45359</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45359</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45359</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45359</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45359</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45359</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45359</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45359</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45359</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45359</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45359</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45359</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45359</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45359</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45359</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45359</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45359</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45359</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45359</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45359</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45359</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45359</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45359</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45359</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45359</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45359</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45359</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45359</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45359</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45359</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45359</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45359</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45359</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45359</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45359</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45359</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45359</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45359</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45359</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45359</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45359</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45359</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45359</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45359</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45359</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45359</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45359</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45359</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45359</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45359</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45359</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45359</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45359</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45359</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45359</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45359</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45359</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45359</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45359</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45359</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45359</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45359</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45359</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45359</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45359</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45359</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45359</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45359</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45359</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45359</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45359</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45359</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45359</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45359</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45359</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45359</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45359</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45359</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45359</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45359</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45359</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45359</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45359</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45359</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45359</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45359</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45359</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45359</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45359</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45359</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45359</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45359</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45359</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45359</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45359</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45359</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45359</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45359</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45359</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45359</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45359</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45359</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45359</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45359</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45359</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45359</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45359</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45359</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45359</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45359</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45359</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45359</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45359</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45359</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45359</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45359</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45359</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45359</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45359</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45359</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45359</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45359</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45359</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45359</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45359</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45359</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45359</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45359</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45359</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45359</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45359</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45359</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45359</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45359</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45359</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45359</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45359</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45359</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45359</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45359</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45359</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45359</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45359</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45359</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45359</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45359</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45359</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45359</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45359</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45359</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45359</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45359</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45359</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45359</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45359</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45359</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45359</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45359</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45359</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45359</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45359</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45359</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45359</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45359</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45359</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45359</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45359</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45359</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45359</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45359</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45359</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45359</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45359</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45359</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45359</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45359</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45359</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45359</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45359</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45359</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45359</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45359</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45359</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45359</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45359</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45359</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45359</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45359</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45359</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45359</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45359</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45359</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45359</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45359</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45359</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45359</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45359</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45359</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45359</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45359</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45359</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45359</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45359</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45359</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45359</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45359</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45359</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45359</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45359</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45359</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45359</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45359</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45359</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45359</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45359</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45359</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45359</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45359</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45359</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45359</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45359</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45359</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45359</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45359</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45359</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45359</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45359</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45359</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45359</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45359</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45359</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45359</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45359</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45359</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45359</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45359</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45359</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45359</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45359</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45359</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45359</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45359</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45359</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45359</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45359</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45359</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45359</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45359</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45359</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45359</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45359</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45359</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45359</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45359</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45359</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45359</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45359</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45359</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45359</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45359</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45359</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45359</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45359</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45359</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45359</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45359</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45359</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45359</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45359</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45359</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45359</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45359</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45359</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45359</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45359</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45359</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45359</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45359</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45359</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45359</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45359</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45359</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45359</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45359</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45359</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45359</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45359</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45359</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45359</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45359</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45359</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45359</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45359</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45359</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45359</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45359</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45359</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45359</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45359</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45359</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45359</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45359</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45359</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45359</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45359</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45359</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45359</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45359</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45359</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45359</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45359</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45359</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45359</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45359</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45359</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45359</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45359</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45359</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45359</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45359</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45359</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45359</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45359</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45359</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45359</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45359</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45359</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45359</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45359</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45359</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45359</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45359</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45359</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45359</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45359</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45359</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45359</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45359</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45359</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45359</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45359</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45359</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45359</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45359</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45359</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45359</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45359</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45359</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45359</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45359</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45359</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45359</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45359</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45359</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45359</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45359</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45359</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45359</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45359</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45359</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45359</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45359</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45359</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45359</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45359</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45359</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45359</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45359</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45359</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45359</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45359</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45359</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45359</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45359</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45359</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45359</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45359</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45359</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45359</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45359</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45359</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45359</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45359</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45359</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45359</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45359</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45359</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45359</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45359</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45359</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45359</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45359</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45359</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45359</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45359</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45359</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45359</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45359</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45359</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45359</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45359</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45359</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45359</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45359</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45359</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45359</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45359</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45359</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45359</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45359</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45359</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45359</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45359</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45359</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45359</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45359</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45359</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45359</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45359</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45359</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45359</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45359</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45359</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45359</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45359</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45359</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45359</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45359</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45359</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45359</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45359</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45359</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45359</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45359</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45359</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45359</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45359</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45359</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45359</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45359</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45359</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45359</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45359</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45359</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45359</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45359</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45359</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45359</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45359</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45359</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45359</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45359</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45359</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45359</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45359</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45359</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45359</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45359</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45359</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45359</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45359</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45359</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45359</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45359</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45359</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45359</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45359</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45359</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45359</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45359</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45359</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45359</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45359</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45359</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45359</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45359</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45359</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45359</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45359</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45359</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45359</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45359</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45359</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45359</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45359</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45359</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45359</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45359</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45359</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45359</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45359</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45359</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45359</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45359</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45359</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45359</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45359</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45359</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45359</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45359</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45359</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45359</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45359</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45359</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45359</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45359</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45359</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45359</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45359</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45359</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45359</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45359</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45359</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45359</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45359</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45359</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45359</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45359</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45359</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45359</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45359</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45359</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45359</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45359</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45359</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45359</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45359</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45359</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45359</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45359</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45359</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45359</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45359</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45359</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45359</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45359</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45359</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45359</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45359</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45359</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45359</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45359</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45359</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45359</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45359</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45359</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45359</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45359</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45359</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45359</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45359</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45359</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45359</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45359</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45359</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45359</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45359</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45359</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45359</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45359</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45359</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45359</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45359</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45359</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45359</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45359</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45359</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45359</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45359</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45359</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45359</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45359</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45359</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45359</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45359</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45359</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45359</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45359</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45359</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45359</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45359</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45359</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45359</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45359</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45359</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45359</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45359</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45359</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45359</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45359</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45359</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45359</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45359</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45359</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45359</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45359</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45359</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45359</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45359</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45359</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45359</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45359</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45359</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45359</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45359</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45359</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45359</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45359</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45359</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45359</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45359</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45359</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45359</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45359</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45359</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45359</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45359</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45359</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45359</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45359</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45359</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45359</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45359</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45359</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45359</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45359</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45359</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45359</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45359</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45359</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45359</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45359</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45359</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45359</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45359</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45359</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45359</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45359</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45359</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45359</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45359</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45359</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45359</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45359</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45359</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45359</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45359</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45359</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45359</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45359</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45359</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45359</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45359</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45359</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45359</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45359</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45359</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45359</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45359</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45359</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45359</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45359</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45359</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45359</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45359</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45359</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45359</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45359</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45359</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45359</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45359</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45359</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45359</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45359</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45359</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45359</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45359</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45359</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45359</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45359</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45359</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45359</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45359</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45359</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45359</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45359</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45359</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45359</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45359</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45359</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45359</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45359</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45359</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45359</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45359</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45359</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45359</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45359</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45359</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45359</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45359</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45359</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45359</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45359</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45359</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45359</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45359</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45359</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45359</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45359</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45359</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45359</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45359</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45359</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45359</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45359</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45359</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45359</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45359</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45359</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45359</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45359</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45359</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45359</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45359</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45359</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45359</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45359</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45359</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45359</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45359</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45359</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45359</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45359</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45359</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45359</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45359</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45359</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45359</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45359</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45359</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45359</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45359</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45359</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45359</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45359</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45359</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45359</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45359</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45359</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45359</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45359</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45359</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45359</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45359</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45359</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45359</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45359</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45359</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45359</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45359</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45359</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45359</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45359</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45359</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45359</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45359</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45359</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45359</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45359</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45359</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45359</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45359</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45359</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45359</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45359</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45359</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45359</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45359</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45359</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45359</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45359</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45359</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45359</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45359</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45359</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45359</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45359</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45359</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45359</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45359</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45359</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45359</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45359</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45359</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45359</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45359</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45359</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45359</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45359</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45359</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45359</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45359</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45359</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45359</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45359</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45359</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45359</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45359</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45359</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45359</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45359</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45359</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45359</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45359</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45359</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45359</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45359</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45359</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45359</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45359</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45359</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45359</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45359</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45359</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45359</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45359</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45359</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45359</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45359</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45359</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45359</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45359</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45359</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45359</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45359</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45359</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45359</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45359</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45359</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45359</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45359</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45359</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45359</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45359</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45359</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45359</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45359</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45359</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45359</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45359</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45359</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45359</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45359</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45359</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45359</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45359</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45359</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45359</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45359</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45359</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45359</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45359</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45359</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45359</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45359</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45359</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45359</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45359</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45359</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45359</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45359</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45359</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45359</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45359</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45359</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45359</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45359</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45359</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45359</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45359</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45359</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45359</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45359</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45359</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45359</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45359</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45359</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45359</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45359</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45359</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45359</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45359</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45359</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45359</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45359</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45359</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45359</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45359</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45359</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45359</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45359</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45359</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45359</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45359</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45359</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45359</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45359</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45359</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45359</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45359</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45359</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45359</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45359</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45359</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45359</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45359</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45359</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45359</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45359</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45359</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45359</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45359</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45359</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45359</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45359</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45359</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45359</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45359</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45359</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45359</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45359</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45359</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45359</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45359</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45359</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45359</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45359</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45359</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45359</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45359</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45359</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45359</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45359</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45359</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45359</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45359</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45359</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45359</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45359</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45359</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45359</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45359</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45359</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45359</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45359</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45359</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45359</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45359</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45359</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45359</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45359</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45359</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45359</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45359</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45359</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45359</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45359</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45359</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45359</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45359</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45359</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45359</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45359</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45359</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45359</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45359</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45359</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45359</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45359</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45359</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45359</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45359</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45359</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45359</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45359</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45359</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45359</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45359</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45359</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45359</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45359</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45359</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45359</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45359</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45359</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45359</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45359</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45359</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45359</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45359</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45359</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45359</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45359</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45359</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45359</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45359</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45359</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45359</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45359</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45359</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45359</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45359</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45359</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45359</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45359</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45359</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45359</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45359</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45359</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45359</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45359</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45359</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45359</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45359</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45359</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45359</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45359</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45359</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45359</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45359</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45359</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45359</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45359</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45359</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45359</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45359</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45359</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45359</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45359</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45359</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45359</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45359</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45359</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45359</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45359</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45359</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45359</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45359</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45359</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45359</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45359</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45359</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45359</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45359</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45359</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45359</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45359</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45359</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45359</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45359</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45359</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45359</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45359</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45359</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45359</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45359</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45359</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45359</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45359</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45359</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45359</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45359</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45359</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45359</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45359</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45359</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45359</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45359</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45359</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45359</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45359</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45359</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45359</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45359</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45359</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45359</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45359</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45359</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45359</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45359</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45359</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45359</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45359</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45359</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45359</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45359</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45359</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45359</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45359</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45359</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45359</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45359</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45359</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45359</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45359</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45359</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45359</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45359</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45359</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45359</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45359</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45359</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45359</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45359</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45359</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45359</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45359</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45359</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45359</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45359</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45359</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45359</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45359</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45359</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45359</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45359</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45359</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45359</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45359</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45359</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45359</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45359</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45359</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45359</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45359</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45359</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45359</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45359</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45359</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45359</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45359</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45359</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45359</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45359</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45359</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45359</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45359</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45359</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45359</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45359</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45359</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45359</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45359</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45359</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45359</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45359</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45359</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45359</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45359</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45359</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45359</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45359</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45359</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45359</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45359</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45359</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45359</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45359</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45359</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45359</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45359</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45359</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45359</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45359</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45359</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45359</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45359</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45359</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45359</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45359</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45359</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45359</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45359</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45359</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45359</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45359</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45359</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45359</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45359</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45359</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45359</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45359</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45359</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45359</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45359</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45359</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45359</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45359</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45359</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45359</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45359</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45359</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45359</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45359</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45359</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45359</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45359</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45359</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45359</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45359</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45359</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45359</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45359</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45359</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45359</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45359</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45359</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45359</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45359</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45359</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45359</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45359</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45359</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45359</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45359</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45359</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45359</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45359</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45359</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45359</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45359</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45359</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45359</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45359</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45359</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45359</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45359</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45359</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45359</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45359</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45359</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45359</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45359</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45359</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45359</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45359</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45359</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45359</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45359</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45359</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45359</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45359</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45359</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45359</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45359</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45359</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45359</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45359</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45359</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45359</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45359</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45359</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45359</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45359</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45359</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45359</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45359</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45359</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45359</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45359</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45359</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45359</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45359</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45359</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45359</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45359</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45359</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45359</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45359</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45359</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45359</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45359</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45359</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45359</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45359</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45359</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45359</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45359</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45359</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45359</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45359</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45359</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45359</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45359</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45359</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45359</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45359</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45359</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45359</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45359</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45359</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45359</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45359</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45359</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45359</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45359</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45359</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45359</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45359</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45359</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45359</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45359</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45359</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45359</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45359</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45359</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45359</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45359</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45359</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45359</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45359</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45359</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45359</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45359</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45359</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45359</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45359</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45359</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45359</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45359</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45359</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45359</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45359</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45359</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45359</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45359</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45359</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45359</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45359</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45359</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45359</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45359</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45359</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45359</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45359</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45359</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45359</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45359</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45359</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45359</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45359</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45359</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45359</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45359</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45359</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45359</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45359</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45359</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45359</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45359</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45359</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45359</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45359</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45359</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45359</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45359</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45359</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45359</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45359</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45359</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45359</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45359</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45359</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45359</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45359</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45359</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45359</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45359</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45359</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45359</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45359</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45359</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45359</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45359</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45359</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45359</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45359</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45359</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45359</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45359</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45359</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45359</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45359</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45359</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45359</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45359</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45359</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45359</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45359</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45359</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45359</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45359</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45359</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45359</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45359</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45359</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45359</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45359</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45359</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45359</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45359</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45359</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45359</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45359</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45359</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45359</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45359</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45359</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45359</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45359</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45359</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45359</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45359</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45359</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45359</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45359</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45359</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45359</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45359</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45359</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45359</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45359</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45359</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45359</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45359</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45359</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45359</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45359</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45359</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45359</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45359</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45359</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45359</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45359</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45359</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45359</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45359</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45359</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45359</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45359</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45359</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45359</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45359</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45359</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45359</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45359</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45359</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45359</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45359</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45359</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45359</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45359</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45359</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45359</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45359</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45359</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45359</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45359</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45359</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45359</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45359</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45359</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45359</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45359</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45359</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45359</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45359</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45359</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45359</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45359</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45359</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45359</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45359</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45359</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45359</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45359</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45359</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45359</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45359</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45359</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45359</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45359</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45359</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45359</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45359</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45359</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45359</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45359</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45359</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45359</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45359</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45359</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45359</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45359</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45359</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45359</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45359</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45359</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45359</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45359</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45359</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45359</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45359</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45359</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45359</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45359</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45359</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45359</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45359</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45359</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45359</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45359</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45359</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45359</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45359</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45359</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45359</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45359</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45359</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45359</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45359</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45359</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45359</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45359</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45359</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45359</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45359</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45359</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45359</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45359</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45359</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45359</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45359</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45359</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45359</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45359</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45359</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45359</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45359</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45359</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45359</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45359</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45359</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45359</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45359</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45359</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45359</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45359</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45359</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45359</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45359</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45359</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45359</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45359</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45359</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45359</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45359</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45359</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45359</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45359</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45359</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45359</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45359</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45359</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45359</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45359</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45359</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45359</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45359</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45359</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45359</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45359</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45359</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45359</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45359</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45359</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45359</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45359</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45359</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45359</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45359</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45359</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45359</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45359</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45359</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45359</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45359</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45359</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45359</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45359</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45359</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45359</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45359</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45359</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45359</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45359</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45359</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45359</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45359</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45359</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45359</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45359</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45359</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45359</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45359</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45359</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45359</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45359</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45359</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45359</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45359</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45359</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45359</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45359</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45359</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45359</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45359</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45359</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45359</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45359</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45359</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45359</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45359</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45359</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45359</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45359</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45359</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45359</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45359</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45359</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45359</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45359</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45359</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45359</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45359</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45359</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45359</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45359</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45359</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45359</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45359</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45359</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45359</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45359</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45359</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45359</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45359</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45359</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45359</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45359</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45359</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45359</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45359</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45359</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45359</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45359</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45359</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45359</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45359</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45359</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45359</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45359</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45359</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45359</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45359</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45359</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45359</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45359</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45359</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45359</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45359</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45359</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45359</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45359</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45359</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45359</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45359</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45359</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45359</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45359</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45359</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45359</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45359</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45359</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45359</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45359</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45359</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45359</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45359</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45359</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45359</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45359</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45359</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45359</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45359</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45359</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45359</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45359</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45359</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45359</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45359</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45359</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45359</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45359</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45359</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45359</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45359</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45359</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45359</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45359</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45359</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45359</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45359</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45359</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45359</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45359</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45359</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45359</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45359</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45359</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45359</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45359</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45359</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45359</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45359</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45359</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45359</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45359</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45359</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45359</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45359</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45359</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45359</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45359</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45359</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45359</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45359</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45359</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45359</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45359</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45359</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45359</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45359</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45359</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45359</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45359</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45359</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45359</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45359</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45359</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45359</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45359</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45359</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45359</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45359</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45359</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45359</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45359</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45359</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45359</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45359</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45359</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45359</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45359</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45359</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45359</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45359</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45359</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45359</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45359</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45359</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45359</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45359</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45359</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45359</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45359</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45359</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45359</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45359</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45359</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45359</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45359</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45359</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45359</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45359</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45359</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45359</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45359</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45359</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45359</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45359</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45359</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45359</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45359</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45359</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45359</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45359</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45359</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45359</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45359</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45359</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45359</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45359</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45359</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45359</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45359</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45359</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45359</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45359</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45359</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45359</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45359</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45359</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45359</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45359</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45359</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45359</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45359</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45359</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45359</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45359</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45359</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45359</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45359</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45359</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45359</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45359</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45359</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45359</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45359</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45359</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45359</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45359</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45359</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45359</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45359</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45359</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45359</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45359</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45359</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45359</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45359</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45359</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45359</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45359</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45359</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45359</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45359</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45359</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45359</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45359</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45359</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45359</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45359</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45359</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45359</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45359</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45359</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45359</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45359</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45359</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45359</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45359</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45359</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45359</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45359</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45359</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45359</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45359</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45359</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45359</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45359</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45359</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45359</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45359</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45359</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45359</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45359</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45359</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45359</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45359</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45359</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45359</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45359</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45359</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45359</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45359</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45359</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45359</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45359</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45359</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45359</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45359</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45359</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45359</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45359</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45359</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45359</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45359</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45359</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45359</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45359</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45359</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45359</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45359</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45359</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45359</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45359</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45359</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45359</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45359</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45359</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45359</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45359</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45359</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45359</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45359</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45359</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45359</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45359</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45359</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45359</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45359</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45359</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45359</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45359</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45359</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45359</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45359</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45359</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45359</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45359</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45359</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45359</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45359</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45359</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45359</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45359</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45359</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45359</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45359</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45359</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45359</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45359</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45359</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45359</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45359</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45359</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45359</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45359</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45359</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45359</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45359</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45359</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45359</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45359</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45359</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45359</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45359</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45359</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45359</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45359</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45359</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45359</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45359</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45359</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45359</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45359</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45359</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45359</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45359</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45359</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45359</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45359</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45359</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45359</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45359</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45359</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45359</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45359</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45359</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45359</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45359</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45359</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45359</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45359</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45359</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45359</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45359</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45359</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45359</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45359</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45359</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45359</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45359</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45359</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45359</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45359</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45359</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45359</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45359</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45359</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45359</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45359</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45359</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45359</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45359</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45359</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45359</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45359</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45359</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45359</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45359</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45359</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45359</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45359</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45359</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45359</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45359</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45359</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45359</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45359</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45359</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45359</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45359</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45359</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45359</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45359</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45359</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45359</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45359</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45359</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45359</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45359</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45359</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45359</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45359</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45359</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45359</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45359</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45359</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45359</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45359</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45359</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45359</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45359</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45359</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45359</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45359</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45359</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45359</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45359</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45359</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45359</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45359</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45359</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45359</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45359</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45359</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45359</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45359</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45359</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45359</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45359</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45359</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45359</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45359</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45359</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45359</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45359</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45359</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45359</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45359</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45359</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45359</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45359</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45359</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45359</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45359</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45359</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45359</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45359</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45359</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45359</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45359</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45359</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45359</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45359</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45359</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45359</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45359</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45359</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45359</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45359</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45359</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45359</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45359</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45359</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45359</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45359</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45359</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45359</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45359</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45359</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45359</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45359</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45359</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45359</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45359</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45359</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45359</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45359</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45359</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45359</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45359</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45359</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45359</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45359</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45359</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45359</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45359</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45359</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45359</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45359</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45359</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45359</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45359</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45359</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45359</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45359</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45359</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45359</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45359</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45359</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45359</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45359</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45359</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45359</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45359</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45359</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45359</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45359</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45359</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45359</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45359</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45359</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45359</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45359</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45359</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45359</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45359</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45359</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45359</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45359</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45359</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45359</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45359</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45359</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45359</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45359</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45359</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45359</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45359</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45359</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45359</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45359</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45359</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45359</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45359</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45359</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45359</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45359</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45359</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45359</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45359</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45359</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45359</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45359</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45359</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45359</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45359</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45359</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45359</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45359</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45359</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45359</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45359</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45359</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45359</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45359</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45359</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45359</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45359</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45359</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45359</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45359</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45359</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45359</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45359</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45359</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45359</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45359</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45359</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45359</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45359</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45359</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45359</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45359</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45359</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45359</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45359</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45359</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45359</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45359</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45359</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45359</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45359</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45359</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45359</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45359</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45359</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45359</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45359</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45359</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45359</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45359</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45359</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45359</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45359</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45359</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45359</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45359</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45359</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45359</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45359</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45359</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45359</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45359</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45359</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45359</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45359</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45359</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45359</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45359</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45359</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45359</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45359</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45359</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45359</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45359</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45359</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45359</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45359</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45359</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45359</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45359</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45359</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45359</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45359</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45359</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45359</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45359</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45359</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45359</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45359</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45359</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45359</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45359</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45359</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45359</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45359</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45359</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45359</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45359</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45359</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45359</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45359</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45359</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45359</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45359</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45359</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45359</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45359</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45359</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45359</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45359</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45359</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45359</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45359</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45359</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45359</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45359</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45359</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45359</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45359</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45359</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45359</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45359</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45359</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45359</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45359</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45359</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45359</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45359</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45359</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45359</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45359</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45359</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45359</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45359</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45359</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45359</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45359</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45359</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45359</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45359</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45359</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45359</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45359</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45359</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45359</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45359</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45359</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45359</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45359</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45359</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45359</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45359</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45359</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45359</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45359</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45359</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45359</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45359</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45359</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45359</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45359</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45359</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45359</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45359</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45359</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45359</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45359</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45359</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45359</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45359</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45359</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45359</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45359</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45359</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45359</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45359</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45359</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45359</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45359</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45359</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45359</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45359</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45359</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45359</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45359</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45359</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45359</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45359</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45359</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45359</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45359</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45359</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45359</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45359</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45359</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45359</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45359</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45359</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45359</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45359</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45359</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45359</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45359</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45359</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45359</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45359</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45359</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45359</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45359</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45359</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45359</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45359</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45359</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45359</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45359</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45359</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45359</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45359</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45359</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45359</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45359</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45359</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45359</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45359</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45359</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45359</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45359</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45359</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45359</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45359</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45359</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45359</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45359</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45359</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45359</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45359</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45359</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45359</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45359</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45359</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45359</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45359</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45359</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45359</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45359</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45359</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45359</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45359</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45359</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45359</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45359</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45359</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45359</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45359</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45359</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45359</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45359</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45359</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45359</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45359</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45359</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45359</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45359</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45359</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45359</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45359</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45359</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45359</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45359</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45359</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45359</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45359</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45359</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45359</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45359</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45359</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45359</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45359</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45359</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45359</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45359</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45359</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45359</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45359</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45359</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45359</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45359</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45359</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45359</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45359</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45359</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45359</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45359</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45359</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45359</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45359</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45359</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45359</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45359</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45359</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45359</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45359</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45359</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45359</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45359</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45359</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45359</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45359</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45359</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45359</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45359</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45359</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45359</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45359</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45359</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45359</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45359</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45359</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45359</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45359</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45359</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45359</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45359</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45359</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45359</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45359</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45359</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45359</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45359</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45359</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45359</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45359</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45359</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45359</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45359</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45359</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45359</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45359</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45359</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45359</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45359</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45359</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45359</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45359</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45359</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45359</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45359</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45359</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45359</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45359</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45359</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45359</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45359</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45359</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45359</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45359</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45359</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45359</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45359</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45359</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45359</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45359</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45359</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45359</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45359</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45359</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45359</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45359</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45359</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45359</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45359</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45359</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45359</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45359</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45359</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45359</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45359</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45359</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45359</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45359</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45359</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45359</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45359</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45359</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45359</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45359</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45359</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45359</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45359</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45359</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45359</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45359</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45359</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45359</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45359</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45359</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45359</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45359</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45359</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45359</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45359</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45359</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45359</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45359</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45359</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45359</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45359</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45359</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45359</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45359</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45359</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45359</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45359</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45359</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45359</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45359</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45359</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45359</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45359</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45359</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45359</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45359</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45359</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45359</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45359</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45359</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45359</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45359</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45359</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45359</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45359</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45359</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45359</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45359</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45359</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45359</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45359</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45359</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45359</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45359</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45359</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45359</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45359</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45359</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45359</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45359</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45359</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45359</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45359</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45359</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45359</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45359</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45359</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45359</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45359</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45359</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45359</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45359</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45359</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45359</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45359</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45359</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45359</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45359</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45359</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45359</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45359</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45359</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45359</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45359</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45359</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45359</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45359</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45359</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45359</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45359</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45359</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45359</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45359</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45359</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45359</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45359</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45359</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45359</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45359</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45359</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45359</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45359</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45359</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45359</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45359</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45359</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45359</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45359</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45359</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45359</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45359</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45359</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45359</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45359</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45359</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45359</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45359</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45359</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45359</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45359</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45359</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45359</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45359</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45359</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45359</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45359</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45359</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45359</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45359</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45359</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45359</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45359</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45359</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45359</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45359</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45359</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45359</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45359</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45359</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45359</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45359</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45359</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45359</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45359</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45359</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45359</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45359</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45359</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45359</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45359</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45359</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45359</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45359</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45359</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45359</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45359</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45359</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45359</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45359</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45359</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45359</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45359</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45359</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45359</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45359</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45359</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45359</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45359</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45359</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45359</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45359</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45359</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45359</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45359</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45359</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45359</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45359</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45359</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45359</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45359</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45359</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45359</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45359</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45359</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45359</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45359</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45359</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45359</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45359</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45359</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45359</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45359</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45359</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45359</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45359</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45359</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45359</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45359</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45359</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45359</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45359</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45359</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45359</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45359</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45359</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45359</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45359</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45359</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45359</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45359</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45359</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45359</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45359</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45359</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45359</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45359</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45359</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45359</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45359</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45359</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45359</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45359</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45359</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45359</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45359</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45359</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45359</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45359</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45359</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45359</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45359</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45359</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45359</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45359</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45359</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45359</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45359</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45359</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45359</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45359</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45359</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45359</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45359</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45359</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45359</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45359</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45359</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45359</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45359</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45359</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45359</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45359</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45359</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45359</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45359</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45359</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45359</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45359</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45359</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45359</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45359</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45359</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45359</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45359</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45359</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45359</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45359</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45359</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45359</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45359</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45359</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45359</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45359</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45359</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45359</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45359</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45359</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45359</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45359</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45359</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45359</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45359</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45359</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45359</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45359</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45359</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45359</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45359</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45359</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45359</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45359</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45359</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45359</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45359</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45359</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45359</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45359</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45359</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45359</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45359</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45359</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45359</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45359</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45359</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45359</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45359</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45359</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45359</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45359</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45359</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45359</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45359</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45359</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45359</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45359</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45359</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45359</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45359</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45359</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45359</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45359</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45359</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45359</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45359</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45359</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45359</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45359</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45359</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45359</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45359</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45359</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45359</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45359</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45359</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45359</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45359</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45359</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45359</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45359</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45359</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45359</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45359</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45359</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45359</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45359</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45359</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45359</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45359</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45359</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45359</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45359</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45359</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45359</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45359</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45359</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45359</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45359</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45359</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45359</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45359</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45359</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45359</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45359</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45359</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45359</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45359</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45359</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45359</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45359</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45359</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45359</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45359</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45359</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45359</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45359</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45359</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45359</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45359</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45359</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45359</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45359</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45359</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45359</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45359</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45359</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45359</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45359</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45359</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45359</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45359</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45359</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45359</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45359</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45359</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45359</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45359</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45359</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45359</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45359</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45359</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45359</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45359</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45359</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45359</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45359</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45359</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45359</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45359</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45359</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45359</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45359</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45359</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45359</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45359</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45359</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45359</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45359</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45359</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45359</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45359</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45359</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45359</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45359</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45359</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45359</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45359</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45359</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45359</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45359</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45359</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45359</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45359</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45359</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45359</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45359</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45359</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45359</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45359</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45359</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45359</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45359</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45359</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45359</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45359</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45359</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45359</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45359</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45359</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45359</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45359</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45359</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45359</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45359</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45359</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45359</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45359</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45359</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45359</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45359</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45359</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45359</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45359</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45359</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45359</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45359</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45359</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45359</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45359</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45359</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45359</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45359</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45359</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45359</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45359</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45359</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45359</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45359</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45359</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45359</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45359</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45359</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45359</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45359</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45359</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45359</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45359</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45359</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45359</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45359</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45359</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45359</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45359</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45359</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45359</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45359</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45359</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45359</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45359</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45359</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45359</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45359</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45359</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45359</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45359</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45359</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45359</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45359</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45359</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45359</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45359</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45359</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45359</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45359</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45359</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45359</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45359</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45359</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45359</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45359</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45359</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45359</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45359</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45359</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45359</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45359</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45359</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45359</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45359</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45359</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45359</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45359</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45359</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45359</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45359</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45359</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45359</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45359</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45359</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45359</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45359</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45359</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45359</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45359</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45359</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45359</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45359</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45359</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45359</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45359</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45359</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45359</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45359</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45359</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45359</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45359</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45359</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45359</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45359</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45359</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45359</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45359</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45359</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45359</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45359</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45359</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45359</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45359</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45359</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45359</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45359</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45359</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45359</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45359</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45359</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45359</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45359</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45359</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45359</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45359</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45359</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45359</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45359</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45359</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45359</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45359</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45359</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45359</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45359</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45359</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45359</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45359</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45359</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45359</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45359</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45359</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45359</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45359</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45359</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45359</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45359</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45359</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45359</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45359</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45359</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45359</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45359</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45359</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45359</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45359</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45359</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45359</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45359</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45359</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45359</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45359</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45359</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45359</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45359</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45359</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45359</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45359</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45359</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45359</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45359</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45359</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45359</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45359</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45359</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45359</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45359</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45359</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45359</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45359</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45359</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45359</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45359</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45359</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45359</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45359</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45359</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45359</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45359</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45359</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45359</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45359</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45359</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45359</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45359</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45359</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45359</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45359</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45359</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45359</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45359</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45359</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45359</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45359</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45359</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45359</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45359</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45359</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45359</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45359</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45359</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45359</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45359</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45359</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45359</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45359</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45359</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45359</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45359</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45359</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45359</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45359</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45359</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45359</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45359</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45359</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45359</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45359</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45359</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45359</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45359</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45359</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45359</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45359</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45359</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45359</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45359</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45359</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45359</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45359</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45359</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45359</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45359</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45359</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45359</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45359</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45359</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45359</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45359</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45359</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45359</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45359</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45359</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45359</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45359</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45359</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45359</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45359</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45359</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45359</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45359</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45359</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45359</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45359</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45359</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45359</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45359</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45359</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45359</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45359</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45359</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45359</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45359</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45359</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45359</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45359</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45359</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45359</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45359</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45359</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45359</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45359</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45359</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45359</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45359</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45359</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45359</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45359</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45359</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45359</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45359</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45359</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45359</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45359</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45359</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45359</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45359</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45359</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45359</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45359</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45359</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45359</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45359</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45359</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45359</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45359</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45359</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45359</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45359</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45359</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45359</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45359</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45359</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45359</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45359</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45359</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45359</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45359</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45359</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45359</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45359</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45359</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45359</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45359</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45359</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45359</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45359</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45359</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45359</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45359</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45359</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45359</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45359</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45359</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45359</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45359</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45359</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45359</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45359</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45359</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45359</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45359</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45359</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45359</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45359</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45359</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45359</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45359</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45359</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45359</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45359</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45359</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45359</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45359</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45359</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45359</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45359</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45359</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45359</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45359</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45359</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45359</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45359</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45359</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45359</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45359</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45359</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45359</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45359</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45359</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45359</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45359</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45359</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45359</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45359</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45359</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45359</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45359</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45359</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45359</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45359</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45359</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45359</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45359</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45359</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45359</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45359</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45359</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45359</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45359</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45359</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45359</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45359</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45359</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45359</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45359</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45359</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45359</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45359</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45359</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45359</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45359</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45359</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45359</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45359</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45359</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45359</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45359</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45359</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45359</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45359</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45359</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45359</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45359</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45359</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45359</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45359</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45359</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45359</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45359</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45359</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45359</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45359</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45359</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45359</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45359</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45359</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45359</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45359</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45359</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45359</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45359</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45359</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45359</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45359</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45359</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45359</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45359</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45359</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45359</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45359</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45359</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45359</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45359</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45359</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45359</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45359</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45359</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45359</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45359</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45359</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45359</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45359</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45359</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45359</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45359</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45359</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45359</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45359</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45359</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45359</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45359</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45359</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45359</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45359</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45359</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45359</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45359</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45359</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45359</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45359</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45359</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45359</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45359</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45359</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45359</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45359</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45359</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45359</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45359</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45359</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45359</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45359</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45359</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45359</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45359</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45359</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45359</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45359</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45359</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45359</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45359</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45359</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45359</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45359</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45359</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45359</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45359</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45359</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45359</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45359</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45359</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45359</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45359</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45359</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45359</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45359</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45359</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45359</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45359</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45359</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45359</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45359</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45359</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45359</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45359</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45359</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45359</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45359</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45359</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45359</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45359</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45359</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45359</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45359</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45359</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45359</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45359</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45359</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45359</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45359</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45359</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45359</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45359</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45359</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45359</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45359</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45359</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45359</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45359</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45359</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45359</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45359</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45359</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45359</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45359</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45359</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45359</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45359</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45359</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45359</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45359</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45359</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45359</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45359</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45359</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45359</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45359</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45359</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45359</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45359</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45359</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45359</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45359</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45359</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45359</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45359</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45359</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45359</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45359</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45359</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45359</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45359</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45359</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45359</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45359</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45359</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45359</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45359</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45359</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45359</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45359</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45359</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45359</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45359</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45359</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45359</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45359</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45359</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45359</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45359</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45359</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45359</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45359</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45359</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45359</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45359</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45359</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45359</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45359</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45359</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45359</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45359</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45359</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45359</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45359</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45359</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45359</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45359</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45359</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45359</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45359</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45359</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45359</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45359</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45359</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45359</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45359</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45359</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45359</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45359</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45359</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45359</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45359</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45359</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45359</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45359</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45359</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45359</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45359</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45359</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45359</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45359</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45359</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45359</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45359</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45359</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45359</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45359</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45359</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45359</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45359</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45359</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45359</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45359</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45359</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45359</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45359</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45359</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45359</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45359</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45359</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45359</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45359</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45359</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45359</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45359</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45359</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45359</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45359</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45359</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45359</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45359</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45359</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45359</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45359</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45359</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45359</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45359</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45359</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45359</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45359</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45359</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45359</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45359</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45359</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45359</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45359</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45359</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45359</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45359</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45359</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45359</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45359</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45359</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45359</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45359</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45359</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45359</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45359</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45359</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45359</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45359</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45359</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45359</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45359</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45359</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45359</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45359</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45359</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45359</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45359</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45359</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45359</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45359</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45359</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45359</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45359</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45359</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45359</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45359</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45359</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45359</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45359</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45359</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45359</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45359</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45359</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45359</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45359</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45359</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45359</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45359</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45359</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45359</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45359</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45359</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45359</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45359</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45359</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45359</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45359</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45359</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45359</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45359</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45359</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45359</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45359</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45359</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45359</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45359</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45359</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45359</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45359</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45359</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45359</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45359</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45359</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45359</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45359</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45359</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45359</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45359</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45359</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45359</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45359</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45359</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45359</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45359</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45359</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45359</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45359</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45359</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45359</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45359</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45359</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45359</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45359</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45359</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45359</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45359</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45359</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45359</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45359</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45359</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45359</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45359</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45359</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45359</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45359</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45359</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45359</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45359</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45359</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45359</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45359</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45359</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45359</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45359</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45359</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45359</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45359</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45359</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45359</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45359</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45359</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45359</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45359</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45359</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45359</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45359</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45359</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45359</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45359</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45359</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45359</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45359</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45359</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45359</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45359</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45359</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45359</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45359</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45359</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45359</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45359</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45359</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45359</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45359</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45359</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45359</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45359</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45359</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45359</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45359</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45359</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45359</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45359</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45359</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45359</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45359</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45359</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45359</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45359</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45359</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45359</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45359</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45359</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45359</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45359</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45359</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45359</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45359</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45359</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45359</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45359</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45359</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45359</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45359</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45359</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45359</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45359</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45359</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45359</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45359</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45359</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45359</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45359</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45359</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45359</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45359</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45359</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45359</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45359</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45359</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45359</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45359</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45359</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45359</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45359</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45359</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45359</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45359</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45359</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45359</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45359</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45359</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45359</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45359</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45359</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45359</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45359</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45359</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45359</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45359</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45359</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45359</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45359</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45359</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45359</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45359</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45359</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45359</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45359</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45359</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45359</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45359</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45359</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45359</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45359</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45359</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45359</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45359</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45359</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45359</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45359</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45359</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45359</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45359</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45359</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45359</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45359</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45359</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45359</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45359</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45359</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45359</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45359</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45359</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45359</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45359</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45359</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45359</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45359</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45359</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45359</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45359</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45359</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45359</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45359</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45359</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45359</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45359</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45359</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5092-2024</t>
        </is>
      </c>
      <c r="B10314" s="1" t="n">
        <v>45330</v>
      </c>
      <c r="C10314" s="1" t="n">
        <v>45359</v>
      </c>
      <c r="D10314" t="inlineStr">
        <is>
          <t>GÄVLEBORGS LÄN</t>
        </is>
      </c>
      <c r="E10314" t="inlineStr">
        <is>
          <t>LJUSDAL</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5081-2024</t>
        </is>
      </c>
      <c r="B10315" s="1" t="n">
        <v>45330</v>
      </c>
      <c r="C10315" s="1" t="n">
        <v>45359</v>
      </c>
      <c r="D10315" t="inlineStr">
        <is>
          <t>GÄVLEBORGS LÄN</t>
        </is>
      </c>
      <c r="E10315" t="inlineStr">
        <is>
          <t>BOLLNÄS</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5131-2024</t>
        </is>
      </c>
      <c r="B10316" s="1" t="n">
        <v>45330</v>
      </c>
      <c r="C10316" s="1" t="n">
        <v>45359</v>
      </c>
      <c r="D10316" t="inlineStr">
        <is>
          <t>GÄVLEBORGS LÄN</t>
        </is>
      </c>
      <c r="E10316" t="inlineStr">
        <is>
          <t>OCKELBO</t>
        </is>
      </c>
      <c r="F10316" t="inlineStr">
        <is>
          <t>Bergvik skog väst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5151-2024</t>
        </is>
      </c>
      <c r="B10317" s="1" t="n">
        <v>45330</v>
      </c>
      <c r="C10317" s="1" t="n">
        <v>45359</v>
      </c>
      <c r="D10317" t="inlineStr">
        <is>
          <t>GÄVLEBORGS LÄN</t>
        </is>
      </c>
      <c r="E10317" t="inlineStr">
        <is>
          <t>OVANÅKER</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5225-2024</t>
        </is>
      </c>
      <c r="B10318" s="1" t="n">
        <v>45330</v>
      </c>
      <c r="C10318" s="1" t="n">
        <v>45359</v>
      </c>
      <c r="D10318" t="inlineStr">
        <is>
          <t>GÄVLEBORGS LÄN</t>
        </is>
      </c>
      <c r="E10318" t="inlineStr">
        <is>
          <t>LJUSDAL</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5090-2024</t>
        </is>
      </c>
      <c r="B10319" s="1" t="n">
        <v>45330</v>
      </c>
      <c r="C10319" s="1" t="n">
        <v>45359</v>
      </c>
      <c r="D10319" t="inlineStr">
        <is>
          <t>GÄVLEBORGS LÄN</t>
        </is>
      </c>
      <c r="E10319" t="inlineStr">
        <is>
          <t>LJUSDAL</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5098-2024</t>
        </is>
      </c>
      <c r="B10320" s="1" t="n">
        <v>45330</v>
      </c>
      <c r="C10320" s="1" t="n">
        <v>45359</v>
      </c>
      <c r="D10320" t="inlineStr">
        <is>
          <t>GÄVLEBORGS LÄN</t>
        </is>
      </c>
      <c r="E10320" t="inlineStr">
        <is>
          <t>LJUSDAL</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5241-2024</t>
        </is>
      </c>
      <c r="B10321" s="1" t="n">
        <v>45330</v>
      </c>
      <c r="C10321" s="1" t="n">
        <v>45359</v>
      </c>
      <c r="D10321" t="inlineStr">
        <is>
          <t>GÄVLEBORGS LÄN</t>
        </is>
      </c>
      <c r="E10321" t="inlineStr">
        <is>
          <t>GÄVLE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5230-2024</t>
        </is>
      </c>
      <c r="B10322" s="1" t="n">
        <v>45330</v>
      </c>
      <c r="C10322" s="1" t="n">
        <v>45359</v>
      </c>
      <c r="D10322" t="inlineStr">
        <is>
          <t>GÄVLEBORGS LÄN</t>
        </is>
      </c>
      <c r="E10322" t="inlineStr">
        <is>
          <t>HUDIKSVALL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5243-2024</t>
        </is>
      </c>
      <c r="B10323" s="1" t="n">
        <v>45330</v>
      </c>
      <c r="C10323" s="1" t="n">
        <v>45359</v>
      </c>
      <c r="D10323" t="inlineStr">
        <is>
          <t>GÄVLEBORGS LÄN</t>
        </is>
      </c>
      <c r="E10323" t="inlineStr">
        <is>
          <t>GÄVLE</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5244-2024</t>
        </is>
      </c>
      <c r="B10324" s="1" t="n">
        <v>45330</v>
      </c>
      <c r="C10324" s="1" t="n">
        <v>45359</v>
      </c>
      <c r="D10324" t="inlineStr">
        <is>
          <t>GÄVLEBORGS LÄN</t>
        </is>
      </c>
      <c r="E10324" t="inlineStr">
        <is>
          <t>SANDVIKEN</t>
        </is>
      </c>
      <c r="G10324" t="n">
        <v>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5366-2024</t>
        </is>
      </c>
      <c r="B10325" s="1" t="n">
        <v>45331</v>
      </c>
      <c r="C10325" s="1" t="n">
        <v>45359</v>
      </c>
      <c r="D10325" t="inlineStr">
        <is>
          <t>GÄVLEBORGS LÄN</t>
        </is>
      </c>
      <c r="E10325" t="inlineStr">
        <is>
          <t>SÖDERHAMN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5385-2024</t>
        </is>
      </c>
      <c r="B10326" s="1" t="n">
        <v>45331</v>
      </c>
      <c r="C10326" s="1" t="n">
        <v>45359</v>
      </c>
      <c r="D10326" t="inlineStr">
        <is>
          <t>GÄVLEBORGS LÄN</t>
        </is>
      </c>
      <c r="E10326" t="inlineStr">
        <is>
          <t>NORDANSTIG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5416-2024</t>
        </is>
      </c>
      <c r="B10327" s="1" t="n">
        <v>45331</v>
      </c>
      <c r="C10327" s="1" t="n">
        <v>45359</v>
      </c>
      <c r="D10327" t="inlineStr">
        <is>
          <t>GÄVLEBORGS LÄN</t>
        </is>
      </c>
      <c r="E10327" t="inlineStr">
        <is>
          <t>OVANÅKER</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5309-2024</t>
        </is>
      </c>
      <c r="B10328" s="1" t="n">
        <v>45331</v>
      </c>
      <c r="C10328" s="1" t="n">
        <v>45359</v>
      </c>
      <c r="D10328" t="inlineStr">
        <is>
          <t>GÄVLEBORGS LÄN</t>
        </is>
      </c>
      <c r="E10328" t="inlineStr">
        <is>
          <t>OVANÅKER</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5388-2024</t>
        </is>
      </c>
      <c r="B10329" s="1" t="n">
        <v>45331</v>
      </c>
      <c r="C10329" s="1" t="n">
        <v>45359</v>
      </c>
      <c r="D10329" t="inlineStr">
        <is>
          <t>GÄVLEBORGS LÄN</t>
        </is>
      </c>
      <c r="E10329" t="inlineStr">
        <is>
          <t>BOLLNÄS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45359</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45359</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5535-2024</t>
        </is>
      </c>
      <c r="B10332" s="1" t="n">
        <v>45334</v>
      </c>
      <c r="C10332" s="1" t="n">
        <v>45359</v>
      </c>
      <c r="D10332" t="inlineStr">
        <is>
          <t>GÄVLEBORGS LÄN</t>
        </is>
      </c>
      <c r="E10332" t="inlineStr">
        <is>
          <t>LJUSDAL</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5554-2024</t>
        </is>
      </c>
      <c r="B10333" s="1" t="n">
        <v>45334</v>
      </c>
      <c r="C10333" s="1" t="n">
        <v>45359</v>
      </c>
      <c r="D10333" t="inlineStr">
        <is>
          <t>GÄVLEBORGS LÄN</t>
        </is>
      </c>
      <c r="E10333" t="inlineStr">
        <is>
          <t>HOFORS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5558-2024</t>
        </is>
      </c>
      <c r="B10334" s="1" t="n">
        <v>45334</v>
      </c>
      <c r="C10334" s="1" t="n">
        <v>45359</v>
      </c>
      <c r="D10334" t="inlineStr">
        <is>
          <t>GÄVLEBORGS LÄN</t>
        </is>
      </c>
      <c r="E10334" t="inlineStr">
        <is>
          <t>OCKELBO</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5534-2024</t>
        </is>
      </c>
      <c r="B10335" s="1" t="n">
        <v>45334</v>
      </c>
      <c r="C10335" s="1" t="n">
        <v>45359</v>
      </c>
      <c r="D10335" t="inlineStr">
        <is>
          <t>GÄVLEBORGS LÄN</t>
        </is>
      </c>
      <c r="E10335" t="inlineStr">
        <is>
          <t>LJUSDAL</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5571-2024</t>
        </is>
      </c>
      <c r="B10336" s="1" t="n">
        <v>45334</v>
      </c>
      <c r="C10336" s="1" t="n">
        <v>45359</v>
      </c>
      <c r="D10336" t="inlineStr">
        <is>
          <t>GÄVLEBORGS LÄN</t>
        </is>
      </c>
      <c r="E10336" t="inlineStr">
        <is>
          <t>OCKELBO</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5579-2024</t>
        </is>
      </c>
      <c r="B10337" s="1" t="n">
        <v>45334</v>
      </c>
      <c r="C10337" s="1" t="n">
        <v>45359</v>
      </c>
      <c r="D10337" t="inlineStr">
        <is>
          <t>GÄVLEBORGS LÄN</t>
        </is>
      </c>
      <c r="E10337" t="inlineStr">
        <is>
          <t>LJUSDAL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5605-2024</t>
        </is>
      </c>
      <c r="B10338" s="1" t="n">
        <v>45334</v>
      </c>
      <c r="C10338" s="1" t="n">
        <v>45359</v>
      </c>
      <c r="D10338" t="inlineStr">
        <is>
          <t>GÄVLEBORGS LÄN</t>
        </is>
      </c>
      <c r="E10338" t="inlineStr">
        <is>
          <t>GÄVLE</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5604-2024</t>
        </is>
      </c>
      <c r="B10339" s="1" t="n">
        <v>45334</v>
      </c>
      <c r="C10339" s="1" t="n">
        <v>45359</v>
      </c>
      <c r="D10339" t="inlineStr">
        <is>
          <t>GÄVLEBORGS LÄN</t>
        </is>
      </c>
      <c r="E10339" t="inlineStr">
        <is>
          <t>HUDIKSVALL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5633-2024</t>
        </is>
      </c>
      <c r="B10340" s="1" t="n">
        <v>45334</v>
      </c>
      <c r="C10340" s="1" t="n">
        <v>45359</v>
      </c>
      <c r="D10340" t="inlineStr">
        <is>
          <t>GÄVLEBORGS LÄN</t>
        </is>
      </c>
      <c r="E10340" t="inlineStr">
        <is>
          <t>GÄVLE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5620-2024</t>
        </is>
      </c>
      <c r="B10341" s="1" t="n">
        <v>45334</v>
      </c>
      <c r="C10341" s="1" t="n">
        <v>45359</v>
      </c>
      <c r="D10341" t="inlineStr">
        <is>
          <t>GÄVLEBORGS LÄN</t>
        </is>
      </c>
      <c r="E10341" t="inlineStr">
        <is>
          <t>SANDVIKEN</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5635-2024</t>
        </is>
      </c>
      <c r="B10342" s="1" t="n">
        <v>45334</v>
      </c>
      <c r="C10342" s="1" t="n">
        <v>45359</v>
      </c>
      <c r="D10342" t="inlineStr">
        <is>
          <t>GÄVLEBORGS LÄN</t>
        </is>
      </c>
      <c r="E10342" t="inlineStr">
        <is>
          <t>HUDIKSVALL</t>
        </is>
      </c>
      <c r="F10342" t="inlineStr">
        <is>
          <t>Kommuner</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45359</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5711-2024</t>
        </is>
      </c>
      <c r="B10344" s="1" t="n">
        <v>45334</v>
      </c>
      <c r="C10344" s="1" t="n">
        <v>45359</v>
      </c>
      <c r="D10344" t="inlineStr">
        <is>
          <t>GÄVLEBORGS LÄN</t>
        </is>
      </c>
      <c r="E10344" t="inlineStr">
        <is>
          <t>HUDIKSVALL</t>
        </is>
      </c>
      <c r="F10344" t="inlineStr">
        <is>
          <t>Holmen skog AB</t>
        </is>
      </c>
      <c r="G10344" t="n">
        <v>14.5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5756-2024</t>
        </is>
      </c>
      <c r="B10345" s="1" t="n">
        <v>45335</v>
      </c>
      <c r="C10345" s="1" t="n">
        <v>45359</v>
      </c>
      <c r="D10345" t="inlineStr">
        <is>
          <t>GÄVLEBORGS LÄN</t>
        </is>
      </c>
      <c r="E10345" t="inlineStr">
        <is>
          <t>BOLLNÄS</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5836-2024</t>
        </is>
      </c>
      <c r="B10346" s="1" t="n">
        <v>45335</v>
      </c>
      <c r="C10346" s="1" t="n">
        <v>45359</v>
      </c>
      <c r="D10346" t="inlineStr">
        <is>
          <t>GÄVLEBORGS LÄN</t>
        </is>
      </c>
      <c r="E10346" t="inlineStr">
        <is>
          <t>BOLLNÄS</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5838-2024</t>
        </is>
      </c>
      <c r="B10347" s="1" t="n">
        <v>45335</v>
      </c>
      <c r="C10347" s="1" t="n">
        <v>45359</v>
      </c>
      <c r="D10347" t="inlineStr">
        <is>
          <t>GÄVLEBORGS LÄN</t>
        </is>
      </c>
      <c r="E10347" t="inlineStr">
        <is>
          <t>BOLLNÄS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45359</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45359</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6016-2024</t>
        </is>
      </c>
      <c r="B10350" s="1" t="n">
        <v>45336</v>
      </c>
      <c r="C10350" s="1" t="n">
        <v>45359</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6073-2024</t>
        </is>
      </c>
      <c r="B10351" s="1" t="n">
        <v>45336</v>
      </c>
      <c r="C10351" s="1" t="n">
        <v>45359</v>
      </c>
      <c r="D10351" t="inlineStr">
        <is>
          <t>GÄVLEBORGS LÄN</t>
        </is>
      </c>
      <c r="E10351" t="inlineStr">
        <is>
          <t>LJUSDAL</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5999-2024</t>
        </is>
      </c>
      <c r="B10352" s="1" t="n">
        <v>45336</v>
      </c>
      <c r="C10352" s="1" t="n">
        <v>45359</v>
      </c>
      <c r="D10352" t="inlineStr">
        <is>
          <t>GÄVLEBORGS LÄN</t>
        </is>
      </c>
      <c r="E10352" t="inlineStr">
        <is>
          <t>NORDANSTIG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6015-2024</t>
        </is>
      </c>
      <c r="B10353" s="1" t="n">
        <v>45336</v>
      </c>
      <c r="C10353" s="1" t="n">
        <v>45359</v>
      </c>
      <c r="D10353" t="inlineStr">
        <is>
          <t>GÄVLEBORGS LÄN</t>
        </is>
      </c>
      <c r="E10353" t="inlineStr">
        <is>
          <t>HUDIKSVALL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6031-2024</t>
        </is>
      </c>
      <c r="B10354" s="1" t="n">
        <v>45336</v>
      </c>
      <c r="C10354" s="1" t="n">
        <v>45359</v>
      </c>
      <c r="D10354" t="inlineStr">
        <is>
          <t>GÄVLEBORGS LÄN</t>
        </is>
      </c>
      <c r="E10354" t="inlineStr">
        <is>
          <t>HUDIKSVALL</t>
        </is>
      </c>
      <c r="G10354" t="n">
        <v>24.4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6072-2024</t>
        </is>
      </c>
      <c r="B10355" s="1" t="n">
        <v>45336</v>
      </c>
      <c r="C10355" s="1" t="n">
        <v>45359</v>
      </c>
      <c r="D10355" t="inlineStr">
        <is>
          <t>GÄVLEBORGS LÄN</t>
        </is>
      </c>
      <c r="E10355" t="inlineStr">
        <is>
          <t>LJUSDAL</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5983-2024</t>
        </is>
      </c>
      <c r="B10356" s="1" t="n">
        <v>45336</v>
      </c>
      <c r="C10356" s="1" t="n">
        <v>45359</v>
      </c>
      <c r="D10356" t="inlineStr">
        <is>
          <t>GÄVLEBORGS LÄN</t>
        </is>
      </c>
      <c r="E10356" t="inlineStr">
        <is>
          <t>NORDANSTIG</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6062-2024</t>
        </is>
      </c>
      <c r="B10357" s="1" t="n">
        <v>45336</v>
      </c>
      <c r="C10357" s="1" t="n">
        <v>45359</v>
      </c>
      <c r="D10357" t="inlineStr">
        <is>
          <t>GÄVLEBORGS LÄN</t>
        </is>
      </c>
      <c r="E10357" t="inlineStr">
        <is>
          <t>HUDIKSVALL</t>
        </is>
      </c>
      <c r="F10357" t="inlineStr">
        <is>
          <t>Holmen skog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6074-2024</t>
        </is>
      </c>
      <c r="B10358" s="1" t="n">
        <v>45336</v>
      </c>
      <c r="C10358" s="1" t="n">
        <v>45359</v>
      </c>
      <c r="D10358" t="inlineStr">
        <is>
          <t>GÄVLEBORGS LÄN</t>
        </is>
      </c>
      <c r="E10358" t="inlineStr">
        <is>
          <t>LJUSDAL</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6191-2024</t>
        </is>
      </c>
      <c r="B10359" s="1" t="n">
        <v>45337</v>
      </c>
      <c r="C10359" s="1" t="n">
        <v>45359</v>
      </c>
      <c r="D10359" t="inlineStr">
        <is>
          <t>GÄVLEBORGS LÄN</t>
        </is>
      </c>
      <c r="E10359" t="inlineStr">
        <is>
          <t>BOLLNÄS</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6235-2024</t>
        </is>
      </c>
      <c r="B10360" s="1" t="n">
        <v>45337</v>
      </c>
      <c r="C10360" s="1" t="n">
        <v>45359</v>
      </c>
      <c r="D10360" t="inlineStr">
        <is>
          <t>GÄVLEBORGS LÄN</t>
        </is>
      </c>
      <c r="E10360" t="inlineStr">
        <is>
          <t>SANDVIKEN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6095-2024</t>
        </is>
      </c>
      <c r="B10361" s="1" t="n">
        <v>45337</v>
      </c>
      <c r="C10361" s="1" t="n">
        <v>45359</v>
      </c>
      <c r="D10361" t="inlineStr">
        <is>
          <t>GÄVLEBORGS LÄN</t>
        </is>
      </c>
      <c r="E10361" t="inlineStr">
        <is>
          <t>HUDIKSVALL</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6188-2024</t>
        </is>
      </c>
      <c r="B10362" s="1" t="n">
        <v>45337</v>
      </c>
      <c r="C10362" s="1" t="n">
        <v>45359</v>
      </c>
      <c r="D10362" t="inlineStr">
        <is>
          <t>GÄVLEBORGS LÄN</t>
        </is>
      </c>
      <c r="E10362" t="inlineStr">
        <is>
          <t>OVANÅKER</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6110-2024</t>
        </is>
      </c>
      <c r="B10363" s="1" t="n">
        <v>45337</v>
      </c>
      <c r="C10363" s="1" t="n">
        <v>45359</v>
      </c>
      <c r="D10363" t="inlineStr">
        <is>
          <t>GÄVLEBORGS LÄN</t>
        </is>
      </c>
      <c r="E10363" t="inlineStr">
        <is>
          <t>HUDIKSVALL</t>
        </is>
      </c>
      <c r="F10363" t="inlineStr">
        <is>
          <t>Kommuner</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45359</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6128-2024</t>
        </is>
      </c>
      <c r="B10365" s="1" t="n">
        <v>45337</v>
      </c>
      <c r="C10365" s="1" t="n">
        <v>45359</v>
      </c>
      <c r="D10365" t="inlineStr">
        <is>
          <t>GÄVLEBORGS LÄN</t>
        </is>
      </c>
      <c r="E10365" t="inlineStr">
        <is>
          <t>OCKELBO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6378-2024</t>
        </is>
      </c>
      <c r="B10366" s="1" t="n">
        <v>45338</v>
      </c>
      <c r="C10366" s="1" t="n">
        <v>45359</v>
      </c>
      <c r="D10366" t="inlineStr">
        <is>
          <t>GÄVLEBORGS LÄN</t>
        </is>
      </c>
      <c r="E10366" t="inlineStr">
        <is>
          <t>SÖDERHAMN</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6388-2024</t>
        </is>
      </c>
      <c r="B10367" s="1" t="n">
        <v>45338</v>
      </c>
      <c r="C10367" s="1" t="n">
        <v>45359</v>
      </c>
      <c r="D10367" t="inlineStr">
        <is>
          <t>GÄVLEBORGS LÄN</t>
        </is>
      </c>
      <c r="E10367" t="inlineStr">
        <is>
          <t>SÖDERHAMN</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6331-2024</t>
        </is>
      </c>
      <c r="B10368" s="1" t="n">
        <v>45338</v>
      </c>
      <c r="C10368" s="1" t="n">
        <v>45359</v>
      </c>
      <c r="D10368" t="inlineStr">
        <is>
          <t>GÄVLEBORGS LÄN</t>
        </is>
      </c>
      <c r="E10368" t="inlineStr">
        <is>
          <t>OVANÅKER</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6425-2024</t>
        </is>
      </c>
      <c r="B10369" s="1" t="n">
        <v>45338</v>
      </c>
      <c r="C10369" s="1" t="n">
        <v>45359</v>
      </c>
      <c r="D10369" t="inlineStr">
        <is>
          <t>GÄVLEBORGS LÄN</t>
        </is>
      </c>
      <c r="E10369" t="inlineStr">
        <is>
          <t>HUDIKSVALL</t>
        </is>
      </c>
      <c r="F10369" t="inlineStr">
        <is>
          <t>Holmen skog AB</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6389-2024</t>
        </is>
      </c>
      <c r="B10370" s="1" t="n">
        <v>45338</v>
      </c>
      <c r="C10370" s="1" t="n">
        <v>45359</v>
      </c>
      <c r="D10370" t="inlineStr">
        <is>
          <t>GÄVLEBORGS LÄN</t>
        </is>
      </c>
      <c r="E10370" t="inlineStr">
        <is>
          <t>SÖDERHAMN</t>
        </is>
      </c>
      <c r="G10370" t="n">
        <v>8.800000000000001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6467-2024</t>
        </is>
      </c>
      <c r="B10371" s="1" t="n">
        <v>45338</v>
      </c>
      <c r="C10371" s="1" t="n">
        <v>45359</v>
      </c>
      <c r="D10371" t="inlineStr">
        <is>
          <t>GÄVLEBORGS LÄN</t>
        </is>
      </c>
      <c r="E10371" t="inlineStr">
        <is>
          <t>NORDANSTIG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6469-2024</t>
        </is>
      </c>
      <c r="B10372" s="1" t="n">
        <v>45338</v>
      </c>
      <c r="C10372" s="1" t="n">
        <v>45359</v>
      </c>
      <c r="D10372" t="inlineStr">
        <is>
          <t>GÄVLEBORGS LÄN</t>
        </is>
      </c>
      <c r="E10372" t="inlineStr">
        <is>
          <t>LJUSDAL</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6474-2024</t>
        </is>
      </c>
      <c r="B10373" s="1" t="n">
        <v>45338</v>
      </c>
      <c r="C10373" s="1" t="n">
        <v>45359</v>
      </c>
      <c r="D10373" t="inlineStr">
        <is>
          <t>GÄVLEBORGS LÄN</t>
        </is>
      </c>
      <c r="E10373" t="inlineStr">
        <is>
          <t>GÄVLE</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6626-2024</t>
        </is>
      </c>
      <c r="B10374" s="1" t="n">
        <v>45341</v>
      </c>
      <c r="C10374" s="1" t="n">
        <v>45359</v>
      </c>
      <c r="D10374" t="inlineStr">
        <is>
          <t>GÄVLEBORGS LÄN</t>
        </is>
      </c>
      <c r="E10374" t="inlineStr">
        <is>
          <t>OCKELBO</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6568-2024</t>
        </is>
      </c>
      <c r="B10375" s="1" t="n">
        <v>45341</v>
      </c>
      <c r="C10375" s="1" t="n">
        <v>45359</v>
      </c>
      <c r="D10375" t="inlineStr">
        <is>
          <t>GÄVLEBORGS LÄN</t>
        </is>
      </c>
      <c r="E10375" t="inlineStr">
        <is>
          <t>OCKELBO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6581-2024</t>
        </is>
      </c>
      <c r="B10376" s="1" t="n">
        <v>45341</v>
      </c>
      <c r="C10376" s="1" t="n">
        <v>45359</v>
      </c>
      <c r="D10376" t="inlineStr">
        <is>
          <t>GÄVLEBORGS LÄN</t>
        </is>
      </c>
      <c r="E10376" t="inlineStr">
        <is>
          <t>HUDIKSVALL</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6729-2024</t>
        </is>
      </c>
      <c r="B10377" s="1" t="n">
        <v>45342</v>
      </c>
      <c r="C10377" s="1" t="n">
        <v>45359</v>
      </c>
      <c r="D10377" t="inlineStr">
        <is>
          <t>GÄVLEBORGS LÄN</t>
        </is>
      </c>
      <c r="E10377" t="inlineStr">
        <is>
          <t>LJUSDAL</t>
        </is>
      </c>
      <c r="F10377" t="inlineStr">
        <is>
          <t>Bergvik skog väst AB</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6742-2024</t>
        </is>
      </c>
      <c r="B10378" s="1" t="n">
        <v>45342</v>
      </c>
      <c r="C10378" s="1" t="n">
        <v>45359</v>
      </c>
      <c r="D10378" t="inlineStr">
        <is>
          <t>GÄVLEBORGS LÄN</t>
        </is>
      </c>
      <c r="E10378" t="inlineStr">
        <is>
          <t>OCKELBO</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6752-2024</t>
        </is>
      </c>
      <c r="B10379" s="1" t="n">
        <v>45342</v>
      </c>
      <c r="C10379" s="1" t="n">
        <v>45359</v>
      </c>
      <c r="D10379" t="inlineStr">
        <is>
          <t>GÄVLEBORGS LÄN</t>
        </is>
      </c>
      <c r="E10379" t="inlineStr">
        <is>
          <t>BOLLNÄS</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6761-2024</t>
        </is>
      </c>
      <c r="B10380" s="1" t="n">
        <v>45342</v>
      </c>
      <c r="C10380" s="1" t="n">
        <v>45359</v>
      </c>
      <c r="D10380" t="inlineStr">
        <is>
          <t>GÄVLEBORGS LÄN</t>
        </is>
      </c>
      <c r="E10380" t="inlineStr">
        <is>
          <t>OVANÅKER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6724-2024</t>
        </is>
      </c>
      <c r="B10381" s="1" t="n">
        <v>45342</v>
      </c>
      <c r="C10381" s="1" t="n">
        <v>45359</v>
      </c>
      <c r="D10381" t="inlineStr">
        <is>
          <t>GÄVLEBORGS LÄN</t>
        </is>
      </c>
      <c r="E10381" t="inlineStr">
        <is>
          <t>LJUSDAL</t>
        </is>
      </c>
      <c r="F10381" t="inlineStr">
        <is>
          <t>Bergvik skog väst AB</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6730-2024</t>
        </is>
      </c>
      <c r="B10382" s="1" t="n">
        <v>45342</v>
      </c>
      <c r="C10382" s="1" t="n">
        <v>45359</v>
      </c>
      <c r="D10382" t="inlineStr">
        <is>
          <t>GÄVLEBORGS LÄN</t>
        </is>
      </c>
      <c r="E10382" t="inlineStr">
        <is>
          <t>HUDIKSVALL</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6755-2024</t>
        </is>
      </c>
      <c r="B10383" s="1" t="n">
        <v>45342</v>
      </c>
      <c r="C10383" s="1" t="n">
        <v>45359</v>
      </c>
      <c r="D10383" t="inlineStr">
        <is>
          <t>GÄVLEBORGS LÄN</t>
        </is>
      </c>
      <c r="E10383" t="inlineStr">
        <is>
          <t>BOLLNÄS</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6792-2024</t>
        </is>
      </c>
      <c r="B10384" s="1" t="n">
        <v>45342</v>
      </c>
      <c r="C10384" s="1" t="n">
        <v>45359</v>
      </c>
      <c r="D10384" t="inlineStr">
        <is>
          <t>GÄVLEBORGS LÄN</t>
        </is>
      </c>
      <c r="E10384" t="inlineStr">
        <is>
          <t>SÖDERHAMN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6851-2024</t>
        </is>
      </c>
      <c r="B10385" s="1" t="n">
        <v>45342</v>
      </c>
      <c r="C10385" s="1" t="n">
        <v>45359</v>
      </c>
      <c r="D10385" t="inlineStr">
        <is>
          <t>GÄVLEBORGS LÄN</t>
        </is>
      </c>
      <c r="E10385" t="inlineStr">
        <is>
          <t>SÖDERHAMN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6872-2024</t>
        </is>
      </c>
      <c r="B10386" s="1" t="n">
        <v>45342</v>
      </c>
      <c r="C10386" s="1" t="n">
        <v>45359</v>
      </c>
      <c r="D10386" t="inlineStr">
        <is>
          <t>GÄVLEBORGS LÄN</t>
        </is>
      </c>
      <c r="E10386" t="inlineStr">
        <is>
          <t>HUDIKSVALL</t>
        </is>
      </c>
      <c r="F10386" t="inlineStr">
        <is>
          <t>Holmen skog AB</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6844-2024</t>
        </is>
      </c>
      <c r="B10387" s="1" t="n">
        <v>45342</v>
      </c>
      <c r="C10387" s="1" t="n">
        <v>45359</v>
      </c>
      <c r="D10387" t="inlineStr">
        <is>
          <t>GÄVLEBORGS LÄN</t>
        </is>
      </c>
      <c r="E10387" t="inlineStr">
        <is>
          <t>LJUSDAL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6802-2024</t>
        </is>
      </c>
      <c r="B10388" s="1" t="n">
        <v>45342</v>
      </c>
      <c r="C10388" s="1" t="n">
        <v>45359</v>
      </c>
      <c r="D10388" t="inlineStr">
        <is>
          <t>GÄVLEBORGS LÄN</t>
        </is>
      </c>
      <c r="E10388" t="inlineStr">
        <is>
          <t>LJUSDAL</t>
        </is>
      </c>
      <c r="F10388" t="inlineStr">
        <is>
          <t>Holmen skog AB</t>
        </is>
      </c>
      <c r="G10388" t="n">
        <v>23.2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6853-2024</t>
        </is>
      </c>
      <c r="B10389" s="1" t="n">
        <v>45342</v>
      </c>
      <c r="C10389" s="1" t="n">
        <v>45359</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6951-2024</t>
        </is>
      </c>
      <c r="B10390" s="1" t="n">
        <v>45343</v>
      </c>
      <c r="C10390" s="1" t="n">
        <v>45359</v>
      </c>
      <c r="D10390" t="inlineStr">
        <is>
          <t>GÄVLEBORGS LÄN</t>
        </is>
      </c>
      <c r="E10390" t="inlineStr">
        <is>
          <t>SANDVIKEN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6963-2024</t>
        </is>
      </c>
      <c r="B10391" s="1" t="n">
        <v>45343</v>
      </c>
      <c r="C10391" s="1" t="n">
        <v>45359</v>
      </c>
      <c r="D10391" t="inlineStr">
        <is>
          <t>GÄVLEBORGS LÄN</t>
        </is>
      </c>
      <c r="E10391" t="inlineStr">
        <is>
          <t>HOFORS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6958-2024</t>
        </is>
      </c>
      <c r="B10392" s="1" t="n">
        <v>45343</v>
      </c>
      <c r="C10392" s="1" t="n">
        <v>45359</v>
      </c>
      <c r="D10392" t="inlineStr">
        <is>
          <t>GÄVLEBORGS LÄN</t>
        </is>
      </c>
      <c r="E10392" t="inlineStr">
        <is>
          <t>HOFORS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7105-2024</t>
        </is>
      </c>
      <c r="B10393" s="1" t="n">
        <v>45343</v>
      </c>
      <c r="C10393" s="1" t="n">
        <v>45359</v>
      </c>
      <c r="D10393" t="inlineStr">
        <is>
          <t>GÄVLEBORGS LÄN</t>
        </is>
      </c>
      <c r="E10393" t="inlineStr">
        <is>
          <t>HUDIKSVALL</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7031-2024</t>
        </is>
      </c>
      <c r="B10394" s="1" t="n">
        <v>45343</v>
      </c>
      <c r="C10394" s="1" t="n">
        <v>45359</v>
      </c>
      <c r="D10394" t="inlineStr">
        <is>
          <t>GÄVLEBORGS LÄN</t>
        </is>
      </c>
      <c r="E10394" t="inlineStr">
        <is>
          <t>LJUSDAL</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6923-2024</t>
        </is>
      </c>
      <c r="B10395" s="1" t="n">
        <v>45343</v>
      </c>
      <c r="C10395" s="1" t="n">
        <v>45359</v>
      </c>
      <c r="D10395" t="inlineStr">
        <is>
          <t>GÄVLEBORGS LÄN</t>
        </is>
      </c>
      <c r="E10395" t="inlineStr">
        <is>
          <t>NORDANSTIG</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7080-2024</t>
        </is>
      </c>
      <c r="B10396" s="1" t="n">
        <v>45343</v>
      </c>
      <c r="C10396" s="1" t="n">
        <v>45359</v>
      </c>
      <c r="D10396" t="inlineStr">
        <is>
          <t>GÄVLEBORGS LÄN</t>
        </is>
      </c>
      <c r="E10396" t="inlineStr">
        <is>
          <t>NORDANSTIG</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7104-2024</t>
        </is>
      </c>
      <c r="B10397" s="1" t="n">
        <v>45343</v>
      </c>
      <c r="C10397" s="1" t="n">
        <v>45359</v>
      </c>
      <c r="D10397" t="inlineStr">
        <is>
          <t>GÄVLEBORGS LÄN</t>
        </is>
      </c>
      <c r="E10397" t="inlineStr">
        <is>
          <t>HUDIKSVALL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7103-2024</t>
        </is>
      </c>
      <c r="B10398" s="1" t="n">
        <v>45343</v>
      </c>
      <c r="C10398" s="1" t="n">
        <v>45359</v>
      </c>
      <c r="D10398" t="inlineStr">
        <is>
          <t>GÄVLEBORGS LÄN</t>
        </is>
      </c>
      <c r="E10398" t="inlineStr">
        <is>
          <t>HUDIKSVALL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7297-2024</t>
        </is>
      </c>
      <c r="B10399" s="1" t="n">
        <v>45344</v>
      </c>
      <c r="C10399" s="1" t="n">
        <v>45359</v>
      </c>
      <c r="D10399" t="inlineStr">
        <is>
          <t>GÄVLEBORGS LÄN</t>
        </is>
      </c>
      <c r="E10399" t="inlineStr">
        <is>
          <t>GÄVLE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7131-2024</t>
        </is>
      </c>
      <c r="B10400" s="1" t="n">
        <v>45344</v>
      </c>
      <c r="C10400" s="1" t="n">
        <v>45359</v>
      </c>
      <c r="D10400" t="inlineStr">
        <is>
          <t>GÄVLEBORGS LÄN</t>
        </is>
      </c>
      <c r="E10400" t="inlineStr">
        <is>
          <t>SÖDERHAMN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7135-2024</t>
        </is>
      </c>
      <c r="B10401" s="1" t="n">
        <v>45344</v>
      </c>
      <c r="C10401" s="1" t="n">
        <v>45359</v>
      </c>
      <c r="D10401" t="inlineStr">
        <is>
          <t>GÄVLEBORGS LÄN</t>
        </is>
      </c>
      <c r="E10401" t="inlineStr">
        <is>
          <t>OVANÅKER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7298-2024</t>
        </is>
      </c>
      <c r="B10402" s="1" t="n">
        <v>45344</v>
      </c>
      <c r="C10402" s="1" t="n">
        <v>45359</v>
      </c>
      <c r="D10402" t="inlineStr">
        <is>
          <t>GÄVLEBORGS LÄN</t>
        </is>
      </c>
      <c r="E10402" t="inlineStr">
        <is>
          <t>GÄVLE</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7363-2024</t>
        </is>
      </c>
      <c r="B10403" s="1" t="n">
        <v>45345</v>
      </c>
      <c r="C10403" s="1" t="n">
        <v>45359</v>
      </c>
      <c r="D10403" t="inlineStr">
        <is>
          <t>GÄVLEBORGS LÄN</t>
        </is>
      </c>
      <c r="E10403" t="inlineStr">
        <is>
          <t>SÖDERHAMN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7411-2024</t>
        </is>
      </c>
      <c r="B10404" s="1" t="n">
        <v>45345</v>
      </c>
      <c r="C10404" s="1" t="n">
        <v>45359</v>
      </c>
      <c r="D10404" t="inlineStr">
        <is>
          <t>GÄVLEBORGS LÄN</t>
        </is>
      </c>
      <c r="E10404" t="inlineStr">
        <is>
          <t>HUDIKSVALL</t>
        </is>
      </c>
      <c r="G10404" t="n">
        <v>24.2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7436-2024</t>
        </is>
      </c>
      <c r="B10405" s="1" t="n">
        <v>45345</v>
      </c>
      <c r="C10405" s="1" t="n">
        <v>45359</v>
      </c>
      <c r="D10405" t="inlineStr">
        <is>
          <t>GÄVLEBORGS LÄN</t>
        </is>
      </c>
      <c r="E10405" t="inlineStr">
        <is>
          <t>NORDANSTIG</t>
        </is>
      </c>
      <c r="F10405" t="inlineStr">
        <is>
          <t>Holmen skog AB</t>
        </is>
      </c>
      <c r="G10405" t="n">
        <v>62.5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7460-2024</t>
        </is>
      </c>
      <c r="B10406" s="1" t="n">
        <v>45345</v>
      </c>
      <c r="C10406" s="1" t="n">
        <v>45359</v>
      </c>
      <c r="D10406" t="inlineStr">
        <is>
          <t>GÄVLEBORGS LÄN</t>
        </is>
      </c>
      <c r="E10406" t="inlineStr">
        <is>
          <t>NORDANSTIG</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7348-2024</t>
        </is>
      </c>
      <c r="B10407" s="1" t="n">
        <v>45345</v>
      </c>
      <c r="C10407" s="1" t="n">
        <v>45359</v>
      </c>
      <c r="D10407" t="inlineStr">
        <is>
          <t>GÄVLEBORGS LÄN</t>
        </is>
      </c>
      <c r="E10407" t="inlineStr">
        <is>
          <t>LJUSDAL</t>
        </is>
      </c>
      <c r="F10407" t="inlineStr">
        <is>
          <t>Bergvik skog väst AB</t>
        </is>
      </c>
      <c r="G10407" t="n">
        <v>13.4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7360-2024</t>
        </is>
      </c>
      <c r="B10408" s="1" t="n">
        <v>45345</v>
      </c>
      <c r="C10408" s="1" t="n">
        <v>45359</v>
      </c>
      <c r="D10408" t="inlineStr">
        <is>
          <t>GÄVLEBORGS LÄN</t>
        </is>
      </c>
      <c r="E10408" t="inlineStr">
        <is>
          <t>SÖDERHAMN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7386-2024</t>
        </is>
      </c>
      <c r="B10409" s="1" t="n">
        <v>45345</v>
      </c>
      <c r="C10409" s="1" t="n">
        <v>45359</v>
      </c>
      <c r="D10409" t="inlineStr">
        <is>
          <t>GÄVLEBORGS LÄN</t>
        </is>
      </c>
      <c r="E10409" t="inlineStr">
        <is>
          <t>LJUSDAL</t>
        </is>
      </c>
      <c r="F10409" t="inlineStr">
        <is>
          <t>Holmen skog AB</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7513-2024</t>
        </is>
      </c>
      <c r="B10410" s="1" t="n">
        <v>45348</v>
      </c>
      <c r="C10410" s="1" t="n">
        <v>45359</v>
      </c>
      <c r="D10410" t="inlineStr">
        <is>
          <t>GÄVLEBORGS LÄN</t>
        </is>
      </c>
      <c r="E10410" t="inlineStr">
        <is>
          <t>LJUSDAL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7563-2024</t>
        </is>
      </c>
      <c r="B10411" s="1" t="n">
        <v>45348</v>
      </c>
      <c r="C10411" s="1" t="n">
        <v>45359</v>
      </c>
      <c r="D10411" t="inlineStr">
        <is>
          <t>GÄVLEBORGS LÄN</t>
        </is>
      </c>
      <c r="E10411" t="inlineStr">
        <is>
          <t>HOFORS</t>
        </is>
      </c>
      <c r="G10411" t="n">
        <v>10.8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7580-2024</t>
        </is>
      </c>
      <c r="B10412" s="1" t="n">
        <v>45348</v>
      </c>
      <c r="C10412" s="1" t="n">
        <v>45359</v>
      </c>
      <c r="D10412" t="inlineStr">
        <is>
          <t>GÄVLEBORGS LÄN</t>
        </is>
      </c>
      <c r="E10412" t="inlineStr">
        <is>
          <t>BOLLNÄS</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7606-2024</t>
        </is>
      </c>
      <c r="B10413" s="1" t="n">
        <v>45348</v>
      </c>
      <c r="C10413" s="1" t="n">
        <v>45359</v>
      </c>
      <c r="D10413" t="inlineStr">
        <is>
          <t>GÄVLEBORGS LÄN</t>
        </is>
      </c>
      <c r="E10413" t="inlineStr">
        <is>
          <t>LJUSDAL</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7514-2024</t>
        </is>
      </c>
      <c r="B10414" s="1" t="n">
        <v>45348</v>
      </c>
      <c r="C10414" s="1" t="n">
        <v>45359</v>
      </c>
      <c r="D10414" t="inlineStr">
        <is>
          <t>GÄVLEBORGS LÄN</t>
        </is>
      </c>
      <c r="E10414" t="inlineStr">
        <is>
          <t>LJUSDAL</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7614-2024</t>
        </is>
      </c>
      <c r="B10415" s="1" t="n">
        <v>45348</v>
      </c>
      <c r="C10415" s="1" t="n">
        <v>45359</v>
      </c>
      <c r="D10415" t="inlineStr">
        <is>
          <t>GÄVLEBORGS LÄN</t>
        </is>
      </c>
      <c r="E10415" t="inlineStr">
        <is>
          <t>BOLLNÄS</t>
        </is>
      </c>
      <c r="F10415" t="inlineStr">
        <is>
          <t>Kommuner</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7543-2024</t>
        </is>
      </c>
      <c r="B10416" s="1" t="n">
        <v>45348</v>
      </c>
      <c r="C10416" s="1" t="n">
        <v>45359</v>
      </c>
      <c r="D10416" t="inlineStr">
        <is>
          <t>GÄVLEBORGS LÄN</t>
        </is>
      </c>
      <c r="E10416" t="inlineStr">
        <is>
          <t>HOFORS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7547-2024</t>
        </is>
      </c>
      <c r="B10417" s="1" t="n">
        <v>45348</v>
      </c>
      <c r="C10417" s="1" t="n">
        <v>45359</v>
      </c>
      <c r="D10417" t="inlineStr">
        <is>
          <t>GÄVLEBORGS LÄN</t>
        </is>
      </c>
      <c r="E10417" t="inlineStr">
        <is>
          <t>HOFORS</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45359</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7560-2024</t>
        </is>
      </c>
      <c r="B10419" s="1" t="n">
        <v>45348</v>
      </c>
      <c r="C10419" s="1" t="n">
        <v>45359</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7709-2024</t>
        </is>
      </c>
      <c r="B10420" s="1" t="n">
        <v>45349</v>
      </c>
      <c r="C10420" s="1" t="n">
        <v>45359</v>
      </c>
      <c r="D10420" t="inlineStr">
        <is>
          <t>GÄVLEBORGS LÄN</t>
        </is>
      </c>
      <c r="E10420" t="inlineStr">
        <is>
          <t>LJUSDAL</t>
        </is>
      </c>
      <c r="F10420" t="inlineStr">
        <is>
          <t>Holmen skog AB</t>
        </is>
      </c>
      <c r="G10420" t="n">
        <v>7.5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7734-2024</t>
        </is>
      </c>
      <c r="B10421" s="1" t="n">
        <v>45349</v>
      </c>
      <c r="C10421" s="1" t="n">
        <v>45359</v>
      </c>
      <c r="D10421" t="inlineStr">
        <is>
          <t>GÄVLEBORGS LÄN</t>
        </is>
      </c>
      <c r="E10421" t="inlineStr">
        <is>
          <t>BOLLNÄS</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7724-2024</t>
        </is>
      </c>
      <c r="B10422" s="1" t="n">
        <v>45349</v>
      </c>
      <c r="C10422" s="1" t="n">
        <v>45359</v>
      </c>
      <c r="D10422" t="inlineStr">
        <is>
          <t>GÄVLEBORGS LÄN</t>
        </is>
      </c>
      <c r="E10422" t="inlineStr">
        <is>
          <t>LJUSDAL</t>
        </is>
      </c>
      <c r="F10422" t="inlineStr">
        <is>
          <t>Bergvik skog väst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7729-2024</t>
        </is>
      </c>
      <c r="B10423" s="1" t="n">
        <v>45349</v>
      </c>
      <c r="C10423" s="1" t="n">
        <v>45359</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7811-2024</t>
        </is>
      </c>
      <c r="B10424" s="1" t="n">
        <v>45349</v>
      </c>
      <c r="C10424" s="1" t="n">
        <v>45359</v>
      </c>
      <c r="D10424" t="inlineStr">
        <is>
          <t>GÄVLEBORGS LÄN</t>
        </is>
      </c>
      <c r="E10424" t="inlineStr">
        <is>
          <t>NORDANSTIG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7694-2024</t>
        </is>
      </c>
      <c r="B10425" s="1" t="n">
        <v>45349</v>
      </c>
      <c r="C10425" s="1" t="n">
        <v>45359</v>
      </c>
      <c r="D10425" t="inlineStr">
        <is>
          <t>GÄVLEBORGS LÄN</t>
        </is>
      </c>
      <c r="E10425" t="inlineStr">
        <is>
          <t>OVANÅKER</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7846-2024</t>
        </is>
      </c>
      <c r="B10426" s="1" t="n">
        <v>45350</v>
      </c>
      <c r="C10426" s="1" t="n">
        <v>45359</v>
      </c>
      <c r="D10426" t="inlineStr">
        <is>
          <t>GÄVLEBORGS LÄN</t>
        </is>
      </c>
      <c r="E10426" t="inlineStr">
        <is>
          <t>NORDANSTIG</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7693-2024</t>
        </is>
      </c>
      <c r="B10427" s="1" t="n">
        <v>45349</v>
      </c>
      <c r="C10427" s="1" t="n">
        <v>45359</v>
      </c>
      <c r="D10427" t="inlineStr">
        <is>
          <t>GÄVLEBORGS LÄN</t>
        </is>
      </c>
      <c r="E10427" t="inlineStr">
        <is>
          <t>OVANÅKER</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7731-2024</t>
        </is>
      </c>
      <c r="B10428" s="1" t="n">
        <v>45349</v>
      </c>
      <c r="C10428" s="1" t="n">
        <v>45359</v>
      </c>
      <c r="D10428" t="inlineStr">
        <is>
          <t>GÄVLEBORGS LÄN</t>
        </is>
      </c>
      <c r="E10428" t="inlineStr">
        <is>
          <t>LJUSDAL</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7836-2024</t>
        </is>
      </c>
      <c r="B10429" s="1" t="n">
        <v>45349</v>
      </c>
      <c r="C10429" s="1" t="n">
        <v>45359</v>
      </c>
      <c r="D10429" t="inlineStr">
        <is>
          <t>GÄVLEBORGS LÄN</t>
        </is>
      </c>
      <c r="E10429" t="inlineStr">
        <is>
          <t>HUDIKSVALL</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7923-2024</t>
        </is>
      </c>
      <c r="B10430" s="1" t="n">
        <v>45350</v>
      </c>
      <c r="C10430" s="1" t="n">
        <v>45359</v>
      </c>
      <c r="D10430" t="inlineStr">
        <is>
          <t>GÄVLEBORGS LÄN</t>
        </is>
      </c>
      <c r="E10430" t="inlineStr">
        <is>
          <t>GÄVLE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7915-2024</t>
        </is>
      </c>
      <c r="B10431" s="1" t="n">
        <v>45350</v>
      </c>
      <c r="C10431" s="1" t="n">
        <v>45359</v>
      </c>
      <c r="D10431" t="inlineStr">
        <is>
          <t>GÄVLEBORGS LÄN</t>
        </is>
      </c>
      <c r="E10431" t="inlineStr">
        <is>
          <t>GÄVLE</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7919-2024</t>
        </is>
      </c>
      <c r="B10432" s="1" t="n">
        <v>45350</v>
      </c>
      <c r="C10432" s="1" t="n">
        <v>45359</v>
      </c>
      <c r="D10432" t="inlineStr">
        <is>
          <t>GÄVLEBORGS LÄN</t>
        </is>
      </c>
      <c r="E10432" t="inlineStr">
        <is>
          <t>SANDVIKEN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7992-2024</t>
        </is>
      </c>
      <c r="B10433" s="1" t="n">
        <v>45350</v>
      </c>
      <c r="C10433" s="1" t="n">
        <v>45359</v>
      </c>
      <c r="D10433" t="inlineStr">
        <is>
          <t>GÄVLEBORGS LÄN</t>
        </is>
      </c>
      <c r="E10433" t="inlineStr">
        <is>
          <t>HUDIKSVALL</t>
        </is>
      </c>
      <c r="F10433" t="inlineStr">
        <is>
          <t>Holmen skog AB</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7886-2024</t>
        </is>
      </c>
      <c r="B10434" s="1" t="n">
        <v>45350</v>
      </c>
      <c r="C10434" s="1" t="n">
        <v>45359</v>
      </c>
      <c r="D10434" t="inlineStr">
        <is>
          <t>GÄVLEBORGS LÄN</t>
        </is>
      </c>
      <c r="E10434" t="inlineStr">
        <is>
          <t>SANDVIKEN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7899-2024</t>
        </is>
      </c>
      <c r="B10435" s="1" t="n">
        <v>45350</v>
      </c>
      <c r="C10435" s="1" t="n">
        <v>45359</v>
      </c>
      <c r="D10435" t="inlineStr">
        <is>
          <t>GÄVLEBORGS LÄN</t>
        </is>
      </c>
      <c r="E10435" t="inlineStr">
        <is>
          <t>GÄVLE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7994-2024</t>
        </is>
      </c>
      <c r="B10436" s="1" t="n">
        <v>45350</v>
      </c>
      <c r="C10436" s="1" t="n">
        <v>45359</v>
      </c>
      <c r="D10436" t="inlineStr">
        <is>
          <t>GÄVLEBORGS LÄN</t>
        </is>
      </c>
      <c r="E10436" t="inlineStr">
        <is>
          <t>LJUSDAL</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8032-2024</t>
        </is>
      </c>
      <c r="B10437" s="1" t="n">
        <v>45350</v>
      </c>
      <c r="C10437" s="1" t="n">
        <v>45359</v>
      </c>
      <c r="D10437" t="inlineStr">
        <is>
          <t>GÄVLEBORGS LÄN</t>
        </is>
      </c>
      <c r="E10437" t="inlineStr">
        <is>
          <t>OVANÅKER</t>
        </is>
      </c>
      <c r="G10437" t="n">
        <v>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8027-2024</t>
        </is>
      </c>
      <c r="B10438" s="1" t="n">
        <v>45350</v>
      </c>
      <c r="C10438" s="1" t="n">
        <v>45359</v>
      </c>
      <c r="D10438" t="inlineStr">
        <is>
          <t>GÄVLEBORGS LÄN</t>
        </is>
      </c>
      <c r="E10438" t="inlineStr">
        <is>
          <t>HUDIKSVALL</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8031-2024</t>
        </is>
      </c>
      <c r="B10439" s="1" t="n">
        <v>45350</v>
      </c>
      <c r="C10439" s="1" t="n">
        <v>45359</v>
      </c>
      <c r="D10439" t="inlineStr">
        <is>
          <t>GÄVLEBORGS LÄN</t>
        </is>
      </c>
      <c r="E10439" t="inlineStr">
        <is>
          <t>GÄVLE</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8040-2024</t>
        </is>
      </c>
      <c r="B10440" s="1" t="n">
        <v>45350</v>
      </c>
      <c r="C10440" s="1" t="n">
        <v>45359</v>
      </c>
      <c r="D10440" t="inlineStr">
        <is>
          <t>GÄVLEBORGS LÄN</t>
        </is>
      </c>
      <c r="E10440" t="inlineStr">
        <is>
          <t>NORDANSTIG</t>
        </is>
      </c>
      <c r="F10440" t="inlineStr">
        <is>
          <t>SCA</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7907-2024</t>
        </is>
      </c>
      <c r="B10441" s="1" t="n">
        <v>45350</v>
      </c>
      <c r="C10441" s="1" t="n">
        <v>45359</v>
      </c>
      <c r="D10441" t="inlineStr">
        <is>
          <t>GÄVLEBORGS LÄN</t>
        </is>
      </c>
      <c r="E10441" t="inlineStr">
        <is>
          <t>HUDIKSVALL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7920-2024</t>
        </is>
      </c>
      <c r="B10442" s="1" t="n">
        <v>45350</v>
      </c>
      <c r="C10442" s="1" t="n">
        <v>45359</v>
      </c>
      <c r="D10442" t="inlineStr">
        <is>
          <t>GÄVLEBORGS LÄN</t>
        </is>
      </c>
      <c r="E10442" t="inlineStr">
        <is>
          <t>GÄVLE</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7926-2024</t>
        </is>
      </c>
      <c r="B10443" s="1" t="n">
        <v>45350</v>
      </c>
      <c r="C10443" s="1" t="n">
        <v>45359</v>
      </c>
      <c r="D10443" t="inlineStr">
        <is>
          <t>GÄVLEBORGS LÄN</t>
        </is>
      </c>
      <c r="E10443" t="inlineStr">
        <is>
          <t>GÄVLE</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7997-2024</t>
        </is>
      </c>
      <c r="B10444" s="1" t="n">
        <v>45350</v>
      </c>
      <c r="C10444" s="1" t="n">
        <v>45359</v>
      </c>
      <c r="D10444" t="inlineStr">
        <is>
          <t>GÄVLEBORGS LÄN</t>
        </is>
      </c>
      <c r="E10444" t="inlineStr">
        <is>
          <t>OVANÅKER</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8061-2024</t>
        </is>
      </c>
      <c r="B10445" s="1" t="n">
        <v>45351</v>
      </c>
      <c r="C10445" s="1" t="n">
        <v>45359</v>
      </c>
      <c r="D10445" t="inlineStr">
        <is>
          <t>GÄVLEBORGS LÄN</t>
        </is>
      </c>
      <c r="E10445" t="inlineStr">
        <is>
          <t>LJUSDAL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8080-2024</t>
        </is>
      </c>
      <c r="B10446" s="1" t="n">
        <v>45351</v>
      </c>
      <c r="C10446" s="1" t="n">
        <v>45359</v>
      </c>
      <c r="D10446" t="inlineStr">
        <is>
          <t>GÄVLEBORGS LÄN</t>
        </is>
      </c>
      <c r="E10446" t="inlineStr">
        <is>
          <t>SÖDERHAMN</t>
        </is>
      </c>
      <c r="G10446" t="n">
        <v>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8081-2024</t>
        </is>
      </c>
      <c r="B10447" s="1" t="n">
        <v>45351</v>
      </c>
      <c r="C10447" s="1" t="n">
        <v>45359</v>
      </c>
      <c r="D10447" t="inlineStr">
        <is>
          <t>GÄVLEBORGS LÄN</t>
        </is>
      </c>
      <c r="E10447" t="inlineStr">
        <is>
          <t>LJUSDAL</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8096-2024</t>
        </is>
      </c>
      <c r="B10448" s="1" t="n">
        <v>45351</v>
      </c>
      <c r="C10448" s="1" t="n">
        <v>45359</v>
      </c>
      <c r="D10448" t="inlineStr">
        <is>
          <t>GÄVLEBORGS LÄN</t>
        </is>
      </c>
      <c r="E10448" t="inlineStr">
        <is>
          <t>HUDIKSVALL</t>
        </is>
      </c>
      <c r="F10448" t="inlineStr">
        <is>
          <t>Holmen skog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8233-2024</t>
        </is>
      </c>
      <c r="B10449" s="1" t="n">
        <v>45351</v>
      </c>
      <c r="C10449" s="1" t="n">
        <v>45359</v>
      </c>
      <c r="D10449" t="inlineStr">
        <is>
          <t>GÄVLEBORGS LÄN</t>
        </is>
      </c>
      <c r="E10449" t="inlineStr">
        <is>
          <t>BOLLNÄS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8119-2024</t>
        </is>
      </c>
      <c r="B10450" s="1" t="n">
        <v>45351</v>
      </c>
      <c r="C10450" s="1" t="n">
        <v>45359</v>
      </c>
      <c r="D10450" t="inlineStr">
        <is>
          <t>GÄVLEBORGS LÄN</t>
        </is>
      </c>
      <c r="E10450" t="inlineStr">
        <is>
          <t>BOLLNÄS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8051-2024</t>
        </is>
      </c>
      <c r="B10451" s="1" t="n">
        <v>45351</v>
      </c>
      <c r="C10451" s="1" t="n">
        <v>45359</v>
      </c>
      <c r="D10451" t="inlineStr">
        <is>
          <t>GÄVLEBORGS LÄN</t>
        </is>
      </c>
      <c r="E10451" t="inlineStr">
        <is>
          <t>HUDIKSVALL</t>
        </is>
      </c>
      <c r="F10451" t="inlineStr">
        <is>
          <t>Holmen skog AB</t>
        </is>
      </c>
      <c r="G10451" t="n">
        <v>12.9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8142-2024</t>
        </is>
      </c>
      <c r="B10452" s="1" t="n">
        <v>45351</v>
      </c>
      <c r="C10452" s="1" t="n">
        <v>45359</v>
      </c>
      <c r="D10452" t="inlineStr">
        <is>
          <t>GÄVLEBORGS LÄN</t>
        </is>
      </c>
      <c r="E10452" t="inlineStr">
        <is>
          <t>LJUSDAL</t>
        </is>
      </c>
      <c r="F10452" t="inlineStr">
        <is>
          <t>Holmen skog AB</t>
        </is>
      </c>
      <c r="G10452" t="n">
        <v>17.1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8302-2024</t>
        </is>
      </c>
      <c r="B10453" s="1" t="n">
        <v>45352</v>
      </c>
      <c r="C10453" s="1" t="n">
        <v>45359</v>
      </c>
      <c r="D10453" t="inlineStr">
        <is>
          <t>GÄVLEBORGS LÄN</t>
        </is>
      </c>
      <c r="E10453" t="inlineStr">
        <is>
          <t>BOLLNÄS</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8308-2024</t>
        </is>
      </c>
      <c r="B10454" s="1" t="n">
        <v>45352</v>
      </c>
      <c r="C10454" s="1" t="n">
        <v>45359</v>
      </c>
      <c r="D10454" t="inlineStr">
        <is>
          <t>GÄVLEBORGS LÄN</t>
        </is>
      </c>
      <c r="E10454" t="inlineStr">
        <is>
          <t>BOLLNÄS</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8327-2024</t>
        </is>
      </c>
      <c r="B10455" s="1" t="n">
        <v>45352</v>
      </c>
      <c r="C10455" s="1" t="n">
        <v>45359</v>
      </c>
      <c r="D10455" t="inlineStr">
        <is>
          <t>GÄVLEBORGS LÄN</t>
        </is>
      </c>
      <c r="E10455" t="inlineStr">
        <is>
          <t>BOLLNÄS</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8335-2024</t>
        </is>
      </c>
      <c r="B10456" s="1" t="n">
        <v>45352</v>
      </c>
      <c r="C10456" s="1" t="n">
        <v>45359</v>
      </c>
      <c r="D10456" t="inlineStr">
        <is>
          <t>GÄVLEBORGS LÄN</t>
        </is>
      </c>
      <c r="E10456" t="inlineStr">
        <is>
          <t>LJUSDAL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8384-2024</t>
        </is>
      </c>
      <c r="B10457" s="1" t="n">
        <v>45352</v>
      </c>
      <c r="C10457" s="1" t="n">
        <v>45359</v>
      </c>
      <c r="D10457" t="inlineStr">
        <is>
          <t>GÄVLEBORGS LÄN</t>
        </is>
      </c>
      <c r="E10457" t="inlineStr">
        <is>
          <t>LJUSDAL</t>
        </is>
      </c>
      <c r="G10457" t="n">
        <v>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8397-2024</t>
        </is>
      </c>
      <c r="B10458" s="1" t="n">
        <v>45352</v>
      </c>
      <c r="C10458" s="1" t="n">
        <v>45359</v>
      </c>
      <c r="D10458" t="inlineStr">
        <is>
          <t>GÄVLEBORGS LÄN</t>
        </is>
      </c>
      <c r="E10458" t="inlineStr">
        <is>
          <t>NORDANSTIG</t>
        </is>
      </c>
      <c r="F10458" t="inlineStr">
        <is>
          <t>Holmen skog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8289-2024</t>
        </is>
      </c>
      <c r="B10459" s="1" t="n">
        <v>45352</v>
      </c>
      <c r="C10459" s="1" t="n">
        <v>45359</v>
      </c>
      <c r="D10459" t="inlineStr">
        <is>
          <t>GÄVLEBORGS LÄN</t>
        </is>
      </c>
      <c r="E10459" t="inlineStr">
        <is>
          <t>LJUSDAL</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8323-2024</t>
        </is>
      </c>
      <c r="B10460" s="1" t="n">
        <v>45352</v>
      </c>
      <c r="C10460" s="1" t="n">
        <v>45359</v>
      </c>
      <c r="D10460" t="inlineStr">
        <is>
          <t>GÄVLEBORGS LÄN</t>
        </is>
      </c>
      <c r="E10460" t="inlineStr">
        <is>
          <t>BOLLNÄS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45359</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8395-2024</t>
        </is>
      </c>
      <c r="B10462" s="1" t="n">
        <v>45352</v>
      </c>
      <c r="C10462" s="1" t="n">
        <v>45359</v>
      </c>
      <c r="D10462" t="inlineStr">
        <is>
          <t>GÄVLEBORGS LÄN</t>
        </is>
      </c>
      <c r="E10462" t="inlineStr">
        <is>
          <t>NORDANSTIG</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8434-2024</t>
        </is>
      </c>
      <c r="B10463" s="1" t="n">
        <v>45353</v>
      </c>
      <c r="C10463" s="1" t="n">
        <v>45359</v>
      </c>
      <c r="D10463" t="inlineStr">
        <is>
          <t>GÄVLEBORGS LÄN</t>
        </is>
      </c>
      <c r="E10463" t="inlineStr">
        <is>
          <t>HUDIKSVALL</t>
        </is>
      </c>
      <c r="F10463" t="inlineStr">
        <is>
          <t>Holmen skog AB</t>
        </is>
      </c>
      <c r="G10463" t="n">
        <v>10.1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8487-2024</t>
        </is>
      </c>
      <c r="B10464" s="1" t="n">
        <v>45355</v>
      </c>
      <c r="C10464" s="1" t="n">
        <v>45359</v>
      </c>
      <c r="D10464" t="inlineStr">
        <is>
          <t>GÄVLEBORGS LÄN</t>
        </is>
      </c>
      <c r="E10464" t="inlineStr">
        <is>
          <t>HUDIKSVALL</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8496-2024</t>
        </is>
      </c>
      <c r="B10465" s="1" t="n">
        <v>45355</v>
      </c>
      <c r="C10465" s="1" t="n">
        <v>45359</v>
      </c>
      <c r="D10465" t="inlineStr">
        <is>
          <t>GÄVLEBORGS LÄN</t>
        </is>
      </c>
      <c r="E10465" t="inlineStr">
        <is>
          <t>HUDIKSVALL</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8486-2024</t>
        </is>
      </c>
      <c r="B10466" s="1" t="n">
        <v>45355</v>
      </c>
      <c r="C10466" s="1" t="n">
        <v>45359</v>
      </c>
      <c r="D10466" t="inlineStr">
        <is>
          <t>GÄVLEBORGS LÄN</t>
        </is>
      </c>
      <c r="E10466" t="inlineStr">
        <is>
          <t>HUDIKSVALL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8494-2024</t>
        </is>
      </c>
      <c r="B10467" s="1" t="n">
        <v>45355</v>
      </c>
      <c r="C10467" s="1" t="n">
        <v>45359</v>
      </c>
      <c r="D10467" t="inlineStr">
        <is>
          <t>GÄVLEBORGS LÄN</t>
        </is>
      </c>
      <c r="E10467" t="inlineStr">
        <is>
          <t>HUDIKSVALL</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8515-2024</t>
        </is>
      </c>
      <c r="B10468" s="1" t="n">
        <v>45355</v>
      </c>
      <c r="C10468" s="1" t="n">
        <v>45359</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8522-2024</t>
        </is>
      </c>
      <c r="B10469" s="1" t="n">
        <v>45355</v>
      </c>
      <c r="C10469" s="1" t="n">
        <v>45359</v>
      </c>
      <c r="D10469" t="inlineStr">
        <is>
          <t>GÄVLEBORGS LÄN</t>
        </is>
      </c>
      <c r="E10469" t="inlineStr">
        <is>
          <t>HUDIKSVALL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8573-2024</t>
        </is>
      </c>
      <c r="B10470" s="1" t="n">
        <v>45355</v>
      </c>
      <c r="C10470" s="1" t="n">
        <v>45359</v>
      </c>
      <c r="D10470" t="inlineStr">
        <is>
          <t>GÄVLEBORGS LÄN</t>
        </is>
      </c>
      <c r="E10470" t="inlineStr">
        <is>
          <t>BOLLNÄS</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8691-2024</t>
        </is>
      </c>
      <c r="B10471" s="1" t="n">
        <v>45356</v>
      </c>
      <c r="C10471" s="1" t="n">
        <v>45359</v>
      </c>
      <c r="D10471" t="inlineStr">
        <is>
          <t>GÄVLEBORGS LÄN</t>
        </is>
      </c>
      <c r="E10471" t="inlineStr">
        <is>
          <t>GÄVLE</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8695-2024</t>
        </is>
      </c>
      <c r="B10472" s="1" t="n">
        <v>45356</v>
      </c>
      <c r="C10472" s="1" t="n">
        <v>45359</v>
      </c>
      <c r="D10472" t="inlineStr">
        <is>
          <t>GÄVLEBORGS LÄN</t>
        </is>
      </c>
      <c r="E10472" t="inlineStr">
        <is>
          <t>SANDVIKEN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8667-2024</t>
        </is>
      </c>
      <c r="B10473" s="1" t="n">
        <v>45356</v>
      </c>
      <c r="C10473" s="1" t="n">
        <v>45359</v>
      </c>
      <c r="D10473" t="inlineStr">
        <is>
          <t>GÄVLEBORGS LÄN</t>
        </is>
      </c>
      <c r="E10473" t="inlineStr">
        <is>
          <t>LJUSDAL</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8693-2024</t>
        </is>
      </c>
      <c r="B10474" s="1" t="n">
        <v>45356</v>
      </c>
      <c r="C10474" s="1" t="n">
        <v>45359</v>
      </c>
      <c r="D10474" t="inlineStr">
        <is>
          <t>GÄVLEBORGS LÄN</t>
        </is>
      </c>
      <c r="E10474" t="inlineStr">
        <is>
          <t>GÄVLE</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8698-2024</t>
        </is>
      </c>
      <c r="B10475" s="1" t="n">
        <v>45356</v>
      </c>
      <c r="C10475" s="1" t="n">
        <v>45359</v>
      </c>
      <c r="D10475" t="inlineStr">
        <is>
          <t>GÄVLEBORGS LÄN</t>
        </is>
      </c>
      <c r="E10475" t="inlineStr">
        <is>
          <t>SANDVIKEN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8768-2024</t>
        </is>
      </c>
      <c r="B10476" s="1" t="n">
        <v>45356</v>
      </c>
      <c r="C10476" s="1" t="n">
        <v>45359</v>
      </c>
      <c r="D10476" t="inlineStr">
        <is>
          <t>GÄVLEBORGS LÄN</t>
        </is>
      </c>
      <c r="E10476" t="inlineStr">
        <is>
          <t>SÖDERHAMN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8776-2024</t>
        </is>
      </c>
      <c r="B10477" s="1" t="n">
        <v>45356</v>
      </c>
      <c r="C10477" s="1" t="n">
        <v>45359</v>
      </c>
      <c r="D10477" t="inlineStr">
        <is>
          <t>GÄVLEBORGS LÄN</t>
        </is>
      </c>
      <c r="E10477" t="inlineStr">
        <is>
          <t>BOLLNÄS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8979-2024</t>
        </is>
      </c>
      <c r="B10478" s="1" t="n">
        <v>45357</v>
      </c>
      <c r="C10478" s="1" t="n">
        <v>45359</v>
      </c>
      <c r="D10478" t="inlineStr">
        <is>
          <t>GÄVLEBORGS LÄN</t>
        </is>
      </c>
      <c r="E10478" t="inlineStr">
        <is>
          <t>LJUSDAL</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9053-2024</t>
        </is>
      </c>
      <c r="B10479" s="1" t="n">
        <v>45357</v>
      </c>
      <c r="C10479" s="1" t="n">
        <v>45359</v>
      </c>
      <c r="D10479" t="inlineStr">
        <is>
          <t>GÄVLEBORGS LÄN</t>
        </is>
      </c>
      <c r="E10479" t="inlineStr">
        <is>
          <t>SANDVIKEN</t>
        </is>
      </c>
      <c r="G10479" t="n">
        <v>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9058-2024</t>
        </is>
      </c>
      <c r="B10480" s="1" t="n">
        <v>45357</v>
      </c>
      <c r="C10480" s="1" t="n">
        <v>45359</v>
      </c>
      <c r="D10480" t="inlineStr">
        <is>
          <t>GÄVLEBORGS LÄN</t>
        </is>
      </c>
      <c r="E10480" t="inlineStr">
        <is>
          <t>SANDVIKEN</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9062-2024</t>
        </is>
      </c>
      <c r="B10481" s="1" t="n">
        <v>45357</v>
      </c>
      <c r="C10481" s="1" t="n">
        <v>45359</v>
      </c>
      <c r="D10481" t="inlineStr">
        <is>
          <t>GÄVLEBORGS LÄN</t>
        </is>
      </c>
      <c r="E10481" t="inlineStr">
        <is>
          <t>SANDVIKEN</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9110-2024</t>
        </is>
      </c>
      <c r="B10482" s="1" t="n">
        <v>45358</v>
      </c>
      <c r="C10482" s="1" t="n">
        <v>45359</v>
      </c>
      <c r="D10482" t="inlineStr">
        <is>
          <t>GÄVLEBORGS LÄN</t>
        </is>
      </c>
      <c r="E10482" t="inlineStr">
        <is>
          <t>HUDIKSVALL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9059-2024</t>
        </is>
      </c>
      <c r="B10483" s="1" t="n">
        <v>45357</v>
      </c>
      <c r="C10483" s="1" t="n">
        <v>45359</v>
      </c>
      <c r="D10483" t="inlineStr">
        <is>
          <t>GÄVLEBORGS LÄN</t>
        </is>
      </c>
      <c r="E10483" t="inlineStr">
        <is>
          <t>SANDVIKEN</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9025-2024</t>
        </is>
      </c>
      <c r="B10484" s="1" t="n">
        <v>45357</v>
      </c>
      <c r="C10484" s="1" t="n">
        <v>45359</v>
      </c>
      <c r="D10484" t="inlineStr">
        <is>
          <t>GÄVLEBORGS LÄN</t>
        </is>
      </c>
      <c r="E10484" t="inlineStr">
        <is>
          <t>BOLLNÄS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9111-2024</t>
        </is>
      </c>
      <c r="B10485" s="1" t="n">
        <v>45358</v>
      </c>
      <c r="C10485" s="1" t="n">
        <v>45359</v>
      </c>
      <c r="D10485" t="inlineStr">
        <is>
          <t>GÄVLEBORGS LÄN</t>
        </is>
      </c>
      <c r="E10485" t="inlineStr">
        <is>
          <t>LJUSDAL</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9131-2024</t>
        </is>
      </c>
      <c r="B10486" s="1" t="n">
        <v>45358</v>
      </c>
      <c r="C10486" s="1" t="n">
        <v>45359</v>
      </c>
      <c r="D10486" t="inlineStr">
        <is>
          <t>GÄVLEBORGS LÄN</t>
        </is>
      </c>
      <c r="E10486" t="inlineStr">
        <is>
          <t>NORDANSTIG</t>
        </is>
      </c>
      <c r="F10486" t="inlineStr">
        <is>
          <t>Holmen skog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9232-2024</t>
        </is>
      </c>
      <c r="B10487" s="1" t="n">
        <v>45358</v>
      </c>
      <c r="C10487" s="1" t="n">
        <v>45359</v>
      </c>
      <c r="D10487" t="inlineStr">
        <is>
          <t>GÄVLEBORGS LÄN</t>
        </is>
      </c>
      <c r="E10487" t="inlineStr">
        <is>
          <t>LJUSDAL</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9220-2024</t>
        </is>
      </c>
      <c r="B10488" s="1" t="n">
        <v>45358</v>
      </c>
      <c r="C10488" s="1" t="n">
        <v>45359</v>
      </c>
      <c r="D10488" t="inlineStr">
        <is>
          <t>GÄVLEBORGS LÄN</t>
        </is>
      </c>
      <c r="E10488" t="inlineStr">
        <is>
          <t>LJUSDAL</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9224-2024</t>
        </is>
      </c>
      <c r="B10489" s="1" t="n">
        <v>45358</v>
      </c>
      <c r="C10489" s="1" t="n">
        <v>45359</v>
      </c>
      <c r="D10489" t="inlineStr">
        <is>
          <t>GÄVLEBORGS LÄN</t>
        </is>
      </c>
      <c r="E10489" t="inlineStr">
        <is>
          <t>LJUSDAL</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9243-2024</t>
        </is>
      </c>
      <c r="B10490" s="1" t="n">
        <v>45358</v>
      </c>
      <c r="C10490" s="1" t="n">
        <v>45359</v>
      </c>
      <c r="D10490" t="inlineStr">
        <is>
          <t>GÄVLEBORGS LÄN</t>
        </is>
      </c>
      <c r="E10490" t="inlineStr">
        <is>
          <t>OVANÅKER</t>
        </is>
      </c>
      <c r="G10490" t="n">
        <v>3.7</v>
      </c>
      <c r="H10490" t="n">
        <v>0</v>
      </c>
      <c r="I10490" t="n">
        <v>0</v>
      </c>
      <c r="J10490" t="n">
        <v>0</v>
      </c>
      <c r="K10490" t="n">
        <v>0</v>
      </c>
      <c r="L10490" t="n">
        <v>0</v>
      </c>
      <c r="M10490" t="n">
        <v>0</v>
      </c>
      <c r="N10490" t="n">
        <v>0</v>
      </c>
      <c r="O10490" t="n">
        <v>0</v>
      </c>
      <c r="P10490" t="n">
        <v>0</v>
      </c>
      <c r="Q10490" t="n">
        <v>0</v>
      </c>
      <c r="R10490" s="2" t="inlineStr"/>
    </row>
    <row r="10491">
      <c r="A10491" t="inlineStr">
        <is>
          <t>A 9262-2024</t>
        </is>
      </c>
      <c r="B10491" s="1" t="n">
        <v>45358</v>
      </c>
      <c r="C10491" s="1" t="n">
        <v>45359</v>
      </c>
      <c r="D10491" t="inlineStr">
        <is>
          <t>GÄVLEBORGS LÄN</t>
        </is>
      </c>
      <c r="E10491" t="inlineStr">
        <is>
          <t>BOLLNÄS</t>
        </is>
      </c>
      <c r="G10491" t="n">
        <v>1.7</v>
      </c>
      <c r="H10491" t="n">
        <v>0</v>
      </c>
      <c r="I10491" t="n">
        <v>0</v>
      </c>
      <c r="J10491" t="n">
        <v>0</v>
      </c>
      <c r="K10491" t="n">
        <v>0</v>
      </c>
      <c r="L10491" t="n">
        <v>0</v>
      </c>
      <c r="M10491" t="n">
        <v>0</v>
      </c>
      <c r="N10491" t="n">
        <v>0</v>
      </c>
      <c r="O10491" t="n">
        <v>0</v>
      </c>
      <c r="P10491" t="n">
        <v>0</v>
      </c>
      <c r="Q10491" t="n">
        <v>0</v>
      </c>
      <c r="R104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2024-03-08T13:56:41Z</dcterms:created>
  <dcterms:modified xmlns:dcterms="http://purl.org/dc/terms/" xmlns:xsi="http://www.w3.org/2001/XMLSchema-instance" xsi:type="dcterms:W3CDTF">2024-03-08T13:56:56Z</dcterms:modified>
</cp:coreProperties>
</file>